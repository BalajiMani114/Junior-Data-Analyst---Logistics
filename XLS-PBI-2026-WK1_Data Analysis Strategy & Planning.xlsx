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f58272a01c8537/Desktop/PRO/PRO 041-PURSUING MBA/In Education process/Semesters/Semester 3/Curriculum Activities/Internship/YuvaIntern/Junior Data Analyst - Logistics/Week-1/"/>
    </mc:Choice>
  </mc:AlternateContent>
  <xr:revisionPtr revIDLastSave="44" documentId="8_{BB2B2E02-3FA4-4489-A86F-480C0D8E23E7}" xr6:coauthVersionLast="47" xr6:coauthVersionMax="47" xr10:uidLastSave="{095E0094-3B00-428D-A980-F7817D8C1C49}"/>
  <bookViews>
    <workbookView xWindow="-120" yWindow="-120" windowWidth="20730" windowHeight="11760" activeTab="1" xr2:uid="{4640472B-F728-4932-AE6E-9ABE46CDFD6E}"/>
  </bookViews>
  <sheets>
    <sheet name="Procurement KPI" sheetId="3" r:id="rId1"/>
    <sheet name="Power BI Worksheet" sheetId="5" r:id="rId2"/>
    <sheet name="Pivot Table" sheetId="4" r:id="rId3"/>
    <sheet name="Procurement KPI Analysis Datase" sheetId="1" r:id="rId4"/>
  </sheets>
  <definedNames>
    <definedName name="_xlnm._FilterDatabase" localSheetId="0" hidden="1">'Procurement KPI'!$A$1:$L$778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25" i="3" l="1"/>
  <c r="S64" i="3"/>
  <c r="S65" i="3"/>
  <c r="S168" i="3"/>
  <c r="S169" i="3"/>
  <c r="S201" i="3"/>
  <c r="S288" i="3"/>
  <c r="S652" i="3"/>
  <c r="S679" i="3"/>
  <c r="S680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S103" i="3" s="1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S215" i="3" s="1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S247" i="3" s="1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S607" i="3" s="1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Q2" i="3"/>
  <c r="Q3" i="3"/>
  <c r="S3" i="3" s="1"/>
  <c r="Q4" i="3"/>
  <c r="S4" i="3" s="1"/>
  <c r="Q5" i="3"/>
  <c r="S5" i="3" s="1"/>
  <c r="Q6" i="3"/>
  <c r="Q7" i="3"/>
  <c r="Q8" i="3"/>
  <c r="S8" i="3" s="1"/>
  <c r="Q9" i="3"/>
  <c r="S9" i="3" s="1"/>
  <c r="Q10" i="3"/>
  <c r="Q11" i="3"/>
  <c r="S11" i="3" s="1"/>
  <c r="Q12" i="3"/>
  <c r="S12" i="3" s="1"/>
  <c r="Q13" i="3"/>
  <c r="S13" i="3" s="1"/>
  <c r="Q14" i="3"/>
  <c r="Q15" i="3"/>
  <c r="Q16" i="3"/>
  <c r="S16" i="3" s="1"/>
  <c r="Q17" i="3"/>
  <c r="S17" i="3" s="1"/>
  <c r="Q18" i="3"/>
  <c r="Q19" i="3"/>
  <c r="S19" i="3" s="1"/>
  <c r="Q20" i="3"/>
  <c r="S20" i="3" s="1"/>
  <c r="Q21" i="3"/>
  <c r="S21" i="3" s="1"/>
  <c r="Q22" i="3"/>
  <c r="S22" i="3" s="1"/>
  <c r="Q23" i="3"/>
  <c r="Q24" i="3"/>
  <c r="S24" i="3" s="1"/>
  <c r="Q25" i="3"/>
  <c r="S25" i="3" s="1"/>
  <c r="Q26" i="3"/>
  <c r="Q27" i="3"/>
  <c r="S27" i="3" s="1"/>
  <c r="Q28" i="3"/>
  <c r="S28" i="3" s="1"/>
  <c r="Q29" i="3"/>
  <c r="S29" i="3" s="1"/>
  <c r="Q30" i="3"/>
  <c r="Q31" i="3"/>
  <c r="Q32" i="3"/>
  <c r="S32" i="3" s="1"/>
  <c r="Q33" i="3"/>
  <c r="S33" i="3" s="1"/>
  <c r="Q34" i="3"/>
  <c r="Q35" i="3"/>
  <c r="S35" i="3" s="1"/>
  <c r="Q36" i="3"/>
  <c r="S36" i="3" s="1"/>
  <c r="Q37" i="3"/>
  <c r="S37" i="3" s="1"/>
  <c r="Q38" i="3"/>
  <c r="Q39" i="3"/>
  <c r="Q40" i="3"/>
  <c r="S40" i="3" s="1"/>
  <c r="Q41" i="3"/>
  <c r="S41" i="3" s="1"/>
  <c r="Q42" i="3"/>
  <c r="Q43" i="3"/>
  <c r="S43" i="3" s="1"/>
  <c r="Q44" i="3"/>
  <c r="S44" i="3" s="1"/>
  <c r="Q45" i="3"/>
  <c r="S45" i="3" s="1"/>
  <c r="Q46" i="3"/>
  <c r="Q47" i="3"/>
  <c r="Q48" i="3"/>
  <c r="S48" i="3" s="1"/>
  <c r="Q49" i="3"/>
  <c r="S49" i="3" s="1"/>
  <c r="Q50" i="3"/>
  <c r="Q51" i="3"/>
  <c r="S51" i="3" s="1"/>
  <c r="Q52" i="3"/>
  <c r="S52" i="3" s="1"/>
  <c r="Q53" i="3"/>
  <c r="S53" i="3" s="1"/>
  <c r="Q54" i="3"/>
  <c r="Q55" i="3"/>
  <c r="Q56" i="3"/>
  <c r="S56" i="3" s="1"/>
  <c r="Q57" i="3"/>
  <c r="S57" i="3" s="1"/>
  <c r="Q58" i="3"/>
  <c r="Q59" i="3"/>
  <c r="S59" i="3" s="1"/>
  <c r="Q60" i="3"/>
  <c r="S60" i="3" s="1"/>
  <c r="Q61" i="3"/>
  <c r="S61" i="3" s="1"/>
  <c r="Q62" i="3"/>
  <c r="Q63" i="3"/>
  <c r="Q64" i="3"/>
  <c r="Q65" i="3"/>
  <c r="Q66" i="3"/>
  <c r="Q67" i="3"/>
  <c r="S67" i="3" s="1"/>
  <c r="Q68" i="3"/>
  <c r="S68" i="3" s="1"/>
  <c r="Q69" i="3"/>
  <c r="S69" i="3" s="1"/>
  <c r="Q70" i="3"/>
  <c r="Q71" i="3"/>
  <c r="Q72" i="3"/>
  <c r="S72" i="3" s="1"/>
  <c r="Q73" i="3"/>
  <c r="S73" i="3" s="1"/>
  <c r="Q74" i="3"/>
  <c r="Q75" i="3"/>
  <c r="S75" i="3" s="1"/>
  <c r="Q76" i="3"/>
  <c r="S76" i="3" s="1"/>
  <c r="Q77" i="3"/>
  <c r="S77" i="3" s="1"/>
  <c r="Q78" i="3"/>
  <c r="Q79" i="3"/>
  <c r="Q80" i="3"/>
  <c r="S80" i="3" s="1"/>
  <c r="Q81" i="3"/>
  <c r="S81" i="3" s="1"/>
  <c r="Q82" i="3"/>
  <c r="Q83" i="3"/>
  <c r="S83" i="3" s="1"/>
  <c r="Q84" i="3"/>
  <c r="S84" i="3" s="1"/>
  <c r="Q85" i="3"/>
  <c r="S85" i="3" s="1"/>
  <c r="Q86" i="3"/>
  <c r="Q87" i="3"/>
  <c r="Q88" i="3"/>
  <c r="S88" i="3" s="1"/>
  <c r="Q89" i="3"/>
  <c r="S89" i="3" s="1"/>
  <c r="Q90" i="3"/>
  <c r="Q91" i="3"/>
  <c r="S91" i="3" s="1"/>
  <c r="Q92" i="3"/>
  <c r="S92" i="3" s="1"/>
  <c r="Q93" i="3"/>
  <c r="S93" i="3" s="1"/>
  <c r="Q94" i="3"/>
  <c r="Q95" i="3"/>
  <c r="Q96" i="3"/>
  <c r="S96" i="3" s="1"/>
  <c r="Q97" i="3"/>
  <c r="S97" i="3" s="1"/>
  <c r="Q98" i="3"/>
  <c r="Q99" i="3"/>
  <c r="S99" i="3" s="1"/>
  <c r="Q100" i="3"/>
  <c r="S100" i="3" s="1"/>
  <c r="Q101" i="3"/>
  <c r="S101" i="3" s="1"/>
  <c r="Q102" i="3"/>
  <c r="Q103" i="3"/>
  <c r="Q104" i="3"/>
  <c r="S104" i="3" s="1"/>
  <c r="Q105" i="3"/>
  <c r="S105" i="3" s="1"/>
  <c r="Q106" i="3"/>
  <c r="Q107" i="3"/>
  <c r="S107" i="3" s="1"/>
  <c r="Q108" i="3"/>
  <c r="S108" i="3" s="1"/>
  <c r="Q109" i="3"/>
  <c r="S109" i="3" s="1"/>
  <c r="Q110" i="3"/>
  <c r="Q111" i="3"/>
  <c r="Q112" i="3"/>
  <c r="S112" i="3" s="1"/>
  <c r="Q113" i="3"/>
  <c r="S113" i="3" s="1"/>
  <c r="Q114" i="3"/>
  <c r="Q115" i="3"/>
  <c r="S115" i="3" s="1"/>
  <c r="Q116" i="3"/>
  <c r="S116" i="3" s="1"/>
  <c r="Q117" i="3"/>
  <c r="S117" i="3" s="1"/>
  <c r="Q118" i="3"/>
  <c r="S118" i="3" s="1"/>
  <c r="Q119" i="3"/>
  <c r="Q120" i="3"/>
  <c r="S120" i="3" s="1"/>
  <c r="Q121" i="3"/>
  <c r="S121" i="3" s="1"/>
  <c r="Q122" i="3"/>
  <c r="Q123" i="3"/>
  <c r="S123" i="3" s="1"/>
  <c r="Q124" i="3"/>
  <c r="S124" i="3" s="1"/>
  <c r="Q125" i="3"/>
  <c r="S125" i="3" s="1"/>
  <c r="Q126" i="3"/>
  <c r="Q127" i="3"/>
  <c r="Q128" i="3"/>
  <c r="S128" i="3" s="1"/>
  <c r="Q129" i="3"/>
  <c r="S129" i="3" s="1"/>
  <c r="Q130" i="3"/>
  <c r="Q131" i="3"/>
  <c r="S131" i="3" s="1"/>
  <c r="Q132" i="3"/>
  <c r="S132" i="3" s="1"/>
  <c r="Q133" i="3"/>
  <c r="S133" i="3" s="1"/>
  <c r="Q134" i="3"/>
  <c r="Q135" i="3"/>
  <c r="Q136" i="3"/>
  <c r="S136" i="3" s="1"/>
  <c r="Q137" i="3"/>
  <c r="S137" i="3" s="1"/>
  <c r="Q138" i="3"/>
  <c r="Q139" i="3"/>
  <c r="S139" i="3" s="1"/>
  <c r="Q140" i="3"/>
  <c r="S140" i="3" s="1"/>
  <c r="Q141" i="3"/>
  <c r="S141" i="3" s="1"/>
  <c r="Q142" i="3"/>
  <c r="Q143" i="3"/>
  <c r="Q144" i="3"/>
  <c r="S144" i="3" s="1"/>
  <c r="Q145" i="3"/>
  <c r="S145" i="3" s="1"/>
  <c r="Q146" i="3"/>
  <c r="Q147" i="3"/>
  <c r="S147" i="3" s="1"/>
  <c r="Q148" i="3"/>
  <c r="S148" i="3" s="1"/>
  <c r="Q149" i="3"/>
  <c r="S149" i="3" s="1"/>
  <c r="Q150" i="3"/>
  <c r="Q151" i="3"/>
  <c r="Q152" i="3"/>
  <c r="S152" i="3" s="1"/>
  <c r="Q153" i="3"/>
  <c r="S153" i="3" s="1"/>
  <c r="Q154" i="3"/>
  <c r="Q155" i="3"/>
  <c r="S155" i="3" s="1"/>
  <c r="Q156" i="3"/>
  <c r="S156" i="3" s="1"/>
  <c r="Q157" i="3"/>
  <c r="S157" i="3" s="1"/>
  <c r="Q158" i="3"/>
  <c r="Q159" i="3"/>
  <c r="Q160" i="3"/>
  <c r="S160" i="3" s="1"/>
  <c r="Q161" i="3"/>
  <c r="S161" i="3" s="1"/>
  <c r="Q162" i="3"/>
  <c r="Q163" i="3"/>
  <c r="S163" i="3" s="1"/>
  <c r="Q164" i="3"/>
  <c r="S164" i="3" s="1"/>
  <c r="Q165" i="3"/>
  <c r="S165" i="3" s="1"/>
  <c r="Q166" i="3"/>
  <c r="Q167" i="3"/>
  <c r="S167" i="3" s="1"/>
  <c r="Q168" i="3"/>
  <c r="Q169" i="3"/>
  <c r="Q170" i="3"/>
  <c r="Q171" i="3"/>
  <c r="S171" i="3" s="1"/>
  <c r="Q172" i="3"/>
  <c r="S172" i="3" s="1"/>
  <c r="Q173" i="3"/>
  <c r="S173" i="3" s="1"/>
  <c r="Q174" i="3"/>
  <c r="Q175" i="3"/>
  <c r="Q176" i="3"/>
  <c r="S176" i="3" s="1"/>
  <c r="Q177" i="3"/>
  <c r="S177" i="3" s="1"/>
  <c r="Q178" i="3"/>
  <c r="Q179" i="3"/>
  <c r="S179" i="3" s="1"/>
  <c r="Q180" i="3"/>
  <c r="S180" i="3" s="1"/>
  <c r="Q181" i="3"/>
  <c r="S181" i="3" s="1"/>
  <c r="Q182" i="3"/>
  <c r="Q183" i="3"/>
  <c r="Q184" i="3"/>
  <c r="S184" i="3" s="1"/>
  <c r="Q185" i="3"/>
  <c r="S185" i="3" s="1"/>
  <c r="Q186" i="3"/>
  <c r="Q187" i="3"/>
  <c r="S187" i="3" s="1"/>
  <c r="Q188" i="3"/>
  <c r="S188" i="3" s="1"/>
  <c r="Q189" i="3"/>
  <c r="S189" i="3" s="1"/>
  <c r="Q190" i="3"/>
  <c r="Q191" i="3"/>
  <c r="Q192" i="3"/>
  <c r="S192" i="3" s="1"/>
  <c r="Q193" i="3"/>
  <c r="S193" i="3" s="1"/>
  <c r="Q194" i="3"/>
  <c r="Q195" i="3"/>
  <c r="S195" i="3" s="1"/>
  <c r="Q196" i="3"/>
  <c r="S196" i="3" s="1"/>
  <c r="Q197" i="3"/>
  <c r="S197" i="3" s="1"/>
  <c r="Q198" i="3"/>
  <c r="Q199" i="3"/>
  <c r="Q200" i="3"/>
  <c r="S200" i="3" s="1"/>
  <c r="Q201" i="3"/>
  <c r="Q202" i="3"/>
  <c r="Q203" i="3"/>
  <c r="S203" i="3" s="1"/>
  <c r="Q204" i="3"/>
  <c r="S204" i="3" s="1"/>
  <c r="Q205" i="3"/>
  <c r="S205" i="3" s="1"/>
  <c r="Q206" i="3"/>
  <c r="Q207" i="3"/>
  <c r="Q208" i="3"/>
  <c r="S208" i="3" s="1"/>
  <c r="Q209" i="3"/>
  <c r="S209" i="3" s="1"/>
  <c r="Q210" i="3"/>
  <c r="Q211" i="3"/>
  <c r="S211" i="3" s="1"/>
  <c r="Q212" i="3"/>
  <c r="S212" i="3" s="1"/>
  <c r="Q213" i="3"/>
  <c r="S213" i="3" s="1"/>
  <c r="Q214" i="3"/>
  <c r="Q215" i="3"/>
  <c r="Q216" i="3"/>
  <c r="S216" i="3" s="1"/>
  <c r="Q217" i="3"/>
  <c r="S217" i="3" s="1"/>
  <c r="Q218" i="3"/>
  <c r="Q219" i="3"/>
  <c r="S219" i="3" s="1"/>
  <c r="Q220" i="3"/>
  <c r="S220" i="3" s="1"/>
  <c r="Q221" i="3"/>
  <c r="S221" i="3" s="1"/>
  <c r="Q222" i="3"/>
  <c r="S222" i="3" s="1"/>
  <c r="Q223" i="3"/>
  <c r="Q224" i="3"/>
  <c r="S224" i="3" s="1"/>
  <c r="Q225" i="3"/>
  <c r="S225" i="3" s="1"/>
  <c r="Q226" i="3"/>
  <c r="Q227" i="3"/>
  <c r="S227" i="3" s="1"/>
  <c r="Q228" i="3"/>
  <c r="S228" i="3" s="1"/>
  <c r="Q229" i="3"/>
  <c r="S229" i="3" s="1"/>
  <c r="Q230" i="3"/>
  <c r="Q231" i="3"/>
  <c r="Q232" i="3"/>
  <c r="S232" i="3" s="1"/>
  <c r="Q233" i="3"/>
  <c r="S233" i="3" s="1"/>
  <c r="Q234" i="3"/>
  <c r="Q235" i="3"/>
  <c r="S235" i="3" s="1"/>
  <c r="Q236" i="3"/>
  <c r="S236" i="3" s="1"/>
  <c r="Q237" i="3"/>
  <c r="S237" i="3" s="1"/>
  <c r="Q238" i="3"/>
  <c r="Q239" i="3"/>
  <c r="Q240" i="3"/>
  <c r="S240" i="3" s="1"/>
  <c r="Q241" i="3"/>
  <c r="S241" i="3" s="1"/>
  <c r="Q242" i="3"/>
  <c r="Q243" i="3"/>
  <c r="S243" i="3" s="1"/>
  <c r="Q244" i="3"/>
  <c r="S244" i="3" s="1"/>
  <c r="Q245" i="3"/>
  <c r="S245" i="3" s="1"/>
  <c r="Q246" i="3"/>
  <c r="S246" i="3" s="1"/>
  <c r="Q247" i="3"/>
  <c r="Q248" i="3"/>
  <c r="S248" i="3" s="1"/>
  <c r="Q249" i="3"/>
  <c r="S249" i="3" s="1"/>
  <c r="Q250" i="3"/>
  <c r="Q251" i="3"/>
  <c r="S251" i="3" s="1"/>
  <c r="Q252" i="3"/>
  <c r="S252" i="3" s="1"/>
  <c r="Q253" i="3"/>
  <c r="S253" i="3" s="1"/>
  <c r="Q254" i="3"/>
  <c r="S254" i="3" s="1"/>
  <c r="Q255" i="3"/>
  <c r="Q256" i="3"/>
  <c r="S256" i="3" s="1"/>
  <c r="Q257" i="3"/>
  <c r="S257" i="3" s="1"/>
  <c r="Q258" i="3"/>
  <c r="Q259" i="3"/>
  <c r="S259" i="3" s="1"/>
  <c r="Q260" i="3"/>
  <c r="S260" i="3" s="1"/>
  <c r="Q261" i="3"/>
  <c r="S261" i="3" s="1"/>
  <c r="Q262" i="3"/>
  <c r="S262" i="3" s="1"/>
  <c r="Q263" i="3"/>
  <c r="Q264" i="3"/>
  <c r="S264" i="3" s="1"/>
  <c r="Q265" i="3"/>
  <c r="S265" i="3" s="1"/>
  <c r="Q266" i="3"/>
  <c r="Q267" i="3"/>
  <c r="S267" i="3" s="1"/>
  <c r="Q268" i="3"/>
  <c r="S268" i="3" s="1"/>
  <c r="Q269" i="3"/>
  <c r="S269" i="3" s="1"/>
  <c r="Q270" i="3"/>
  <c r="S270" i="3" s="1"/>
  <c r="Q271" i="3"/>
  <c r="Q272" i="3"/>
  <c r="S272" i="3" s="1"/>
  <c r="Q273" i="3"/>
  <c r="S273" i="3" s="1"/>
  <c r="Q274" i="3"/>
  <c r="Q275" i="3"/>
  <c r="S275" i="3" s="1"/>
  <c r="Q276" i="3"/>
  <c r="S276" i="3" s="1"/>
  <c r="Q277" i="3"/>
  <c r="S277" i="3" s="1"/>
  <c r="Q278" i="3"/>
  <c r="S278" i="3" s="1"/>
  <c r="Q279" i="3"/>
  <c r="Q280" i="3"/>
  <c r="S280" i="3" s="1"/>
  <c r="Q281" i="3"/>
  <c r="S281" i="3" s="1"/>
  <c r="Q282" i="3"/>
  <c r="Q283" i="3"/>
  <c r="S283" i="3" s="1"/>
  <c r="Q284" i="3"/>
  <c r="S284" i="3" s="1"/>
  <c r="Q285" i="3"/>
  <c r="S285" i="3" s="1"/>
  <c r="Q286" i="3"/>
  <c r="S286" i="3" s="1"/>
  <c r="Q287" i="3"/>
  <c r="S287" i="3" s="1"/>
  <c r="Q288" i="3"/>
  <c r="Q289" i="3"/>
  <c r="S289" i="3" s="1"/>
  <c r="Q290" i="3"/>
  <c r="Q291" i="3"/>
  <c r="S291" i="3" s="1"/>
  <c r="Q292" i="3"/>
  <c r="S292" i="3" s="1"/>
  <c r="Q293" i="3"/>
  <c r="S293" i="3" s="1"/>
  <c r="Q294" i="3"/>
  <c r="S294" i="3" s="1"/>
  <c r="Q295" i="3"/>
  <c r="Q296" i="3"/>
  <c r="S296" i="3" s="1"/>
  <c r="Q297" i="3"/>
  <c r="S297" i="3" s="1"/>
  <c r="Q298" i="3"/>
  <c r="Q299" i="3"/>
  <c r="S299" i="3" s="1"/>
  <c r="Q300" i="3"/>
  <c r="S300" i="3" s="1"/>
  <c r="Q301" i="3"/>
  <c r="S301" i="3" s="1"/>
  <c r="Q302" i="3"/>
  <c r="S302" i="3" s="1"/>
  <c r="Q303" i="3"/>
  <c r="Q304" i="3"/>
  <c r="S304" i="3" s="1"/>
  <c r="Q305" i="3"/>
  <c r="S305" i="3" s="1"/>
  <c r="Q306" i="3"/>
  <c r="Q307" i="3"/>
  <c r="S307" i="3" s="1"/>
  <c r="Q308" i="3"/>
  <c r="S308" i="3" s="1"/>
  <c r="Q309" i="3"/>
  <c r="S309" i="3" s="1"/>
  <c r="Q310" i="3"/>
  <c r="S310" i="3" s="1"/>
  <c r="Q311" i="3"/>
  <c r="Q312" i="3"/>
  <c r="S312" i="3" s="1"/>
  <c r="Q313" i="3"/>
  <c r="S313" i="3" s="1"/>
  <c r="Q314" i="3"/>
  <c r="Q315" i="3"/>
  <c r="S315" i="3" s="1"/>
  <c r="Q316" i="3"/>
  <c r="S316" i="3" s="1"/>
  <c r="Q317" i="3"/>
  <c r="S317" i="3" s="1"/>
  <c r="Q318" i="3"/>
  <c r="S318" i="3" s="1"/>
  <c r="Q319" i="3"/>
  <c r="Q320" i="3"/>
  <c r="S320" i="3" s="1"/>
  <c r="Q321" i="3"/>
  <c r="S321" i="3" s="1"/>
  <c r="Q322" i="3"/>
  <c r="Q323" i="3"/>
  <c r="S323" i="3" s="1"/>
  <c r="Q324" i="3"/>
  <c r="S324" i="3" s="1"/>
  <c r="Q325" i="3"/>
  <c r="S325" i="3" s="1"/>
  <c r="Q326" i="3"/>
  <c r="S326" i="3" s="1"/>
  <c r="Q327" i="3"/>
  <c r="Q328" i="3"/>
  <c r="S328" i="3" s="1"/>
  <c r="Q329" i="3"/>
  <c r="S329" i="3" s="1"/>
  <c r="Q330" i="3"/>
  <c r="Q331" i="3"/>
  <c r="S331" i="3" s="1"/>
  <c r="Q332" i="3"/>
  <c r="S332" i="3" s="1"/>
  <c r="Q333" i="3"/>
  <c r="S333" i="3" s="1"/>
  <c r="Q334" i="3"/>
  <c r="S334" i="3" s="1"/>
  <c r="Q335" i="3"/>
  <c r="Q336" i="3"/>
  <c r="S336" i="3" s="1"/>
  <c r="Q337" i="3"/>
  <c r="S337" i="3" s="1"/>
  <c r="Q338" i="3"/>
  <c r="Q339" i="3"/>
  <c r="S339" i="3" s="1"/>
  <c r="Q340" i="3"/>
  <c r="S340" i="3" s="1"/>
  <c r="Q341" i="3"/>
  <c r="S341" i="3" s="1"/>
  <c r="Q342" i="3"/>
  <c r="S342" i="3" s="1"/>
  <c r="Q343" i="3"/>
  <c r="Q344" i="3"/>
  <c r="S344" i="3" s="1"/>
  <c r="Q345" i="3"/>
  <c r="S345" i="3" s="1"/>
  <c r="Q346" i="3"/>
  <c r="Q347" i="3"/>
  <c r="S347" i="3" s="1"/>
  <c r="Q348" i="3"/>
  <c r="S348" i="3" s="1"/>
  <c r="Q349" i="3"/>
  <c r="S349" i="3" s="1"/>
  <c r="Q350" i="3"/>
  <c r="S350" i="3" s="1"/>
  <c r="Q351" i="3"/>
  <c r="Q352" i="3"/>
  <c r="S352" i="3" s="1"/>
  <c r="Q353" i="3"/>
  <c r="S353" i="3" s="1"/>
  <c r="Q354" i="3"/>
  <c r="Q355" i="3"/>
  <c r="S355" i="3" s="1"/>
  <c r="Q356" i="3"/>
  <c r="S356" i="3" s="1"/>
  <c r="Q357" i="3"/>
  <c r="S357" i="3" s="1"/>
  <c r="Q358" i="3"/>
  <c r="S358" i="3" s="1"/>
  <c r="Q359" i="3"/>
  <c r="Q360" i="3"/>
  <c r="S360" i="3" s="1"/>
  <c r="Q361" i="3"/>
  <c r="S361" i="3" s="1"/>
  <c r="Q362" i="3"/>
  <c r="Q363" i="3"/>
  <c r="S363" i="3" s="1"/>
  <c r="Q364" i="3"/>
  <c r="S364" i="3" s="1"/>
  <c r="Q365" i="3"/>
  <c r="S365" i="3" s="1"/>
  <c r="Q366" i="3"/>
  <c r="S366" i="3" s="1"/>
  <c r="Q367" i="3"/>
  <c r="Q368" i="3"/>
  <c r="S368" i="3" s="1"/>
  <c r="Q369" i="3"/>
  <c r="S369" i="3" s="1"/>
  <c r="Q370" i="3"/>
  <c r="Q371" i="3"/>
  <c r="S371" i="3" s="1"/>
  <c r="Q372" i="3"/>
  <c r="S372" i="3" s="1"/>
  <c r="Q373" i="3"/>
  <c r="S373" i="3" s="1"/>
  <c r="Q374" i="3"/>
  <c r="S374" i="3" s="1"/>
  <c r="Q375" i="3"/>
  <c r="Q376" i="3"/>
  <c r="S376" i="3" s="1"/>
  <c r="Q377" i="3"/>
  <c r="S377" i="3" s="1"/>
  <c r="Q378" i="3"/>
  <c r="Q379" i="3"/>
  <c r="S379" i="3" s="1"/>
  <c r="Q380" i="3"/>
  <c r="S380" i="3" s="1"/>
  <c r="Q381" i="3"/>
  <c r="S381" i="3" s="1"/>
  <c r="Q382" i="3"/>
  <c r="S382" i="3" s="1"/>
  <c r="Q383" i="3"/>
  <c r="Q384" i="3"/>
  <c r="S384" i="3" s="1"/>
  <c r="Q385" i="3"/>
  <c r="S385" i="3" s="1"/>
  <c r="Q386" i="3"/>
  <c r="Q387" i="3"/>
  <c r="S387" i="3" s="1"/>
  <c r="Q388" i="3"/>
  <c r="S388" i="3" s="1"/>
  <c r="Q389" i="3"/>
  <c r="S389" i="3" s="1"/>
  <c r="Q390" i="3"/>
  <c r="S390" i="3" s="1"/>
  <c r="Q391" i="3"/>
  <c r="Q392" i="3"/>
  <c r="S392" i="3" s="1"/>
  <c r="Q393" i="3"/>
  <c r="S393" i="3" s="1"/>
  <c r="Q394" i="3"/>
  <c r="Q395" i="3"/>
  <c r="S395" i="3" s="1"/>
  <c r="Q396" i="3"/>
  <c r="S396" i="3" s="1"/>
  <c r="Q397" i="3"/>
  <c r="S397" i="3" s="1"/>
  <c r="Q398" i="3"/>
  <c r="S398" i="3" s="1"/>
  <c r="Q399" i="3"/>
  <c r="Q400" i="3"/>
  <c r="S400" i="3" s="1"/>
  <c r="Q401" i="3"/>
  <c r="S401" i="3" s="1"/>
  <c r="Q402" i="3"/>
  <c r="Q403" i="3"/>
  <c r="S403" i="3" s="1"/>
  <c r="Q404" i="3"/>
  <c r="S404" i="3" s="1"/>
  <c r="Q405" i="3"/>
  <c r="S405" i="3" s="1"/>
  <c r="Q406" i="3"/>
  <c r="S406" i="3" s="1"/>
  <c r="Q407" i="3"/>
  <c r="Q408" i="3"/>
  <c r="S408" i="3" s="1"/>
  <c r="Q409" i="3"/>
  <c r="S409" i="3" s="1"/>
  <c r="Q410" i="3"/>
  <c r="Q411" i="3"/>
  <c r="S411" i="3" s="1"/>
  <c r="Q412" i="3"/>
  <c r="S412" i="3" s="1"/>
  <c r="Q413" i="3"/>
  <c r="S413" i="3" s="1"/>
  <c r="Q414" i="3"/>
  <c r="S414" i="3" s="1"/>
  <c r="Q415" i="3"/>
  <c r="Q416" i="3"/>
  <c r="S416" i="3" s="1"/>
  <c r="Q417" i="3"/>
  <c r="S417" i="3" s="1"/>
  <c r="Q418" i="3"/>
  <c r="Q419" i="3"/>
  <c r="S419" i="3" s="1"/>
  <c r="Q420" i="3"/>
  <c r="S420" i="3" s="1"/>
  <c r="Q421" i="3"/>
  <c r="S421" i="3" s="1"/>
  <c r="Q422" i="3"/>
  <c r="S422" i="3" s="1"/>
  <c r="Q423" i="3"/>
  <c r="Q424" i="3"/>
  <c r="S424" i="3" s="1"/>
  <c r="Q425" i="3"/>
  <c r="S425" i="3" s="1"/>
  <c r="Q426" i="3"/>
  <c r="Q427" i="3"/>
  <c r="S427" i="3" s="1"/>
  <c r="Q428" i="3"/>
  <c r="S428" i="3" s="1"/>
  <c r="Q429" i="3"/>
  <c r="S429" i="3" s="1"/>
  <c r="Q430" i="3"/>
  <c r="S430" i="3" s="1"/>
  <c r="Q431" i="3"/>
  <c r="Q432" i="3"/>
  <c r="S432" i="3" s="1"/>
  <c r="Q433" i="3"/>
  <c r="S433" i="3" s="1"/>
  <c r="Q434" i="3"/>
  <c r="Q435" i="3"/>
  <c r="S435" i="3" s="1"/>
  <c r="Q436" i="3"/>
  <c r="S436" i="3" s="1"/>
  <c r="Q437" i="3"/>
  <c r="S437" i="3" s="1"/>
  <c r="Q438" i="3"/>
  <c r="S438" i="3" s="1"/>
  <c r="Q439" i="3"/>
  <c r="Q440" i="3"/>
  <c r="S440" i="3" s="1"/>
  <c r="Q441" i="3"/>
  <c r="S441" i="3" s="1"/>
  <c r="Q442" i="3"/>
  <c r="Q443" i="3"/>
  <c r="Q444" i="3"/>
  <c r="S444" i="3" s="1"/>
  <c r="Q445" i="3"/>
  <c r="S445" i="3" s="1"/>
  <c r="Q446" i="3"/>
  <c r="S446" i="3" s="1"/>
  <c r="Q447" i="3"/>
  <c r="Q448" i="3"/>
  <c r="S448" i="3" s="1"/>
  <c r="Q449" i="3"/>
  <c r="S449" i="3" s="1"/>
  <c r="Q450" i="3"/>
  <c r="Q451" i="3"/>
  <c r="Q452" i="3"/>
  <c r="S452" i="3" s="1"/>
  <c r="Q453" i="3"/>
  <c r="S453" i="3" s="1"/>
  <c r="Q454" i="3"/>
  <c r="S454" i="3" s="1"/>
  <c r="Q455" i="3"/>
  <c r="Q456" i="3"/>
  <c r="S456" i="3" s="1"/>
  <c r="Q457" i="3"/>
  <c r="S457" i="3" s="1"/>
  <c r="Q458" i="3"/>
  <c r="Q459" i="3"/>
  <c r="Q460" i="3"/>
  <c r="S460" i="3" s="1"/>
  <c r="Q461" i="3"/>
  <c r="S461" i="3" s="1"/>
  <c r="Q462" i="3"/>
  <c r="S462" i="3" s="1"/>
  <c r="Q463" i="3"/>
  <c r="Q464" i="3"/>
  <c r="S464" i="3" s="1"/>
  <c r="Q465" i="3"/>
  <c r="S465" i="3" s="1"/>
  <c r="Q466" i="3"/>
  <c r="Q467" i="3"/>
  <c r="Q468" i="3"/>
  <c r="S468" i="3" s="1"/>
  <c r="Q469" i="3"/>
  <c r="S469" i="3" s="1"/>
  <c r="Q470" i="3"/>
  <c r="S470" i="3" s="1"/>
  <c r="Q471" i="3"/>
  <c r="Q472" i="3"/>
  <c r="S472" i="3" s="1"/>
  <c r="Q473" i="3"/>
  <c r="S473" i="3" s="1"/>
  <c r="Q474" i="3"/>
  <c r="Q475" i="3"/>
  <c r="Q476" i="3"/>
  <c r="S476" i="3" s="1"/>
  <c r="Q477" i="3"/>
  <c r="S477" i="3" s="1"/>
  <c r="Q478" i="3"/>
  <c r="S478" i="3" s="1"/>
  <c r="Q479" i="3"/>
  <c r="Q480" i="3"/>
  <c r="S480" i="3" s="1"/>
  <c r="Q481" i="3"/>
  <c r="S481" i="3" s="1"/>
  <c r="Q482" i="3"/>
  <c r="Q483" i="3"/>
  <c r="Q484" i="3"/>
  <c r="S484" i="3" s="1"/>
  <c r="Q485" i="3"/>
  <c r="S485" i="3" s="1"/>
  <c r="Q486" i="3"/>
  <c r="S486" i="3" s="1"/>
  <c r="Q487" i="3"/>
  <c r="Q488" i="3"/>
  <c r="S488" i="3" s="1"/>
  <c r="Q489" i="3"/>
  <c r="S489" i="3" s="1"/>
  <c r="Q490" i="3"/>
  <c r="Q491" i="3"/>
  <c r="Q492" i="3"/>
  <c r="S492" i="3" s="1"/>
  <c r="Q493" i="3"/>
  <c r="S493" i="3" s="1"/>
  <c r="Q494" i="3"/>
  <c r="S494" i="3" s="1"/>
  <c r="Q495" i="3"/>
  <c r="Q496" i="3"/>
  <c r="S496" i="3" s="1"/>
  <c r="Q497" i="3"/>
  <c r="S497" i="3" s="1"/>
  <c r="Q498" i="3"/>
  <c r="Q499" i="3"/>
  <c r="Q500" i="3"/>
  <c r="S500" i="3" s="1"/>
  <c r="Q501" i="3"/>
  <c r="S501" i="3" s="1"/>
  <c r="Q502" i="3"/>
  <c r="S502" i="3" s="1"/>
  <c r="Q503" i="3"/>
  <c r="Q504" i="3"/>
  <c r="S504" i="3" s="1"/>
  <c r="Q505" i="3"/>
  <c r="S505" i="3" s="1"/>
  <c r="Q506" i="3"/>
  <c r="Q507" i="3"/>
  <c r="Q508" i="3"/>
  <c r="S508" i="3" s="1"/>
  <c r="Q509" i="3"/>
  <c r="S509" i="3" s="1"/>
  <c r="Q510" i="3"/>
  <c r="S510" i="3" s="1"/>
  <c r="Q511" i="3"/>
  <c r="Q512" i="3"/>
  <c r="S512" i="3" s="1"/>
  <c r="Q513" i="3"/>
  <c r="S513" i="3" s="1"/>
  <c r="Q514" i="3"/>
  <c r="Q515" i="3"/>
  <c r="Q516" i="3"/>
  <c r="S516" i="3" s="1"/>
  <c r="Q517" i="3"/>
  <c r="S517" i="3" s="1"/>
  <c r="Q518" i="3"/>
  <c r="S518" i="3" s="1"/>
  <c r="Q519" i="3"/>
  <c r="Q520" i="3"/>
  <c r="S520" i="3" s="1"/>
  <c r="Q521" i="3"/>
  <c r="S521" i="3" s="1"/>
  <c r="Q522" i="3"/>
  <c r="Q523" i="3"/>
  <c r="Q524" i="3"/>
  <c r="S524" i="3" s="1"/>
  <c r="Q525" i="3"/>
  <c r="S525" i="3" s="1"/>
  <c r="Q526" i="3"/>
  <c r="S526" i="3" s="1"/>
  <c r="Q527" i="3"/>
  <c r="Q528" i="3"/>
  <c r="S528" i="3" s="1"/>
  <c r="Q529" i="3"/>
  <c r="S529" i="3" s="1"/>
  <c r="Q530" i="3"/>
  <c r="Q531" i="3"/>
  <c r="Q532" i="3"/>
  <c r="S532" i="3" s="1"/>
  <c r="Q533" i="3"/>
  <c r="S533" i="3" s="1"/>
  <c r="Q534" i="3"/>
  <c r="S534" i="3" s="1"/>
  <c r="Q535" i="3"/>
  <c r="Q536" i="3"/>
  <c r="S536" i="3" s="1"/>
  <c r="Q537" i="3"/>
  <c r="S537" i="3" s="1"/>
  <c r="Q538" i="3"/>
  <c r="Q539" i="3"/>
  <c r="Q540" i="3"/>
  <c r="S540" i="3" s="1"/>
  <c r="Q541" i="3"/>
  <c r="S541" i="3" s="1"/>
  <c r="Q542" i="3"/>
  <c r="S542" i="3" s="1"/>
  <c r="Q543" i="3"/>
  <c r="Q544" i="3"/>
  <c r="S544" i="3" s="1"/>
  <c r="Q545" i="3"/>
  <c r="S545" i="3" s="1"/>
  <c r="Q546" i="3"/>
  <c r="Q547" i="3"/>
  <c r="Q548" i="3"/>
  <c r="S548" i="3" s="1"/>
  <c r="Q549" i="3"/>
  <c r="S549" i="3" s="1"/>
  <c r="Q550" i="3"/>
  <c r="S550" i="3" s="1"/>
  <c r="Q551" i="3"/>
  <c r="Q552" i="3"/>
  <c r="S552" i="3" s="1"/>
  <c r="Q553" i="3"/>
  <c r="S553" i="3" s="1"/>
  <c r="Q554" i="3"/>
  <c r="Q555" i="3"/>
  <c r="Q556" i="3"/>
  <c r="S556" i="3" s="1"/>
  <c r="Q557" i="3"/>
  <c r="S557" i="3" s="1"/>
  <c r="Q558" i="3"/>
  <c r="S558" i="3" s="1"/>
  <c r="Q559" i="3"/>
  <c r="Q560" i="3"/>
  <c r="S560" i="3" s="1"/>
  <c r="Q561" i="3"/>
  <c r="S561" i="3" s="1"/>
  <c r="Q562" i="3"/>
  <c r="Q563" i="3"/>
  <c r="Q564" i="3"/>
  <c r="S564" i="3" s="1"/>
  <c r="Q565" i="3"/>
  <c r="S565" i="3" s="1"/>
  <c r="Q566" i="3"/>
  <c r="S566" i="3" s="1"/>
  <c r="Q567" i="3"/>
  <c r="Q568" i="3"/>
  <c r="S568" i="3" s="1"/>
  <c r="Q569" i="3"/>
  <c r="S569" i="3" s="1"/>
  <c r="Q570" i="3"/>
  <c r="Q571" i="3"/>
  <c r="Q572" i="3"/>
  <c r="S572" i="3" s="1"/>
  <c r="Q573" i="3"/>
  <c r="S573" i="3" s="1"/>
  <c r="Q574" i="3"/>
  <c r="S574" i="3" s="1"/>
  <c r="Q575" i="3"/>
  <c r="Q576" i="3"/>
  <c r="S576" i="3" s="1"/>
  <c r="Q577" i="3"/>
  <c r="S577" i="3" s="1"/>
  <c r="Q578" i="3"/>
  <c r="Q579" i="3"/>
  <c r="Q580" i="3"/>
  <c r="S580" i="3" s="1"/>
  <c r="Q581" i="3"/>
  <c r="S581" i="3" s="1"/>
  <c r="Q582" i="3"/>
  <c r="S582" i="3" s="1"/>
  <c r="Q583" i="3"/>
  <c r="Q584" i="3"/>
  <c r="S584" i="3" s="1"/>
  <c r="Q585" i="3"/>
  <c r="S585" i="3" s="1"/>
  <c r="Q586" i="3"/>
  <c r="Q587" i="3"/>
  <c r="Q588" i="3"/>
  <c r="S588" i="3" s="1"/>
  <c r="Q589" i="3"/>
  <c r="S589" i="3" s="1"/>
  <c r="Q590" i="3"/>
  <c r="S590" i="3" s="1"/>
  <c r="Q591" i="3"/>
  <c r="Q592" i="3"/>
  <c r="S592" i="3" s="1"/>
  <c r="Q593" i="3"/>
  <c r="S593" i="3" s="1"/>
  <c r="Q594" i="3"/>
  <c r="Q595" i="3"/>
  <c r="Q596" i="3"/>
  <c r="S596" i="3" s="1"/>
  <c r="Q597" i="3"/>
  <c r="S597" i="3" s="1"/>
  <c r="Q598" i="3"/>
  <c r="S598" i="3" s="1"/>
  <c r="Q599" i="3"/>
  <c r="Q600" i="3"/>
  <c r="S600" i="3" s="1"/>
  <c r="Q601" i="3"/>
  <c r="S601" i="3" s="1"/>
  <c r="Q602" i="3"/>
  <c r="Q603" i="3"/>
  <c r="Q604" i="3"/>
  <c r="S604" i="3" s="1"/>
  <c r="Q605" i="3"/>
  <c r="S605" i="3" s="1"/>
  <c r="Q606" i="3"/>
  <c r="S606" i="3" s="1"/>
  <c r="Q607" i="3"/>
  <c r="Q608" i="3"/>
  <c r="S608" i="3" s="1"/>
  <c r="Q609" i="3"/>
  <c r="S609" i="3" s="1"/>
  <c r="Q610" i="3"/>
  <c r="Q611" i="3"/>
  <c r="Q612" i="3"/>
  <c r="S612" i="3" s="1"/>
  <c r="Q613" i="3"/>
  <c r="S613" i="3" s="1"/>
  <c r="Q614" i="3"/>
  <c r="S614" i="3" s="1"/>
  <c r="Q615" i="3"/>
  <c r="Q616" i="3"/>
  <c r="S616" i="3" s="1"/>
  <c r="Q617" i="3"/>
  <c r="S617" i="3" s="1"/>
  <c r="Q618" i="3"/>
  <c r="Q619" i="3"/>
  <c r="Q620" i="3"/>
  <c r="S620" i="3" s="1"/>
  <c r="Q621" i="3"/>
  <c r="S621" i="3" s="1"/>
  <c r="Q622" i="3"/>
  <c r="S622" i="3" s="1"/>
  <c r="Q623" i="3"/>
  <c r="Q624" i="3"/>
  <c r="S624" i="3" s="1"/>
  <c r="Q625" i="3"/>
  <c r="S625" i="3" s="1"/>
  <c r="Q626" i="3"/>
  <c r="Q627" i="3"/>
  <c r="Q628" i="3"/>
  <c r="S628" i="3" s="1"/>
  <c r="Q629" i="3"/>
  <c r="S629" i="3" s="1"/>
  <c r="Q630" i="3"/>
  <c r="S630" i="3" s="1"/>
  <c r="Q631" i="3"/>
  <c r="Q632" i="3"/>
  <c r="S632" i="3" s="1"/>
  <c r="Q633" i="3"/>
  <c r="S633" i="3" s="1"/>
  <c r="Q634" i="3"/>
  <c r="Q635" i="3"/>
  <c r="Q636" i="3"/>
  <c r="S636" i="3" s="1"/>
  <c r="Q637" i="3"/>
  <c r="S637" i="3" s="1"/>
  <c r="Q638" i="3"/>
  <c r="S638" i="3" s="1"/>
  <c r="Q639" i="3"/>
  <c r="Q640" i="3"/>
  <c r="S640" i="3" s="1"/>
  <c r="Q641" i="3"/>
  <c r="S641" i="3" s="1"/>
  <c r="Q642" i="3"/>
  <c r="Q643" i="3"/>
  <c r="Q644" i="3"/>
  <c r="S644" i="3" s="1"/>
  <c r="Q645" i="3"/>
  <c r="S645" i="3" s="1"/>
  <c r="Q646" i="3"/>
  <c r="S646" i="3" s="1"/>
  <c r="Q647" i="3"/>
  <c r="Q648" i="3"/>
  <c r="S648" i="3" s="1"/>
  <c r="Q649" i="3"/>
  <c r="S649" i="3" s="1"/>
  <c r="Q650" i="3"/>
  <c r="Q651" i="3"/>
  <c r="Q652" i="3"/>
  <c r="Q653" i="3"/>
  <c r="S653" i="3" s="1"/>
  <c r="Q654" i="3"/>
  <c r="S654" i="3" s="1"/>
  <c r="Q655" i="3"/>
  <c r="Q656" i="3"/>
  <c r="S656" i="3" s="1"/>
  <c r="Q657" i="3"/>
  <c r="S657" i="3" s="1"/>
  <c r="Q658" i="3"/>
  <c r="Q659" i="3"/>
  <c r="Q660" i="3"/>
  <c r="S660" i="3" s="1"/>
  <c r="Q661" i="3"/>
  <c r="S661" i="3" s="1"/>
  <c r="Q662" i="3"/>
  <c r="S662" i="3" s="1"/>
  <c r="Q663" i="3"/>
  <c r="Q664" i="3"/>
  <c r="S664" i="3" s="1"/>
  <c r="Q665" i="3"/>
  <c r="S665" i="3" s="1"/>
  <c r="Q666" i="3"/>
  <c r="Q667" i="3"/>
  <c r="Q668" i="3"/>
  <c r="S668" i="3" s="1"/>
  <c r="Q669" i="3"/>
  <c r="S669" i="3" s="1"/>
  <c r="Q670" i="3"/>
  <c r="S670" i="3" s="1"/>
  <c r="Q671" i="3"/>
  <c r="Q672" i="3"/>
  <c r="S672" i="3" s="1"/>
  <c r="Q673" i="3"/>
  <c r="S673" i="3" s="1"/>
  <c r="Q674" i="3"/>
  <c r="Q675" i="3"/>
  <c r="Q676" i="3"/>
  <c r="S676" i="3" s="1"/>
  <c r="Q677" i="3"/>
  <c r="S677" i="3" s="1"/>
  <c r="Q678" i="3"/>
  <c r="S678" i="3" s="1"/>
  <c r="Q679" i="3"/>
  <c r="Q680" i="3"/>
  <c r="Q681" i="3"/>
  <c r="S681" i="3" s="1"/>
  <c r="Q682" i="3"/>
  <c r="Q683" i="3"/>
  <c r="Q684" i="3"/>
  <c r="S684" i="3" s="1"/>
  <c r="Q685" i="3"/>
  <c r="S685" i="3" s="1"/>
  <c r="Q686" i="3"/>
  <c r="S686" i="3" s="1"/>
  <c r="Q687" i="3"/>
  <c r="Q688" i="3"/>
  <c r="S688" i="3" s="1"/>
  <c r="Q689" i="3"/>
  <c r="S689" i="3" s="1"/>
  <c r="Q690" i="3"/>
  <c r="Q691" i="3"/>
  <c r="Q692" i="3"/>
  <c r="S692" i="3" s="1"/>
  <c r="Q693" i="3"/>
  <c r="S693" i="3" s="1"/>
  <c r="Q694" i="3"/>
  <c r="S694" i="3" s="1"/>
  <c r="Q695" i="3"/>
  <c r="S695" i="3" s="1"/>
  <c r="Q696" i="3"/>
  <c r="S696" i="3" s="1"/>
  <c r="Q697" i="3"/>
  <c r="S697" i="3" s="1"/>
  <c r="Q698" i="3"/>
  <c r="Q699" i="3"/>
  <c r="Q700" i="3"/>
  <c r="S700" i="3" s="1"/>
  <c r="Q701" i="3"/>
  <c r="S701" i="3" s="1"/>
  <c r="Q702" i="3"/>
  <c r="S702" i="3" s="1"/>
  <c r="Q703" i="3"/>
  <c r="S703" i="3" s="1"/>
  <c r="Q704" i="3"/>
  <c r="S704" i="3" s="1"/>
  <c r="Q705" i="3"/>
  <c r="S705" i="3" s="1"/>
  <c r="Q706" i="3"/>
  <c r="S706" i="3" s="1"/>
  <c r="Q707" i="3"/>
  <c r="Q708" i="3"/>
  <c r="S708" i="3" s="1"/>
  <c r="Q709" i="3"/>
  <c r="S709" i="3" s="1"/>
  <c r="Q710" i="3"/>
  <c r="S710" i="3" s="1"/>
  <c r="Q711" i="3"/>
  <c r="S711" i="3" s="1"/>
  <c r="Q712" i="3"/>
  <c r="S712" i="3" s="1"/>
  <c r="Q713" i="3"/>
  <c r="S713" i="3" s="1"/>
  <c r="Q714" i="3"/>
  <c r="Q715" i="3"/>
  <c r="Q716" i="3"/>
  <c r="S716" i="3" s="1"/>
  <c r="Q717" i="3"/>
  <c r="S717" i="3" s="1"/>
  <c r="Q718" i="3"/>
  <c r="S718" i="3" s="1"/>
  <c r="Q719" i="3"/>
  <c r="S719" i="3" s="1"/>
  <c r="Q720" i="3"/>
  <c r="S720" i="3" s="1"/>
  <c r="Q721" i="3"/>
  <c r="S721" i="3" s="1"/>
  <c r="Q722" i="3"/>
  <c r="Q723" i="3"/>
  <c r="Q724" i="3"/>
  <c r="S724" i="3" s="1"/>
  <c r="Q725" i="3"/>
  <c r="S725" i="3" s="1"/>
  <c r="Q726" i="3"/>
  <c r="S726" i="3" s="1"/>
  <c r="Q727" i="3"/>
  <c r="S727" i="3" s="1"/>
  <c r="Q728" i="3"/>
  <c r="S728" i="3" s="1"/>
  <c r="Q729" i="3"/>
  <c r="S729" i="3" s="1"/>
  <c r="Q730" i="3"/>
  <c r="S730" i="3" s="1"/>
  <c r="Q731" i="3"/>
  <c r="Q732" i="3"/>
  <c r="S732" i="3" s="1"/>
  <c r="Q733" i="3"/>
  <c r="S733" i="3" s="1"/>
  <c r="Q734" i="3"/>
  <c r="S734" i="3" s="1"/>
  <c r="Q735" i="3"/>
  <c r="S735" i="3" s="1"/>
  <c r="Q736" i="3"/>
  <c r="S736" i="3" s="1"/>
  <c r="Q737" i="3"/>
  <c r="S737" i="3" s="1"/>
  <c r="Q738" i="3"/>
  <c r="Q739" i="3"/>
  <c r="Q740" i="3"/>
  <c r="S740" i="3" s="1"/>
  <c r="Q741" i="3"/>
  <c r="S741" i="3" s="1"/>
  <c r="Q742" i="3"/>
  <c r="S742" i="3" s="1"/>
  <c r="Q743" i="3"/>
  <c r="S743" i="3" s="1"/>
  <c r="Q744" i="3"/>
  <c r="S744" i="3" s="1"/>
  <c r="Q745" i="3"/>
  <c r="S745" i="3" s="1"/>
  <c r="Q746" i="3"/>
  <c r="Q747" i="3"/>
  <c r="Q748" i="3"/>
  <c r="S748" i="3" s="1"/>
  <c r="Q749" i="3"/>
  <c r="S749" i="3" s="1"/>
  <c r="Q750" i="3"/>
  <c r="S750" i="3" s="1"/>
  <c r="Q751" i="3"/>
  <c r="S751" i="3" s="1"/>
  <c r="Q752" i="3"/>
  <c r="S752" i="3" s="1"/>
  <c r="Q753" i="3"/>
  <c r="S753" i="3" s="1"/>
  <c r="Q754" i="3"/>
  <c r="Q755" i="3"/>
  <c r="Q756" i="3"/>
  <c r="S756" i="3" s="1"/>
  <c r="Q757" i="3"/>
  <c r="S757" i="3" s="1"/>
  <c r="Q758" i="3"/>
  <c r="S758" i="3" s="1"/>
  <c r="Q759" i="3"/>
  <c r="S759" i="3" s="1"/>
  <c r="Q760" i="3"/>
  <c r="S760" i="3" s="1"/>
  <c r="Q761" i="3"/>
  <c r="S761" i="3" s="1"/>
  <c r="Q762" i="3"/>
  <c r="Q763" i="3"/>
  <c r="Q764" i="3"/>
  <c r="S764" i="3" s="1"/>
  <c r="Q765" i="3"/>
  <c r="S765" i="3" s="1"/>
  <c r="Q766" i="3"/>
  <c r="S766" i="3" s="1"/>
  <c r="Q767" i="3"/>
  <c r="S767" i="3" s="1"/>
  <c r="Q768" i="3"/>
  <c r="S768" i="3" s="1"/>
  <c r="Q769" i="3"/>
  <c r="S769" i="3" s="1"/>
  <c r="Q770" i="3"/>
  <c r="S770" i="3" s="1"/>
  <c r="Q771" i="3"/>
  <c r="Q772" i="3"/>
  <c r="S772" i="3" s="1"/>
  <c r="Q773" i="3"/>
  <c r="S773" i="3" s="1"/>
  <c r="Q774" i="3"/>
  <c r="S774" i="3" s="1"/>
  <c r="Q775" i="3"/>
  <c r="S775" i="3" s="1"/>
  <c r="Q776" i="3"/>
  <c r="S776" i="3" s="1"/>
  <c r="Q777" i="3"/>
  <c r="S777" i="3" s="1"/>
  <c r="Q778" i="3"/>
  <c r="O276" i="3"/>
  <c r="P276" i="3" s="1"/>
  <c r="L739" i="3"/>
  <c r="N739" i="3" s="1"/>
  <c r="T739" i="3" s="1"/>
  <c r="L690" i="3"/>
  <c r="N690" i="3" s="1"/>
  <c r="T690" i="3" s="1"/>
  <c r="L687" i="3"/>
  <c r="N687" i="3" s="1"/>
  <c r="T687" i="3" s="1"/>
  <c r="L500" i="3"/>
  <c r="N500" i="3" s="1"/>
  <c r="T500" i="3" s="1"/>
  <c r="L448" i="3"/>
  <c r="N448" i="3" s="1"/>
  <c r="T448" i="3" s="1"/>
  <c r="L326" i="3"/>
  <c r="L257" i="3"/>
  <c r="N257" i="3" s="1"/>
  <c r="T257" i="3" s="1"/>
  <c r="L241" i="3"/>
  <c r="N241" i="3" s="1"/>
  <c r="T241" i="3" s="1"/>
  <c r="L230" i="3"/>
  <c r="L771" i="3"/>
  <c r="N771" i="3" s="1"/>
  <c r="T771" i="3" s="1"/>
  <c r="L754" i="3"/>
  <c r="N754" i="3" s="1"/>
  <c r="T754" i="3" s="1"/>
  <c r="L753" i="3"/>
  <c r="N753" i="3" s="1"/>
  <c r="T753" i="3" s="1"/>
  <c r="L749" i="3"/>
  <c r="N749" i="3" s="1"/>
  <c r="T749" i="3" s="1"/>
  <c r="L702" i="3"/>
  <c r="L680" i="3"/>
  <c r="N680" i="3" s="1"/>
  <c r="T680" i="3" s="1"/>
  <c r="L652" i="3"/>
  <c r="N652" i="3" s="1"/>
  <c r="T652" i="3" s="1"/>
  <c r="L637" i="3"/>
  <c r="L598" i="3"/>
  <c r="L576" i="3"/>
  <c r="N576" i="3" s="1"/>
  <c r="T576" i="3" s="1"/>
  <c r="L497" i="3"/>
  <c r="N497" i="3" s="1"/>
  <c r="T497" i="3" s="1"/>
  <c r="L485" i="3"/>
  <c r="N485" i="3" s="1"/>
  <c r="T485" i="3" s="1"/>
  <c r="L467" i="3"/>
  <c r="N467" i="3" s="1"/>
  <c r="T467" i="3" s="1"/>
  <c r="L397" i="3"/>
  <c r="L336" i="3"/>
  <c r="N336" i="3" s="1"/>
  <c r="T336" i="3" s="1"/>
  <c r="L291" i="3"/>
  <c r="N291" i="3" s="1"/>
  <c r="T291" i="3" s="1"/>
  <c r="L274" i="3"/>
  <c r="N274" i="3" s="1"/>
  <c r="T274" i="3" s="1"/>
  <c r="L272" i="3"/>
  <c r="N272" i="3" s="1"/>
  <c r="T272" i="3" s="1"/>
  <c r="L260" i="3"/>
  <c r="N260" i="3" s="1"/>
  <c r="T260" i="3" s="1"/>
  <c r="L238" i="3"/>
  <c r="N238" i="3" s="1"/>
  <c r="T238" i="3" s="1"/>
  <c r="L216" i="3"/>
  <c r="N216" i="3" s="1"/>
  <c r="T216" i="3" s="1"/>
  <c r="L208" i="3"/>
  <c r="L188" i="3"/>
  <c r="L158" i="3"/>
  <c r="L150" i="3"/>
  <c r="L100" i="3"/>
  <c r="N100" i="3" s="1"/>
  <c r="T100" i="3" s="1"/>
  <c r="L96" i="3"/>
  <c r="N96" i="3" s="1"/>
  <c r="T96" i="3" s="1"/>
  <c r="L70" i="3"/>
  <c r="L58" i="3"/>
  <c r="L41" i="3"/>
  <c r="N41" i="3" s="1"/>
  <c r="T41" i="3" s="1"/>
  <c r="L31" i="3"/>
  <c r="L775" i="3"/>
  <c r="L725" i="3"/>
  <c r="L561" i="3"/>
  <c r="N561" i="3" s="1"/>
  <c r="T561" i="3" s="1"/>
  <c r="L535" i="3"/>
  <c r="N535" i="3" s="1"/>
  <c r="T535" i="3" s="1"/>
  <c r="L439" i="3"/>
  <c r="N439" i="3" s="1"/>
  <c r="T439" i="3" s="1"/>
  <c r="L370" i="3"/>
  <c r="N370" i="3" s="1"/>
  <c r="T370" i="3" s="1"/>
  <c r="L281" i="3"/>
  <c r="N281" i="3" s="1"/>
  <c r="T281" i="3" s="1"/>
  <c r="L244" i="3"/>
  <c r="N244" i="3" s="1"/>
  <c r="T244" i="3" s="1"/>
  <c r="L118" i="3"/>
  <c r="L91" i="3"/>
  <c r="L77" i="3"/>
  <c r="N77" i="3" s="1"/>
  <c r="T77" i="3" s="1"/>
  <c r="L3" i="3"/>
  <c r="L4" i="3"/>
  <c r="L5" i="3"/>
  <c r="L6" i="3"/>
  <c r="L7" i="3"/>
  <c r="L8" i="3"/>
  <c r="N8" i="3" s="1"/>
  <c r="T8" i="3" s="1"/>
  <c r="L9" i="3"/>
  <c r="N9" i="3" s="1"/>
  <c r="T9" i="3" s="1"/>
  <c r="L10" i="3"/>
  <c r="L11" i="3"/>
  <c r="L12" i="3"/>
  <c r="L13" i="3"/>
  <c r="L14" i="3"/>
  <c r="N14" i="3" s="1"/>
  <c r="T14" i="3" s="1"/>
  <c r="L15" i="3"/>
  <c r="N15" i="3" s="1"/>
  <c r="T15" i="3" s="1"/>
  <c r="L16" i="3"/>
  <c r="L17" i="3"/>
  <c r="L18" i="3"/>
  <c r="N18" i="3" s="1"/>
  <c r="T18" i="3" s="1"/>
  <c r="L19" i="3"/>
  <c r="L20" i="3"/>
  <c r="L21" i="3"/>
  <c r="L22" i="3"/>
  <c r="L23" i="3"/>
  <c r="L24" i="3"/>
  <c r="N24" i="3" s="1"/>
  <c r="T24" i="3" s="1"/>
  <c r="L25" i="3"/>
  <c r="N25" i="3" s="1"/>
  <c r="T25" i="3" s="1"/>
  <c r="L26" i="3"/>
  <c r="N26" i="3" s="1"/>
  <c r="T26" i="3" s="1"/>
  <c r="L27" i="3"/>
  <c r="L28" i="3"/>
  <c r="L29" i="3"/>
  <c r="N29" i="3" s="1"/>
  <c r="T29" i="3" s="1"/>
  <c r="L30" i="3"/>
  <c r="L32" i="3"/>
  <c r="L33" i="3"/>
  <c r="L34" i="3"/>
  <c r="L35" i="3"/>
  <c r="L36" i="3"/>
  <c r="L37" i="3"/>
  <c r="N37" i="3" s="1"/>
  <c r="T37" i="3" s="1"/>
  <c r="L38" i="3"/>
  <c r="N38" i="3" s="1"/>
  <c r="T38" i="3" s="1"/>
  <c r="L39" i="3"/>
  <c r="N39" i="3" s="1"/>
  <c r="T39" i="3" s="1"/>
  <c r="L40" i="3"/>
  <c r="N40" i="3" s="1"/>
  <c r="T40" i="3" s="1"/>
  <c r="L42" i="3"/>
  <c r="L43" i="3"/>
  <c r="L44" i="3"/>
  <c r="L45" i="3"/>
  <c r="L46" i="3"/>
  <c r="N46" i="3" s="1"/>
  <c r="T46" i="3" s="1"/>
  <c r="L47" i="3"/>
  <c r="L48" i="3"/>
  <c r="L49" i="3"/>
  <c r="L50" i="3"/>
  <c r="N50" i="3" s="1"/>
  <c r="T50" i="3" s="1"/>
  <c r="L51" i="3"/>
  <c r="L52" i="3"/>
  <c r="L53" i="3"/>
  <c r="N53" i="3" s="1"/>
  <c r="T53" i="3" s="1"/>
  <c r="L54" i="3"/>
  <c r="L55" i="3"/>
  <c r="L56" i="3"/>
  <c r="N56" i="3" s="1"/>
  <c r="T56" i="3" s="1"/>
  <c r="L57" i="3"/>
  <c r="N57" i="3" s="1"/>
  <c r="T57" i="3" s="1"/>
  <c r="L59" i="3"/>
  <c r="L60" i="3"/>
  <c r="L61" i="3"/>
  <c r="N61" i="3" s="1"/>
  <c r="T61" i="3" s="1"/>
  <c r="L62" i="3"/>
  <c r="L63" i="3"/>
  <c r="L64" i="3"/>
  <c r="N64" i="3" s="1"/>
  <c r="T64" i="3" s="1"/>
  <c r="L65" i="3"/>
  <c r="N65" i="3" s="1"/>
  <c r="T65" i="3" s="1"/>
  <c r="L66" i="3"/>
  <c r="N66" i="3" s="1"/>
  <c r="T66" i="3" s="1"/>
  <c r="L67" i="3"/>
  <c r="N67" i="3" s="1"/>
  <c r="T67" i="3" s="1"/>
  <c r="L68" i="3"/>
  <c r="L69" i="3"/>
  <c r="N69" i="3" s="1"/>
  <c r="T69" i="3" s="1"/>
  <c r="L71" i="3"/>
  <c r="L72" i="3"/>
  <c r="N72" i="3" s="1"/>
  <c r="T72" i="3" s="1"/>
  <c r="L73" i="3"/>
  <c r="L74" i="3"/>
  <c r="N74" i="3" s="1"/>
  <c r="T74" i="3" s="1"/>
  <c r="L75" i="3"/>
  <c r="N75" i="3" s="1"/>
  <c r="T75" i="3" s="1"/>
  <c r="L76" i="3"/>
  <c r="N76" i="3" s="1"/>
  <c r="T76" i="3" s="1"/>
  <c r="L78" i="3"/>
  <c r="L79" i="3"/>
  <c r="L80" i="3"/>
  <c r="N80" i="3" s="1"/>
  <c r="T80" i="3" s="1"/>
  <c r="L81" i="3"/>
  <c r="N81" i="3" s="1"/>
  <c r="T81" i="3" s="1"/>
  <c r="L82" i="3"/>
  <c r="L83" i="3"/>
  <c r="L84" i="3"/>
  <c r="N84" i="3" s="1"/>
  <c r="T84" i="3" s="1"/>
  <c r="L85" i="3"/>
  <c r="N85" i="3" s="1"/>
  <c r="T85" i="3" s="1"/>
  <c r="L86" i="3"/>
  <c r="L87" i="3"/>
  <c r="L88" i="3"/>
  <c r="N88" i="3" s="1"/>
  <c r="T88" i="3" s="1"/>
  <c r="L89" i="3"/>
  <c r="N89" i="3" s="1"/>
  <c r="T89" i="3" s="1"/>
  <c r="L90" i="3"/>
  <c r="L92" i="3"/>
  <c r="L93" i="3"/>
  <c r="L94" i="3"/>
  <c r="L95" i="3"/>
  <c r="L97" i="3"/>
  <c r="N97" i="3" s="1"/>
  <c r="T97" i="3" s="1"/>
  <c r="L98" i="3"/>
  <c r="N98" i="3" s="1"/>
  <c r="T98" i="3" s="1"/>
  <c r="L99" i="3"/>
  <c r="N99" i="3" s="1"/>
  <c r="T99" i="3" s="1"/>
  <c r="L101" i="3"/>
  <c r="L102" i="3"/>
  <c r="L103" i="3"/>
  <c r="L104" i="3"/>
  <c r="L105" i="3"/>
  <c r="L106" i="3"/>
  <c r="N106" i="3" s="1"/>
  <c r="T106" i="3" s="1"/>
  <c r="L107" i="3"/>
  <c r="N107" i="3" s="1"/>
  <c r="T107" i="3" s="1"/>
  <c r="L108" i="3"/>
  <c r="N108" i="3" s="1"/>
  <c r="T108" i="3" s="1"/>
  <c r="L109" i="3"/>
  <c r="N109" i="3" s="1"/>
  <c r="T109" i="3" s="1"/>
  <c r="L110" i="3"/>
  <c r="L111" i="3"/>
  <c r="L112" i="3"/>
  <c r="L113" i="3"/>
  <c r="L114" i="3"/>
  <c r="N114" i="3" s="1"/>
  <c r="T114" i="3" s="1"/>
  <c r="L115" i="3"/>
  <c r="N115" i="3" s="1"/>
  <c r="T115" i="3" s="1"/>
  <c r="L116" i="3"/>
  <c r="N116" i="3" s="1"/>
  <c r="T116" i="3" s="1"/>
  <c r="L117" i="3"/>
  <c r="N117" i="3" s="1"/>
  <c r="T117" i="3" s="1"/>
  <c r="L119" i="3"/>
  <c r="L120" i="3"/>
  <c r="N120" i="3" s="1"/>
  <c r="T120" i="3" s="1"/>
  <c r="L121" i="3"/>
  <c r="N121" i="3" s="1"/>
  <c r="T121" i="3" s="1"/>
  <c r="L122" i="3"/>
  <c r="L123" i="3"/>
  <c r="N123" i="3" s="1"/>
  <c r="T123" i="3" s="1"/>
  <c r="L124" i="3"/>
  <c r="N124" i="3" s="1"/>
  <c r="T124" i="3" s="1"/>
  <c r="L125" i="3"/>
  <c r="N125" i="3" s="1"/>
  <c r="T125" i="3" s="1"/>
  <c r="L126" i="3"/>
  <c r="L127" i="3"/>
  <c r="L128" i="3"/>
  <c r="N128" i="3" s="1"/>
  <c r="T128" i="3" s="1"/>
  <c r="L129" i="3"/>
  <c r="N129" i="3" s="1"/>
  <c r="T129" i="3" s="1"/>
  <c r="L130" i="3"/>
  <c r="N130" i="3" s="1"/>
  <c r="T130" i="3" s="1"/>
  <c r="L131" i="3"/>
  <c r="N131" i="3" s="1"/>
  <c r="T131" i="3" s="1"/>
  <c r="L132" i="3"/>
  <c r="N132" i="3" s="1"/>
  <c r="T132" i="3" s="1"/>
  <c r="L133" i="3"/>
  <c r="N133" i="3" s="1"/>
  <c r="T133" i="3" s="1"/>
  <c r="L134" i="3"/>
  <c r="L135" i="3"/>
  <c r="L136" i="3"/>
  <c r="L137" i="3"/>
  <c r="L138" i="3"/>
  <c r="N138" i="3" s="1"/>
  <c r="T138" i="3" s="1"/>
  <c r="L139" i="3"/>
  <c r="N139" i="3" s="1"/>
  <c r="T139" i="3" s="1"/>
  <c r="L140" i="3"/>
  <c r="N140" i="3" s="1"/>
  <c r="T140" i="3" s="1"/>
  <c r="L141" i="3"/>
  <c r="N141" i="3" s="1"/>
  <c r="T141" i="3" s="1"/>
  <c r="L142" i="3"/>
  <c r="L143" i="3"/>
  <c r="L144" i="3"/>
  <c r="L145" i="3"/>
  <c r="L146" i="3"/>
  <c r="L147" i="3"/>
  <c r="N147" i="3" s="1"/>
  <c r="T147" i="3" s="1"/>
  <c r="L148" i="3"/>
  <c r="N148" i="3" s="1"/>
  <c r="T148" i="3" s="1"/>
  <c r="L149" i="3"/>
  <c r="N149" i="3" s="1"/>
  <c r="T149" i="3" s="1"/>
  <c r="L151" i="3"/>
  <c r="L152" i="3"/>
  <c r="N152" i="3" s="1"/>
  <c r="T152" i="3" s="1"/>
  <c r="L153" i="3"/>
  <c r="N153" i="3" s="1"/>
  <c r="T153" i="3" s="1"/>
  <c r="L154" i="3"/>
  <c r="L155" i="3"/>
  <c r="L156" i="3"/>
  <c r="N156" i="3" s="1"/>
  <c r="T156" i="3" s="1"/>
  <c r="L157" i="3"/>
  <c r="N157" i="3" s="1"/>
  <c r="T157" i="3" s="1"/>
  <c r="L159" i="3"/>
  <c r="L160" i="3"/>
  <c r="N160" i="3" s="1"/>
  <c r="T160" i="3" s="1"/>
  <c r="L161" i="3"/>
  <c r="N161" i="3" s="1"/>
  <c r="T161" i="3" s="1"/>
  <c r="L162" i="3"/>
  <c r="N162" i="3" s="1"/>
  <c r="T162" i="3" s="1"/>
  <c r="L163" i="3"/>
  <c r="N163" i="3" s="1"/>
  <c r="T163" i="3" s="1"/>
  <c r="L164" i="3"/>
  <c r="L165" i="3"/>
  <c r="N165" i="3" s="1"/>
  <c r="T165" i="3" s="1"/>
  <c r="L166" i="3"/>
  <c r="L167" i="3"/>
  <c r="L168" i="3"/>
  <c r="L169" i="3"/>
  <c r="L170" i="3"/>
  <c r="N170" i="3" s="1"/>
  <c r="T170" i="3" s="1"/>
  <c r="L171" i="3"/>
  <c r="N171" i="3" s="1"/>
  <c r="T171" i="3" s="1"/>
  <c r="L172" i="3"/>
  <c r="N172" i="3" s="1"/>
  <c r="T172" i="3" s="1"/>
  <c r="L173" i="3"/>
  <c r="N173" i="3" s="1"/>
  <c r="T173" i="3" s="1"/>
  <c r="L174" i="3"/>
  <c r="L175" i="3"/>
  <c r="L176" i="3"/>
  <c r="L177" i="3"/>
  <c r="L178" i="3"/>
  <c r="L179" i="3"/>
  <c r="N179" i="3" s="1"/>
  <c r="T179" i="3" s="1"/>
  <c r="L180" i="3"/>
  <c r="N180" i="3" s="1"/>
  <c r="T180" i="3" s="1"/>
  <c r="L181" i="3"/>
  <c r="N181" i="3" s="1"/>
  <c r="T181" i="3" s="1"/>
  <c r="L182" i="3"/>
  <c r="L183" i="3"/>
  <c r="L184" i="3"/>
  <c r="N184" i="3" s="1"/>
  <c r="T184" i="3" s="1"/>
  <c r="L185" i="3"/>
  <c r="N185" i="3" s="1"/>
  <c r="T185" i="3" s="1"/>
  <c r="L186" i="3"/>
  <c r="L187" i="3"/>
  <c r="L189" i="3"/>
  <c r="L190" i="3"/>
  <c r="L191" i="3"/>
  <c r="L192" i="3"/>
  <c r="N192" i="3" s="1"/>
  <c r="T192" i="3" s="1"/>
  <c r="L193" i="3"/>
  <c r="N193" i="3" s="1"/>
  <c r="T193" i="3" s="1"/>
  <c r="L194" i="3"/>
  <c r="N194" i="3" s="1"/>
  <c r="T194" i="3" s="1"/>
  <c r="L195" i="3"/>
  <c r="N195" i="3" s="1"/>
  <c r="T195" i="3" s="1"/>
  <c r="L196" i="3"/>
  <c r="L197" i="3"/>
  <c r="L198" i="3"/>
  <c r="L199" i="3"/>
  <c r="L200" i="3"/>
  <c r="N200" i="3" s="1"/>
  <c r="T200" i="3" s="1"/>
  <c r="L201" i="3"/>
  <c r="L202" i="3"/>
  <c r="N202" i="3" s="1"/>
  <c r="T202" i="3" s="1"/>
  <c r="L203" i="3"/>
  <c r="N203" i="3" s="1"/>
  <c r="T203" i="3" s="1"/>
  <c r="L204" i="3"/>
  <c r="N204" i="3" s="1"/>
  <c r="T204" i="3" s="1"/>
  <c r="L205" i="3"/>
  <c r="N205" i="3" s="1"/>
  <c r="T205" i="3" s="1"/>
  <c r="L206" i="3"/>
  <c r="L207" i="3"/>
  <c r="L209" i="3"/>
  <c r="N209" i="3" s="1"/>
  <c r="T209" i="3" s="1"/>
  <c r="L210" i="3"/>
  <c r="L211" i="3"/>
  <c r="L212" i="3"/>
  <c r="N212" i="3" s="1"/>
  <c r="T212" i="3" s="1"/>
  <c r="L213" i="3"/>
  <c r="N213" i="3" s="1"/>
  <c r="T213" i="3" s="1"/>
  <c r="L214" i="3"/>
  <c r="L215" i="3"/>
  <c r="L217" i="3"/>
  <c r="N217" i="3" s="1"/>
  <c r="T217" i="3" s="1"/>
  <c r="L218" i="3"/>
  <c r="N218" i="3" s="1"/>
  <c r="T218" i="3" s="1"/>
  <c r="L219" i="3"/>
  <c r="L220" i="3"/>
  <c r="L221" i="3"/>
  <c r="L222" i="3"/>
  <c r="L223" i="3"/>
  <c r="L224" i="3"/>
  <c r="N224" i="3" s="1"/>
  <c r="T224" i="3" s="1"/>
  <c r="L225" i="3"/>
  <c r="N225" i="3" s="1"/>
  <c r="T225" i="3" s="1"/>
  <c r="L226" i="3"/>
  <c r="N226" i="3" s="1"/>
  <c r="T226" i="3" s="1"/>
  <c r="L227" i="3"/>
  <c r="N227" i="3" s="1"/>
  <c r="T227" i="3" s="1"/>
  <c r="L228" i="3"/>
  <c r="L229" i="3"/>
  <c r="L231" i="3"/>
  <c r="L232" i="3"/>
  <c r="L233" i="3"/>
  <c r="N233" i="3" s="1"/>
  <c r="T233" i="3" s="1"/>
  <c r="L234" i="3"/>
  <c r="N234" i="3" s="1"/>
  <c r="T234" i="3" s="1"/>
  <c r="L235" i="3"/>
  <c r="N235" i="3" s="1"/>
  <c r="T235" i="3" s="1"/>
  <c r="L236" i="3"/>
  <c r="N236" i="3" s="1"/>
  <c r="T236" i="3" s="1"/>
  <c r="L237" i="3"/>
  <c r="L239" i="3"/>
  <c r="L240" i="3"/>
  <c r="L242" i="3"/>
  <c r="N242" i="3" s="1"/>
  <c r="T242" i="3" s="1"/>
  <c r="L243" i="3"/>
  <c r="N243" i="3" s="1"/>
  <c r="T243" i="3" s="1"/>
  <c r="L245" i="3"/>
  <c r="N245" i="3" s="1"/>
  <c r="T245" i="3" s="1"/>
  <c r="L246" i="3"/>
  <c r="N246" i="3" s="1"/>
  <c r="T246" i="3" s="1"/>
  <c r="L247" i="3"/>
  <c r="L248" i="3"/>
  <c r="L249" i="3"/>
  <c r="N249" i="3" s="1"/>
  <c r="T249" i="3" s="1"/>
  <c r="L250" i="3"/>
  <c r="N250" i="3" s="1"/>
  <c r="T250" i="3" s="1"/>
  <c r="L251" i="3"/>
  <c r="N251" i="3" s="1"/>
  <c r="T251" i="3" s="1"/>
  <c r="L252" i="3"/>
  <c r="N252" i="3" s="1"/>
  <c r="T252" i="3" s="1"/>
  <c r="L253" i="3"/>
  <c r="N253" i="3" s="1"/>
  <c r="T253" i="3" s="1"/>
  <c r="L254" i="3"/>
  <c r="N254" i="3" s="1"/>
  <c r="T254" i="3" s="1"/>
  <c r="L255" i="3"/>
  <c r="L256" i="3"/>
  <c r="L258" i="3"/>
  <c r="N258" i="3" s="1"/>
  <c r="T258" i="3" s="1"/>
  <c r="L259" i="3"/>
  <c r="N259" i="3" s="1"/>
  <c r="T259" i="3" s="1"/>
  <c r="L261" i="3"/>
  <c r="L262" i="3"/>
  <c r="N262" i="3" s="1"/>
  <c r="T262" i="3" s="1"/>
  <c r="L263" i="3"/>
  <c r="N263" i="3" s="1"/>
  <c r="T263" i="3" s="1"/>
  <c r="L264" i="3"/>
  <c r="N264" i="3" s="1"/>
  <c r="T264" i="3" s="1"/>
  <c r="L265" i="3"/>
  <c r="N265" i="3" s="1"/>
  <c r="T265" i="3" s="1"/>
  <c r="L266" i="3"/>
  <c r="N266" i="3" s="1"/>
  <c r="T266" i="3" s="1"/>
  <c r="L267" i="3"/>
  <c r="N267" i="3" s="1"/>
  <c r="T267" i="3" s="1"/>
  <c r="L268" i="3"/>
  <c r="N268" i="3" s="1"/>
  <c r="T268" i="3" s="1"/>
  <c r="L269" i="3"/>
  <c r="L270" i="3"/>
  <c r="N270" i="3" s="1"/>
  <c r="T270" i="3" s="1"/>
  <c r="L271" i="3"/>
  <c r="N271" i="3" s="1"/>
  <c r="T271" i="3" s="1"/>
  <c r="L273" i="3"/>
  <c r="N273" i="3" s="1"/>
  <c r="T273" i="3" s="1"/>
  <c r="L275" i="3"/>
  <c r="L276" i="3"/>
  <c r="N276" i="3" s="1"/>
  <c r="T276" i="3" s="1"/>
  <c r="L277" i="3"/>
  <c r="L278" i="3"/>
  <c r="L279" i="3"/>
  <c r="L280" i="3"/>
  <c r="N280" i="3" s="1"/>
  <c r="T280" i="3" s="1"/>
  <c r="L282" i="3"/>
  <c r="N282" i="3" s="1"/>
  <c r="T282" i="3" s="1"/>
  <c r="L283" i="3"/>
  <c r="N283" i="3" s="1"/>
  <c r="T283" i="3" s="1"/>
  <c r="L284" i="3"/>
  <c r="N284" i="3" s="1"/>
  <c r="T284" i="3" s="1"/>
  <c r="L285" i="3"/>
  <c r="L286" i="3"/>
  <c r="L287" i="3"/>
  <c r="L288" i="3"/>
  <c r="L289" i="3"/>
  <c r="N289" i="3" s="1"/>
  <c r="T289" i="3" s="1"/>
  <c r="L290" i="3"/>
  <c r="N290" i="3" s="1"/>
  <c r="T290" i="3" s="1"/>
  <c r="L292" i="3"/>
  <c r="N292" i="3" s="1"/>
  <c r="T292" i="3" s="1"/>
  <c r="L293" i="3"/>
  <c r="L294" i="3"/>
  <c r="L295" i="3"/>
  <c r="L296" i="3"/>
  <c r="L297" i="3"/>
  <c r="N297" i="3" s="1"/>
  <c r="T297" i="3" s="1"/>
  <c r="L298" i="3"/>
  <c r="N298" i="3" s="1"/>
  <c r="T298" i="3" s="1"/>
  <c r="L299" i="3"/>
  <c r="N299" i="3" s="1"/>
  <c r="T299" i="3" s="1"/>
  <c r="L300" i="3"/>
  <c r="N300" i="3" s="1"/>
  <c r="T300" i="3" s="1"/>
  <c r="L301" i="3"/>
  <c r="L302" i="3"/>
  <c r="L303" i="3"/>
  <c r="L304" i="3"/>
  <c r="N304" i="3" s="1"/>
  <c r="T304" i="3" s="1"/>
  <c r="L305" i="3"/>
  <c r="N305" i="3" s="1"/>
  <c r="T305" i="3" s="1"/>
  <c r="L306" i="3"/>
  <c r="N306" i="3" s="1"/>
  <c r="T306" i="3" s="1"/>
  <c r="L307" i="3"/>
  <c r="N307" i="3" s="1"/>
  <c r="T307" i="3" s="1"/>
  <c r="L308" i="3"/>
  <c r="N308" i="3" s="1"/>
  <c r="T308" i="3" s="1"/>
  <c r="L309" i="3"/>
  <c r="L310" i="3"/>
  <c r="L311" i="3"/>
  <c r="L312" i="3"/>
  <c r="N312" i="3" s="1"/>
  <c r="T312" i="3" s="1"/>
  <c r="L313" i="3"/>
  <c r="N313" i="3" s="1"/>
  <c r="T313" i="3" s="1"/>
  <c r="L314" i="3"/>
  <c r="N314" i="3" s="1"/>
  <c r="T314" i="3" s="1"/>
  <c r="L315" i="3"/>
  <c r="N315" i="3" s="1"/>
  <c r="T315" i="3" s="1"/>
  <c r="L316" i="3"/>
  <c r="N316" i="3" s="1"/>
  <c r="T316" i="3" s="1"/>
  <c r="L317" i="3"/>
  <c r="L318" i="3"/>
  <c r="L319" i="3"/>
  <c r="L320" i="3"/>
  <c r="N320" i="3" s="1"/>
  <c r="T320" i="3" s="1"/>
  <c r="L321" i="3"/>
  <c r="N321" i="3" s="1"/>
  <c r="T321" i="3" s="1"/>
  <c r="L322" i="3"/>
  <c r="N322" i="3" s="1"/>
  <c r="T322" i="3" s="1"/>
  <c r="L323" i="3"/>
  <c r="N323" i="3" s="1"/>
  <c r="T323" i="3" s="1"/>
  <c r="L324" i="3"/>
  <c r="N324" i="3" s="1"/>
  <c r="T324" i="3" s="1"/>
  <c r="L325" i="3"/>
  <c r="L327" i="3"/>
  <c r="L328" i="3"/>
  <c r="N328" i="3" s="1"/>
  <c r="T328" i="3" s="1"/>
  <c r="L329" i="3"/>
  <c r="N329" i="3" s="1"/>
  <c r="T329" i="3" s="1"/>
  <c r="L330" i="3"/>
  <c r="N330" i="3" s="1"/>
  <c r="T330" i="3" s="1"/>
  <c r="L331" i="3"/>
  <c r="N331" i="3" s="1"/>
  <c r="T331" i="3" s="1"/>
  <c r="L332" i="3"/>
  <c r="N332" i="3" s="1"/>
  <c r="T332" i="3" s="1"/>
  <c r="L333" i="3"/>
  <c r="N333" i="3" s="1"/>
  <c r="T333" i="3" s="1"/>
  <c r="L334" i="3"/>
  <c r="L335" i="3"/>
  <c r="L337" i="3"/>
  <c r="N337" i="3" s="1"/>
  <c r="T337" i="3" s="1"/>
  <c r="L338" i="3"/>
  <c r="N338" i="3" s="1"/>
  <c r="T338" i="3" s="1"/>
  <c r="L339" i="3"/>
  <c r="N339" i="3" s="1"/>
  <c r="T339" i="3" s="1"/>
  <c r="L340" i="3"/>
  <c r="N340" i="3" s="1"/>
  <c r="T340" i="3" s="1"/>
  <c r="L341" i="3"/>
  <c r="N341" i="3" s="1"/>
  <c r="T341" i="3" s="1"/>
  <c r="L342" i="3"/>
  <c r="N342" i="3" s="1"/>
  <c r="T342" i="3" s="1"/>
  <c r="L343" i="3"/>
  <c r="L344" i="3"/>
  <c r="N344" i="3" s="1"/>
  <c r="T344" i="3" s="1"/>
  <c r="L345" i="3"/>
  <c r="N345" i="3" s="1"/>
  <c r="T345" i="3" s="1"/>
  <c r="L346" i="3"/>
  <c r="N346" i="3" s="1"/>
  <c r="T346" i="3" s="1"/>
  <c r="L347" i="3"/>
  <c r="N347" i="3" s="1"/>
  <c r="T347" i="3" s="1"/>
  <c r="L348" i="3"/>
  <c r="N348" i="3" s="1"/>
  <c r="T348" i="3" s="1"/>
  <c r="L349" i="3"/>
  <c r="N349" i="3" s="1"/>
  <c r="T349" i="3" s="1"/>
  <c r="L350" i="3"/>
  <c r="N350" i="3" s="1"/>
  <c r="T350" i="3" s="1"/>
  <c r="L351" i="3"/>
  <c r="L352" i="3"/>
  <c r="N352" i="3" s="1"/>
  <c r="T352" i="3" s="1"/>
  <c r="L353" i="3"/>
  <c r="N353" i="3" s="1"/>
  <c r="T353" i="3" s="1"/>
  <c r="L354" i="3"/>
  <c r="N354" i="3" s="1"/>
  <c r="T354" i="3" s="1"/>
  <c r="L355" i="3"/>
  <c r="N355" i="3" s="1"/>
  <c r="T355" i="3" s="1"/>
  <c r="L356" i="3"/>
  <c r="N356" i="3" s="1"/>
  <c r="T356" i="3" s="1"/>
  <c r="L357" i="3"/>
  <c r="N357" i="3" s="1"/>
  <c r="T357" i="3" s="1"/>
  <c r="L358" i="3"/>
  <c r="N358" i="3" s="1"/>
  <c r="T358" i="3" s="1"/>
  <c r="L359" i="3"/>
  <c r="L360" i="3"/>
  <c r="N360" i="3" s="1"/>
  <c r="T360" i="3" s="1"/>
  <c r="L361" i="3"/>
  <c r="N361" i="3" s="1"/>
  <c r="T361" i="3" s="1"/>
  <c r="L362" i="3"/>
  <c r="N362" i="3" s="1"/>
  <c r="T362" i="3" s="1"/>
  <c r="L363" i="3"/>
  <c r="N363" i="3" s="1"/>
  <c r="T363" i="3" s="1"/>
  <c r="L364" i="3"/>
  <c r="N364" i="3" s="1"/>
  <c r="T364" i="3" s="1"/>
  <c r="L365" i="3"/>
  <c r="N365" i="3" s="1"/>
  <c r="T365" i="3" s="1"/>
  <c r="L366" i="3"/>
  <c r="N366" i="3" s="1"/>
  <c r="T366" i="3" s="1"/>
  <c r="L367" i="3"/>
  <c r="L368" i="3"/>
  <c r="N368" i="3" s="1"/>
  <c r="T368" i="3" s="1"/>
  <c r="L369" i="3"/>
  <c r="N369" i="3" s="1"/>
  <c r="T369" i="3" s="1"/>
  <c r="L371" i="3"/>
  <c r="N371" i="3" s="1"/>
  <c r="T371" i="3" s="1"/>
  <c r="L372" i="3"/>
  <c r="N372" i="3" s="1"/>
  <c r="T372" i="3" s="1"/>
  <c r="L373" i="3"/>
  <c r="N373" i="3" s="1"/>
  <c r="T373" i="3" s="1"/>
  <c r="L374" i="3"/>
  <c r="N374" i="3" s="1"/>
  <c r="T374" i="3" s="1"/>
  <c r="L375" i="3"/>
  <c r="N375" i="3" s="1"/>
  <c r="T375" i="3" s="1"/>
  <c r="L376" i="3"/>
  <c r="N376" i="3" s="1"/>
  <c r="T376" i="3" s="1"/>
  <c r="L377" i="3"/>
  <c r="N377" i="3" s="1"/>
  <c r="T377" i="3" s="1"/>
  <c r="L378" i="3"/>
  <c r="N378" i="3" s="1"/>
  <c r="T378" i="3" s="1"/>
  <c r="L379" i="3"/>
  <c r="N379" i="3" s="1"/>
  <c r="T379" i="3" s="1"/>
  <c r="L380" i="3"/>
  <c r="N380" i="3" s="1"/>
  <c r="T380" i="3" s="1"/>
  <c r="L381" i="3"/>
  <c r="N381" i="3" s="1"/>
  <c r="T381" i="3" s="1"/>
  <c r="L382" i="3"/>
  <c r="N382" i="3" s="1"/>
  <c r="T382" i="3" s="1"/>
  <c r="L383" i="3"/>
  <c r="N383" i="3" s="1"/>
  <c r="T383" i="3" s="1"/>
  <c r="L384" i="3"/>
  <c r="N384" i="3" s="1"/>
  <c r="T384" i="3" s="1"/>
  <c r="L385" i="3"/>
  <c r="N385" i="3" s="1"/>
  <c r="T385" i="3" s="1"/>
  <c r="L386" i="3"/>
  <c r="L387" i="3"/>
  <c r="N387" i="3" s="1"/>
  <c r="T387" i="3" s="1"/>
  <c r="L388" i="3"/>
  <c r="N388" i="3" s="1"/>
  <c r="T388" i="3" s="1"/>
  <c r="L389" i="3"/>
  <c r="N389" i="3" s="1"/>
  <c r="T389" i="3" s="1"/>
  <c r="L390" i="3"/>
  <c r="N390" i="3" s="1"/>
  <c r="T390" i="3" s="1"/>
  <c r="L391" i="3"/>
  <c r="N391" i="3" s="1"/>
  <c r="T391" i="3" s="1"/>
  <c r="L392" i="3"/>
  <c r="N392" i="3" s="1"/>
  <c r="T392" i="3" s="1"/>
  <c r="L393" i="3"/>
  <c r="N393" i="3" s="1"/>
  <c r="T393" i="3" s="1"/>
  <c r="L394" i="3"/>
  <c r="N394" i="3" s="1"/>
  <c r="T394" i="3" s="1"/>
  <c r="L395" i="3"/>
  <c r="N395" i="3" s="1"/>
  <c r="T395" i="3" s="1"/>
  <c r="L396" i="3"/>
  <c r="N396" i="3" s="1"/>
  <c r="T396" i="3" s="1"/>
  <c r="L398" i="3"/>
  <c r="N398" i="3" s="1"/>
  <c r="T398" i="3" s="1"/>
  <c r="L399" i="3"/>
  <c r="N399" i="3" s="1"/>
  <c r="T399" i="3" s="1"/>
  <c r="L400" i="3"/>
  <c r="N400" i="3" s="1"/>
  <c r="T400" i="3" s="1"/>
  <c r="L401" i="3"/>
  <c r="N401" i="3" s="1"/>
  <c r="T401" i="3" s="1"/>
  <c r="L402" i="3"/>
  <c r="N402" i="3" s="1"/>
  <c r="T402" i="3" s="1"/>
  <c r="L403" i="3"/>
  <c r="N403" i="3" s="1"/>
  <c r="T403" i="3" s="1"/>
  <c r="L404" i="3"/>
  <c r="N404" i="3" s="1"/>
  <c r="T404" i="3" s="1"/>
  <c r="L405" i="3"/>
  <c r="L406" i="3"/>
  <c r="N406" i="3" s="1"/>
  <c r="T406" i="3" s="1"/>
  <c r="L407" i="3"/>
  <c r="N407" i="3" s="1"/>
  <c r="T407" i="3" s="1"/>
  <c r="L408" i="3"/>
  <c r="N408" i="3" s="1"/>
  <c r="T408" i="3" s="1"/>
  <c r="L409" i="3"/>
  <c r="N409" i="3" s="1"/>
  <c r="T409" i="3" s="1"/>
  <c r="L410" i="3"/>
  <c r="N410" i="3" s="1"/>
  <c r="T410" i="3" s="1"/>
  <c r="L411" i="3"/>
  <c r="N411" i="3" s="1"/>
  <c r="T411" i="3" s="1"/>
  <c r="L412" i="3"/>
  <c r="N412" i="3" s="1"/>
  <c r="T412" i="3" s="1"/>
  <c r="L413" i="3"/>
  <c r="L414" i="3"/>
  <c r="N414" i="3" s="1"/>
  <c r="T414" i="3" s="1"/>
  <c r="L415" i="3"/>
  <c r="N415" i="3" s="1"/>
  <c r="T415" i="3" s="1"/>
  <c r="L416" i="3"/>
  <c r="N416" i="3" s="1"/>
  <c r="T416" i="3" s="1"/>
  <c r="L417" i="3"/>
  <c r="N417" i="3" s="1"/>
  <c r="T417" i="3" s="1"/>
  <c r="L418" i="3"/>
  <c r="N418" i="3" s="1"/>
  <c r="T418" i="3" s="1"/>
  <c r="L419" i="3"/>
  <c r="N419" i="3" s="1"/>
  <c r="T419" i="3" s="1"/>
  <c r="L420" i="3"/>
  <c r="N420" i="3" s="1"/>
  <c r="T420" i="3" s="1"/>
  <c r="L421" i="3"/>
  <c r="L422" i="3"/>
  <c r="N422" i="3" s="1"/>
  <c r="T422" i="3" s="1"/>
  <c r="L423" i="3"/>
  <c r="N423" i="3" s="1"/>
  <c r="T423" i="3" s="1"/>
  <c r="L424" i="3"/>
  <c r="N424" i="3" s="1"/>
  <c r="T424" i="3" s="1"/>
  <c r="L425" i="3"/>
  <c r="N425" i="3" s="1"/>
  <c r="T425" i="3" s="1"/>
  <c r="L426" i="3"/>
  <c r="N426" i="3" s="1"/>
  <c r="T426" i="3" s="1"/>
  <c r="L427" i="3"/>
  <c r="N427" i="3" s="1"/>
  <c r="T427" i="3" s="1"/>
  <c r="L428" i="3"/>
  <c r="N428" i="3" s="1"/>
  <c r="T428" i="3" s="1"/>
  <c r="L429" i="3"/>
  <c r="L430" i="3"/>
  <c r="N430" i="3" s="1"/>
  <c r="T430" i="3" s="1"/>
  <c r="L431" i="3"/>
  <c r="N431" i="3" s="1"/>
  <c r="T431" i="3" s="1"/>
  <c r="L432" i="3"/>
  <c r="N432" i="3" s="1"/>
  <c r="T432" i="3" s="1"/>
  <c r="L433" i="3"/>
  <c r="N433" i="3" s="1"/>
  <c r="T433" i="3" s="1"/>
  <c r="L434" i="3"/>
  <c r="N434" i="3" s="1"/>
  <c r="T434" i="3" s="1"/>
  <c r="L435" i="3"/>
  <c r="N435" i="3" s="1"/>
  <c r="T435" i="3" s="1"/>
  <c r="L436" i="3"/>
  <c r="N436" i="3" s="1"/>
  <c r="T436" i="3" s="1"/>
  <c r="L437" i="3"/>
  <c r="L438" i="3"/>
  <c r="N438" i="3" s="1"/>
  <c r="T438" i="3" s="1"/>
  <c r="L440" i="3"/>
  <c r="N440" i="3" s="1"/>
  <c r="T440" i="3" s="1"/>
  <c r="L441" i="3"/>
  <c r="N441" i="3" s="1"/>
  <c r="T441" i="3" s="1"/>
  <c r="L442" i="3"/>
  <c r="N442" i="3" s="1"/>
  <c r="T442" i="3" s="1"/>
  <c r="L443" i="3"/>
  <c r="N443" i="3" s="1"/>
  <c r="T443" i="3" s="1"/>
  <c r="L444" i="3"/>
  <c r="N444" i="3" s="1"/>
  <c r="T444" i="3" s="1"/>
  <c r="L445" i="3"/>
  <c r="L446" i="3"/>
  <c r="L447" i="3"/>
  <c r="N447" i="3" s="1"/>
  <c r="T447" i="3" s="1"/>
  <c r="L449" i="3"/>
  <c r="N449" i="3" s="1"/>
  <c r="T449" i="3" s="1"/>
  <c r="L450" i="3"/>
  <c r="N450" i="3" s="1"/>
  <c r="T450" i="3" s="1"/>
  <c r="L451" i="3"/>
  <c r="N451" i="3" s="1"/>
  <c r="T451" i="3" s="1"/>
  <c r="L452" i="3"/>
  <c r="N452" i="3" s="1"/>
  <c r="T452" i="3" s="1"/>
  <c r="L453" i="3"/>
  <c r="L454" i="3"/>
  <c r="L455" i="3"/>
  <c r="L456" i="3"/>
  <c r="N456" i="3" s="1"/>
  <c r="T456" i="3" s="1"/>
  <c r="L457" i="3"/>
  <c r="N457" i="3" s="1"/>
  <c r="T457" i="3" s="1"/>
  <c r="L458" i="3"/>
  <c r="N458" i="3" s="1"/>
  <c r="T458" i="3" s="1"/>
  <c r="L459" i="3"/>
  <c r="N459" i="3" s="1"/>
  <c r="T459" i="3" s="1"/>
  <c r="L460" i="3"/>
  <c r="N460" i="3" s="1"/>
  <c r="T460" i="3" s="1"/>
  <c r="L461" i="3"/>
  <c r="L462" i="3"/>
  <c r="L463" i="3"/>
  <c r="L464" i="3"/>
  <c r="N464" i="3" s="1"/>
  <c r="T464" i="3" s="1"/>
  <c r="L465" i="3"/>
  <c r="N465" i="3" s="1"/>
  <c r="T465" i="3" s="1"/>
  <c r="L466" i="3"/>
  <c r="N466" i="3" s="1"/>
  <c r="T466" i="3" s="1"/>
  <c r="L468" i="3"/>
  <c r="N468" i="3" s="1"/>
  <c r="T468" i="3" s="1"/>
  <c r="L469" i="3"/>
  <c r="L470" i="3"/>
  <c r="L471" i="3"/>
  <c r="L472" i="3"/>
  <c r="N472" i="3" s="1"/>
  <c r="T472" i="3" s="1"/>
  <c r="L473" i="3"/>
  <c r="N473" i="3" s="1"/>
  <c r="T473" i="3" s="1"/>
  <c r="L474" i="3"/>
  <c r="N474" i="3" s="1"/>
  <c r="T474" i="3" s="1"/>
  <c r="L475" i="3"/>
  <c r="N475" i="3" s="1"/>
  <c r="T475" i="3" s="1"/>
  <c r="L476" i="3"/>
  <c r="N476" i="3" s="1"/>
  <c r="T476" i="3" s="1"/>
  <c r="L477" i="3"/>
  <c r="L478" i="3"/>
  <c r="L479" i="3"/>
  <c r="L480" i="3"/>
  <c r="N480" i="3" s="1"/>
  <c r="T480" i="3" s="1"/>
  <c r="L481" i="3"/>
  <c r="N481" i="3" s="1"/>
  <c r="T481" i="3" s="1"/>
  <c r="L482" i="3"/>
  <c r="N482" i="3" s="1"/>
  <c r="T482" i="3" s="1"/>
  <c r="L483" i="3"/>
  <c r="N483" i="3" s="1"/>
  <c r="T483" i="3" s="1"/>
  <c r="L484" i="3"/>
  <c r="N484" i="3" s="1"/>
  <c r="T484" i="3" s="1"/>
  <c r="L486" i="3"/>
  <c r="L487" i="3"/>
  <c r="L488" i="3"/>
  <c r="N488" i="3" s="1"/>
  <c r="T488" i="3" s="1"/>
  <c r="L489" i="3"/>
  <c r="N489" i="3" s="1"/>
  <c r="T489" i="3" s="1"/>
  <c r="L490" i="3"/>
  <c r="N490" i="3" s="1"/>
  <c r="T490" i="3" s="1"/>
  <c r="L491" i="3"/>
  <c r="N491" i="3" s="1"/>
  <c r="T491" i="3" s="1"/>
  <c r="L492" i="3"/>
  <c r="N492" i="3" s="1"/>
  <c r="T492" i="3" s="1"/>
  <c r="L493" i="3"/>
  <c r="L494" i="3"/>
  <c r="L495" i="3"/>
  <c r="L496" i="3"/>
  <c r="N496" i="3" s="1"/>
  <c r="T496" i="3" s="1"/>
  <c r="L498" i="3"/>
  <c r="N498" i="3" s="1"/>
  <c r="T498" i="3" s="1"/>
  <c r="L499" i="3"/>
  <c r="N499" i="3" s="1"/>
  <c r="T499" i="3" s="1"/>
  <c r="L501" i="3"/>
  <c r="N501" i="3" s="1"/>
  <c r="T501" i="3" s="1"/>
  <c r="L502" i="3"/>
  <c r="N502" i="3" s="1"/>
  <c r="T502" i="3" s="1"/>
  <c r="L503" i="3"/>
  <c r="L504" i="3"/>
  <c r="N504" i="3" s="1"/>
  <c r="T504" i="3" s="1"/>
  <c r="L505" i="3"/>
  <c r="N505" i="3" s="1"/>
  <c r="T505" i="3" s="1"/>
  <c r="L506" i="3"/>
  <c r="N506" i="3" s="1"/>
  <c r="T506" i="3" s="1"/>
  <c r="L507" i="3"/>
  <c r="N507" i="3" s="1"/>
  <c r="T507" i="3" s="1"/>
  <c r="L508" i="3"/>
  <c r="N508" i="3" s="1"/>
  <c r="T508" i="3" s="1"/>
  <c r="L509" i="3"/>
  <c r="N509" i="3" s="1"/>
  <c r="T509" i="3" s="1"/>
  <c r="L510" i="3"/>
  <c r="N510" i="3" s="1"/>
  <c r="T510" i="3" s="1"/>
  <c r="L511" i="3"/>
  <c r="L512" i="3"/>
  <c r="N512" i="3" s="1"/>
  <c r="T512" i="3" s="1"/>
  <c r="L513" i="3"/>
  <c r="N513" i="3" s="1"/>
  <c r="T513" i="3" s="1"/>
  <c r="L514" i="3"/>
  <c r="N514" i="3" s="1"/>
  <c r="T514" i="3" s="1"/>
  <c r="L515" i="3"/>
  <c r="N515" i="3" s="1"/>
  <c r="T515" i="3" s="1"/>
  <c r="L516" i="3"/>
  <c r="N516" i="3" s="1"/>
  <c r="T516" i="3" s="1"/>
  <c r="L517" i="3"/>
  <c r="N517" i="3" s="1"/>
  <c r="T517" i="3" s="1"/>
  <c r="L518" i="3"/>
  <c r="N518" i="3" s="1"/>
  <c r="T518" i="3" s="1"/>
  <c r="L519" i="3"/>
  <c r="L520" i="3"/>
  <c r="N520" i="3" s="1"/>
  <c r="T520" i="3" s="1"/>
  <c r="L521" i="3"/>
  <c r="N521" i="3" s="1"/>
  <c r="T521" i="3" s="1"/>
  <c r="L522" i="3"/>
  <c r="N522" i="3" s="1"/>
  <c r="T522" i="3" s="1"/>
  <c r="L523" i="3"/>
  <c r="N523" i="3" s="1"/>
  <c r="T523" i="3" s="1"/>
  <c r="L524" i="3"/>
  <c r="N524" i="3" s="1"/>
  <c r="T524" i="3" s="1"/>
  <c r="L525" i="3"/>
  <c r="N525" i="3" s="1"/>
  <c r="T525" i="3" s="1"/>
  <c r="L526" i="3"/>
  <c r="N526" i="3" s="1"/>
  <c r="T526" i="3" s="1"/>
  <c r="L527" i="3"/>
  <c r="L528" i="3"/>
  <c r="N528" i="3" s="1"/>
  <c r="T528" i="3" s="1"/>
  <c r="L529" i="3"/>
  <c r="N529" i="3" s="1"/>
  <c r="T529" i="3" s="1"/>
  <c r="L530" i="3"/>
  <c r="N530" i="3" s="1"/>
  <c r="T530" i="3" s="1"/>
  <c r="L531" i="3"/>
  <c r="N531" i="3" s="1"/>
  <c r="T531" i="3" s="1"/>
  <c r="L532" i="3"/>
  <c r="N532" i="3" s="1"/>
  <c r="T532" i="3" s="1"/>
  <c r="L533" i="3"/>
  <c r="N533" i="3" s="1"/>
  <c r="T533" i="3" s="1"/>
  <c r="L534" i="3"/>
  <c r="N534" i="3" s="1"/>
  <c r="T534" i="3" s="1"/>
  <c r="L536" i="3"/>
  <c r="N536" i="3" s="1"/>
  <c r="T536" i="3" s="1"/>
  <c r="L537" i="3"/>
  <c r="N537" i="3" s="1"/>
  <c r="T537" i="3" s="1"/>
  <c r="L538" i="3"/>
  <c r="N538" i="3" s="1"/>
  <c r="T538" i="3" s="1"/>
  <c r="L539" i="3"/>
  <c r="N539" i="3" s="1"/>
  <c r="T539" i="3" s="1"/>
  <c r="L540" i="3"/>
  <c r="N540" i="3" s="1"/>
  <c r="T540" i="3" s="1"/>
  <c r="L541" i="3"/>
  <c r="N541" i="3" s="1"/>
  <c r="T541" i="3" s="1"/>
  <c r="L542" i="3"/>
  <c r="N542" i="3" s="1"/>
  <c r="T542" i="3" s="1"/>
  <c r="L543" i="3"/>
  <c r="N543" i="3" s="1"/>
  <c r="T543" i="3" s="1"/>
  <c r="L544" i="3"/>
  <c r="N544" i="3" s="1"/>
  <c r="T544" i="3" s="1"/>
  <c r="L545" i="3"/>
  <c r="N545" i="3" s="1"/>
  <c r="T545" i="3" s="1"/>
  <c r="L546" i="3"/>
  <c r="N546" i="3" s="1"/>
  <c r="T546" i="3" s="1"/>
  <c r="L547" i="3"/>
  <c r="N547" i="3" s="1"/>
  <c r="T547" i="3" s="1"/>
  <c r="L548" i="3"/>
  <c r="N548" i="3" s="1"/>
  <c r="T548" i="3" s="1"/>
  <c r="L549" i="3"/>
  <c r="N549" i="3" s="1"/>
  <c r="T549" i="3" s="1"/>
  <c r="L550" i="3"/>
  <c r="N550" i="3" s="1"/>
  <c r="T550" i="3" s="1"/>
  <c r="L551" i="3"/>
  <c r="N551" i="3" s="1"/>
  <c r="T551" i="3" s="1"/>
  <c r="L552" i="3"/>
  <c r="N552" i="3" s="1"/>
  <c r="T552" i="3" s="1"/>
  <c r="L553" i="3"/>
  <c r="N553" i="3" s="1"/>
  <c r="T553" i="3" s="1"/>
  <c r="L554" i="3"/>
  <c r="N554" i="3" s="1"/>
  <c r="T554" i="3" s="1"/>
  <c r="L555" i="3"/>
  <c r="N555" i="3" s="1"/>
  <c r="T555" i="3" s="1"/>
  <c r="L556" i="3"/>
  <c r="N556" i="3" s="1"/>
  <c r="T556" i="3" s="1"/>
  <c r="L557" i="3"/>
  <c r="N557" i="3" s="1"/>
  <c r="T557" i="3" s="1"/>
  <c r="L558" i="3"/>
  <c r="N558" i="3" s="1"/>
  <c r="T558" i="3" s="1"/>
  <c r="L559" i="3"/>
  <c r="N559" i="3" s="1"/>
  <c r="T559" i="3" s="1"/>
  <c r="L560" i="3"/>
  <c r="N560" i="3" s="1"/>
  <c r="T560" i="3" s="1"/>
  <c r="L562" i="3"/>
  <c r="N562" i="3" s="1"/>
  <c r="T562" i="3" s="1"/>
  <c r="L563" i="3"/>
  <c r="N563" i="3" s="1"/>
  <c r="T563" i="3" s="1"/>
  <c r="L564" i="3"/>
  <c r="N564" i="3" s="1"/>
  <c r="T564" i="3" s="1"/>
  <c r="L565" i="3"/>
  <c r="L566" i="3"/>
  <c r="N566" i="3" s="1"/>
  <c r="T566" i="3" s="1"/>
  <c r="L567" i="3"/>
  <c r="N567" i="3" s="1"/>
  <c r="T567" i="3" s="1"/>
  <c r="L568" i="3"/>
  <c r="N568" i="3" s="1"/>
  <c r="T568" i="3" s="1"/>
  <c r="L569" i="3"/>
  <c r="N569" i="3" s="1"/>
  <c r="T569" i="3" s="1"/>
  <c r="L570" i="3"/>
  <c r="N570" i="3" s="1"/>
  <c r="T570" i="3" s="1"/>
  <c r="L571" i="3"/>
  <c r="N571" i="3" s="1"/>
  <c r="T571" i="3" s="1"/>
  <c r="L572" i="3"/>
  <c r="N572" i="3" s="1"/>
  <c r="T572" i="3" s="1"/>
  <c r="L573" i="3"/>
  <c r="L574" i="3"/>
  <c r="N574" i="3" s="1"/>
  <c r="T574" i="3" s="1"/>
  <c r="L575" i="3"/>
  <c r="N575" i="3" s="1"/>
  <c r="T575" i="3" s="1"/>
  <c r="L577" i="3"/>
  <c r="N577" i="3" s="1"/>
  <c r="T577" i="3" s="1"/>
  <c r="L578" i="3"/>
  <c r="N578" i="3" s="1"/>
  <c r="T578" i="3" s="1"/>
  <c r="L579" i="3"/>
  <c r="N579" i="3" s="1"/>
  <c r="T579" i="3" s="1"/>
  <c r="L580" i="3"/>
  <c r="N580" i="3" s="1"/>
  <c r="T580" i="3" s="1"/>
  <c r="L581" i="3"/>
  <c r="L582" i="3"/>
  <c r="L583" i="3"/>
  <c r="N583" i="3" s="1"/>
  <c r="T583" i="3" s="1"/>
  <c r="L584" i="3"/>
  <c r="N584" i="3" s="1"/>
  <c r="T584" i="3" s="1"/>
  <c r="L585" i="3"/>
  <c r="N585" i="3" s="1"/>
  <c r="T585" i="3" s="1"/>
  <c r="L586" i="3"/>
  <c r="N586" i="3" s="1"/>
  <c r="T586" i="3" s="1"/>
  <c r="L587" i="3"/>
  <c r="N587" i="3" s="1"/>
  <c r="T587" i="3" s="1"/>
  <c r="L588" i="3"/>
  <c r="N588" i="3" s="1"/>
  <c r="T588" i="3" s="1"/>
  <c r="L589" i="3"/>
  <c r="L590" i="3"/>
  <c r="L591" i="3"/>
  <c r="N591" i="3" s="1"/>
  <c r="T591" i="3" s="1"/>
  <c r="L592" i="3"/>
  <c r="N592" i="3" s="1"/>
  <c r="T592" i="3" s="1"/>
  <c r="L593" i="3"/>
  <c r="N593" i="3" s="1"/>
  <c r="T593" i="3" s="1"/>
  <c r="L594" i="3"/>
  <c r="N594" i="3" s="1"/>
  <c r="T594" i="3" s="1"/>
  <c r="L595" i="3"/>
  <c r="N595" i="3" s="1"/>
  <c r="T595" i="3" s="1"/>
  <c r="L596" i="3"/>
  <c r="N596" i="3" s="1"/>
  <c r="T596" i="3" s="1"/>
  <c r="L597" i="3"/>
  <c r="L599" i="3"/>
  <c r="L600" i="3"/>
  <c r="N600" i="3" s="1"/>
  <c r="T600" i="3" s="1"/>
  <c r="L601" i="3"/>
  <c r="N601" i="3" s="1"/>
  <c r="T601" i="3" s="1"/>
  <c r="L602" i="3"/>
  <c r="N602" i="3" s="1"/>
  <c r="T602" i="3" s="1"/>
  <c r="L603" i="3"/>
  <c r="N603" i="3" s="1"/>
  <c r="T603" i="3" s="1"/>
  <c r="L604" i="3"/>
  <c r="N604" i="3" s="1"/>
  <c r="T604" i="3" s="1"/>
  <c r="L605" i="3"/>
  <c r="L606" i="3"/>
  <c r="L607" i="3"/>
  <c r="L608" i="3"/>
  <c r="N608" i="3" s="1"/>
  <c r="T608" i="3" s="1"/>
  <c r="L609" i="3"/>
  <c r="N609" i="3" s="1"/>
  <c r="T609" i="3" s="1"/>
  <c r="L610" i="3"/>
  <c r="N610" i="3" s="1"/>
  <c r="T610" i="3" s="1"/>
  <c r="L611" i="3"/>
  <c r="N611" i="3" s="1"/>
  <c r="T611" i="3" s="1"/>
  <c r="L612" i="3"/>
  <c r="N612" i="3" s="1"/>
  <c r="T612" i="3" s="1"/>
  <c r="L613" i="3"/>
  <c r="L614" i="3"/>
  <c r="L615" i="3"/>
  <c r="L616" i="3"/>
  <c r="N616" i="3" s="1"/>
  <c r="T616" i="3" s="1"/>
  <c r="L617" i="3"/>
  <c r="N617" i="3" s="1"/>
  <c r="T617" i="3" s="1"/>
  <c r="L618" i="3"/>
  <c r="N618" i="3" s="1"/>
  <c r="T618" i="3" s="1"/>
  <c r="L619" i="3"/>
  <c r="N619" i="3" s="1"/>
  <c r="T619" i="3" s="1"/>
  <c r="L620" i="3"/>
  <c r="N620" i="3" s="1"/>
  <c r="T620" i="3" s="1"/>
  <c r="L621" i="3"/>
  <c r="L622" i="3"/>
  <c r="L623" i="3"/>
  <c r="L624" i="3"/>
  <c r="N624" i="3" s="1"/>
  <c r="T624" i="3" s="1"/>
  <c r="L625" i="3"/>
  <c r="N625" i="3" s="1"/>
  <c r="L626" i="3"/>
  <c r="N626" i="3" s="1"/>
  <c r="T626" i="3" s="1"/>
  <c r="L627" i="3"/>
  <c r="N627" i="3" s="1"/>
  <c r="T627" i="3" s="1"/>
  <c r="L628" i="3"/>
  <c r="N628" i="3" s="1"/>
  <c r="T628" i="3" s="1"/>
  <c r="L629" i="3"/>
  <c r="L630" i="3"/>
  <c r="L631" i="3"/>
  <c r="L632" i="3"/>
  <c r="N632" i="3" s="1"/>
  <c r="T632" i="3" s="1"/>
  <c r="L633" i="3"/>
  <c r="N633" i="3" s="1"/>
  <c r="T633" i="3" s="1"/>
  <c r="L634" i="3"/>
  <c r="N634" i="3" s="1"/>
  <c r="T634" i="3" s="1"/>
  <c r="L635" i="3"/>
  <c r="N635" i="3" s="1"/>
  <c r="T635" i="3" s="1"/>
  <c r="L636" i="3"/>
  <c r="N636" i="3" s="1"/>
  <c r="T636" i="3" s="1"/>
  <c r="L638" i="3"/>
  <c r="L639" i="3"/>
  <c r="L640" i="3"/>
  <c r="N640" i="3" s="1"/>
  <c r="T640" i="3" s="1"/>
  <c r="L641" i="3"/>
  <c r="N641" i="3" s="1"/>
  <c r="T641" i="3" s="1"/>
  <c r="L642" i="3"/>
  <c r="N642" i="3" s="1"/>
  <c r="T642" i="3" s="1"/>
  <c r="L643" i="3"/>
  <c r="N643" i="3" s="1"/>
  <c r="T643" i="3" s="1"/>
  <c r="L644" i="3"/>
  <c r="N644" i="3" s="1"/>
  <c r="T644" i="3" s="1"/>
  <c r="L645" i="3"/>
  <c r="L646" i="3"/>
  <c r="L647" i="3"/>
  <c r="L648" i="3"/>
  <c r="N648" i="3" s="1"/>
  <c r="T648" i="3" s="1"/>
  <c r="L649" i="3"/>
  <c r="L650" i="3"/>
  <c r="N650" i="3" s="1"/>
  <c r="T650" i="3" s="1"/>
  <c r="L651" i="3"/>
  <c r="N651" i="3" s="1"/>
  <c r="T651" i="3" s="1"/>
  <c r="L653" i="3"/>
  <c r="L654" i="3"/>
  <c r="L655" i="3"/>
  <c r="L656" i="3"/>
  <c r="N656" i="3" s="1"/>
  <c r="T656" i="3" s="1"/>
  <c r="L657" i="3"/>
  <c r="N657" i="3" s="1"/>
  <c r="T657" i="3" s="1"/>
  <c r="L658" i="3"/>
  <c r="N658" i="3" s="1"/>
  <c r="T658" i="3" s="1"/>
  <c r="L659" i="3"/>
  <c r="N659" i="3" s="1"/>
  <c r="T659" i="3" s="1"/>
  <c r="L660" i="3"/>
  <c r="N660" i="3" s="1"/>
  <c r="T660" i="3" s="1"/>
  <c r="L661" i="3"/>
  <c r="L662" i="3"/>
  <c r="L663" i="3"/>
  <c r="L664" i="3"/>
  <c r="N664" i="3" s="1"/>
  <c r="T664" i="3" s="1"/>
  <c r="L665" i="3"/>
  <c r="N665" i="3" s="1"/>
  <c r="T665" i="3" s="1"/>
  <c r="L666" i="3"/>
  <c r="N666" i="3" s="1"/>
  <c r="T666" i="3" s="1"/>
  <c r="L667" i="3"/>
  <c r="N667" i="3" s="1"/>
  <c r="T667" i="3" s="1"/>
  <c r="L668" i="3"/>
  <c r="N668" i="3" s="1"/>
  <c r="T668" i="3" s="1"/>
  <c r="L669" i="3"/>
  <c r="L670" i="3"/>
  <c r="L671" i="3"/>
  <c r="L672" i="3"/>
  <c r="N672" i="3" s="1"/>
  <c r="T672" i="3" s="1"/>
  <c r="L673" i="3"/>
  <c r="N673" i="3" s="1"/>
  <c r="T673" i="3" s="1"/>
  <c r="L674" i="3"/>
  <c r="N674" i="3" s="1"/>
  <c r="T674" i="3" s="1"/>
  <c r="L675" i="3"/>
  <c r="N675" i="3" s="1"/>
  <c r="T675" i="3" s="1"/>
  <c r="L676" i="3"/>
  <c r="N676" i="3" s="1"/>
  <c r="T676" i="3" s="1"/>
  <c r="L677" i="3"/>
  <c r="L678" i="3"/>
  <c r="L679" i="3"/>
  <c r="L681" i="3"/>
  <c r="N681" i="3" s="1"/>
  <c r="T681" i="3" s="1"/>
  <c r="L682" i="3"/>
  <c r="N682" i="3" s="1"/>
  <c r="T682" i="3" s="1"/>
  <c r="L683" i="3"/>
  <c r="N683" i="3" s="1"/>
  <c r="T683" i="3" s="1"/>
  <c r="L684" i="3"/>
  <c r="N684" i="3" s="1"/>
  <c r="T684" i="3" s="1"/>
  <c r="L685" i="3"/>
  <c r="N685" i="3" s="1"/>
  <c r="T685" i="3" s="1"/>
  <c r="L686" i="3"/>
  <c r="L688" i="3"/>
  <c r="N688" i="3" s="1"/>
  <c r="T688" i="3" s="1"/>
  <c r="L689" i="3"/>
  <c r="N689" i="3" s="1"/>
  <c r="T689" i="3" s="1"/>
  <c r="L691" i="3"/>
  <c r="N691" i="3" s="1"/>
  <c r="T691" i="3" s="1"/>
  <c r="L692" i="3"/>
  <c r="N692" i="3" s="1"/>
  <c r="T692" i="3" s="1"/>
  <c r="L693" i="3"/>
  <c r="N693" i="3" s="1"/>
  <c r="T693" i="3" s="1"/>
  <c r="L694" i="3"/>
  <c r="N694" i="3" s="1"/>
  <c r="T694" i="3" s="1"/>
  <c r="L695" i="3"/>
  <c r="N695" i="3" s="1"/>
  <c r="T695" i="3" s="1"/>
  <c r="L696" i="3"/>
  <c r="N696" i="3" s="1"/>
  <c r="T696" i="3" s="1"/>
  <c r="L697" i="3"/>
  <c r="N697" i="3" s="1"/>
  <c r="T697" i="3" s="1"/>
  <c r="L698" i="3"/>
  <c r="N698" i="3" s="1"/>
  <c r="T698" i="3" s="1"/>
  <c r="L699" i="3"/>
  <c r="N699" i="3" s="1"/>
  <c r="T699" i="3" s="1"/>
  <c r="L700" i="3"/>
  <c r="N700" i="3" s="1"/>
  <c r="T700" i="3" s="1"/>
  <c r="L701" i="3"/>
  <c r="N701" i="3" s="1"/>
  <c r="T701" i="3" s="1"/>
  <c r="L703" i="3"/>
  <c r="N703" i="3" s="1"/>
  <c r="T703" i="3" s="1"/>
  <c r="L704" i="3"/>
  <c r="N704" i="3" s="1"/>
  <c r="T704" i="3" s="1"/>
  <c r="L705" i="3"/>
  <c r="N705" i="3" s="1"/>
  <c r="T705" i="3" s="1"/>
  <c r="L706" i="3"/>
  <c r="L707" i="3"/>
  <c r="N707" i="3" s="1"/>
  <c r="T707" i="3" s="1"/>
  <c r="L708" i="3"/>
  <c r="N708" i="3" s="1"/>
  <c r="T708" i="3" s="1"/>
  <c r="L709" i="3"/>
  <c r="L710" i="3"/>
  <c r="N710" i="3" s="1"/>
  <c r="T710" i="3" s="1"/>
  <c r="L711" i="3"/>
  <c r="N711" i="3" s="1"/>
  <c r="T711" i="3" s="1"/>
  <c r="L712" i="3"/>
  <c r="N712" i="3" s="1"/>
  <c r="T712" i="3" s="1"/>
  <c r="L713" i="3"/>
  <c r="N713" i="3" s="1"/>
  <c r="T713" i="3" s="1"/>
  <c r="L714" i="3"/>
  <c r="N714" i="3" s="1"/>
  <c r="T714" i="3" s="1"/>
  <c r="L715" i="3"/>
  <c r="N715" i="3" s="1"/>
  <c r="T715" i="3" s="1"/>
  <c r="L716" i="3"/>
  <c r="N716" i="3" s="1"/>
  <c r="T716" i="3" s="1"/>
  <c r="L717" i="3"/>
  <c r="L718" i="3"/>
  <c r="N718" i="3" s="1"/>
  <c r="T718" i="3" s="1"/>
  <c r="L719" i="3"/>
  <c r="N719" i="3" s="1"/>
  <c r="T719" i="3" s="1"/>
  <c r="L720" i="3"/>
  <c r="N720" i="3" s="1"/>
  <c r="T720" i="3" s="1"/>
  <c r="L721" i="3"/>
  <c r="N721" i="3" s="1"/>
  <c r="T721" i="3" s="1"/>
  <c r="L722" i="3"/>
  <c r="N722" i="3" s="1"/>
  <c r="T722" i="3" s="1"/>
  <c r="L723" i="3"/>
  <c r="N723" i="3" s="1"/>
  <c r="T723" i="3" s="1"/>
  <c r="L724" i="3"/>
  <c r="N724" i="3" s="1"/>
  <c r="T724" i="3" s="1"/>
  <c r="L726" i="3"/>
  <c r="L727" i="3"/>
  <c r="N727" i="3" s="1"/>
  <c r="T727" i="3" s="1"/>
  <c r="L728" i="3"/>
  <c r="N728" i="3" s="1"/>
  <c r="T728" i="3" s="1"/>
  <c r="L729" i="3"/>
  <c r="N729" i="3" s="1"/>
  <c r="T729" i="3" s="1"/>
  <c r="L730" i="3"/>
  <c r="N730" i="3" s="1"/>
  <c r="T730" i="3" s="1"/>
  <c r="L731" i="3"/>
  <c r="N731" i="3" s="1"/>
  <c r="T731" i="3" s="1"/>
  <c r="L732" i="3"/>
  <c r="N732" i="3" s="1"/>
  <c r="T732" i="3" s="1"/>
  <c r="L733" i="3"/>
  <c r="L734" i="3"/>
  <c r="L735" i="3"/>
  <c r="N735" i="3" s="1"/>
  <c r="T735" i="3" s="1"/>
  <c r="L736" i="3"/>
  <c r="N736" i="3" s="1"/>
  <c r="T736" i="3" s="1"/>
  <c r="L737" i="3"/>
  <c r="L738" i="3"/>
  <c r="N738" i="3" s="1"/>
  <c r="T738" i="3" s="1"/>
  <c r="L740" i="3"/>
  <c r="N740" i="3" s="1"/>
  <c r="T740" i="3" s="1"/>
  <c r="L741" i="3"/>
  <c r="L742" i="3"/>
  <c r="L743" i="3"/>
  <c r="L744" i="3"/>
  <c r="N744" i="3" s="1"/>
  <c r="T744" i="3" s="1"/>
  <c r="L745" i="3"/>
  <c r="N745" i="3" s="1"/>
  <c r="T745" i="3" s="1"/>
  <c r="L746" i="3"/>
  <c r="N746" i="3" s="1"/>
  <c r="T746" i="3" s="1"/>
  <c r="L747" i="3"/>
  <c r="N747" i="3" s="1"/>
  <c r="T747" i="3" s="1"/>
  <c r="L748" i="3"/>
  <c r="N748" i="3" s="1"/>
  <c r="T748" i="3" s="1"/>
  <c r="L750" i="3"/>
  <c r="L751" i="3"/>
  <c r="L752" i="3"/>
  <c r="N752" i="3" s="1"/>
  <c r="T752" i="3" s="1"/>
  <c r="L755" i="3"/>
  <c r="N755" i="3" s="1"/>
  <c r="T755" i="3" s="1"/>
  <c r="L756" i="3"/>
  <c r="N756" i="3" s="1"/>
  <c r="T756" i="3" s="1"/>
  <c r="L757" i="3"/>
  <c r="N757" i="3" s="1"/>
  <c r="T757" i="3" s="1"/>
  <c r="L758" i="3"/>
  <c r="L759" i="3"/>
  <c r="L760" i="3"/>
  <c r="N760" i="3" s="1"/>
  <c r="T760" i="3" s="1"/>
  <c r="L761" i="3"/>
  <c r="N761" i="3" s="1"/>
  <c r="T761" i="3" s="1"/>
  <c r="L762" i="3"/>
  <c r="N762" i="3" s="1"/>
  <c r="T762" i="3" s="1"/>
  <c r="L763" i="3"/>
  <c r="N763" i="3" s="1"/>
  <c r="T763" i="3" s="1"/>
  <c r="L764" i="3"/>
  <c r="N764" i="3" s="1"/>
  <c r="T764" i="3" s="1"/>
  <c r="L765" i="3"/>
  <c r="N765" i="3" s="1"/>
  <c r="T765" i="3" s="1"/>
  <c r="L766" i="3"/>
  <c r="L767" i="3"/>
  <c r="L768" i="3"/>
  <c r="N768" i="3" s="1"/>
  <c r="T768" i="3" s="1"/>
  <c r="L769" i="3"/>
  <c r="N769" i="3" s="1"/>
  <c r="T769" i="3" s="1"/>
  <c r="L770" i="3"/>
  <c r="N770" i="3" s="1"/>
  <c r="T770" i="3" s="1"/>
  <c r="L772" i="3"/>
  <c r="N772" i="3" s="1"/>
  <c r="T772" i="3" s="1"/>
  <c r="L773" i="3"/>
  <c r="N773" i="3" s="1"/>
  <c r="T773" i="3" s="1"/>
  <c r="L774" i="3"/>
  <c r="N774" i="3" s="1"/>
  <c r="T774" i="3" s="1"/>
  <c r="L776" i="3"/>
  <c r="N776" i="3" s="1"/>
  <c r="T776" i="3" s="1"/>
  <c r="L777" i="3"/>
  <c r="N777" i="3" s="1"/>
  <c r="T777" i="3" s="1"/>
  <c r="L778" i="3"/>
  <c r="N778" i="3" s="1"/>
  <c r="T778" i="3" s="1"/>
  <c r="L2" i="3"/>
  <c r="O563" i="3" l="1"/>
  <c r="P563" i="3" s="1"/>
  <c r="N706" i="3"/>
  <c r="T706" i="3" s="1"/>
  <c r="O706" i="3"/>
  <c r="P706" i="3" s="1"/>
  <c r="O528" i="3"/>
  <c r="P528" i="3" s="1"/>
  <c r="O460" i="3"/>
  <c r="P460" i="3" s="1"/>
  <c r="S214" i="3"/>
  <c r="N737" i="3"/>
  <c r="T737" i="3" s="1"/>
  <c r="O737" i="3"/>
  <c r="P737" i="3" s="1"/>
  <c r="O316" i="3"/>
  <c r="P316" i="3" s="1"/>
  <c r="S687" i="3"/>
  <c r="S671" i="3"/>
  <c r="S663" i="3"/>
  <c r="S655" i="3"/>
  <c r="S647" i="3"/>
  <c r="S639" i="3"/>
  <c r="S631" i="3"/>
  <c r="S623" i="3"/>
  <c r="S615" i="3"/>
  <c r="S599" i="3"/>
  <c r="S591" i="3"/>
  <c r="S583" i="3"/>
  <c r="S575" i="3"/>
  <c r="S567" i="3"/>
  <c r="S559" i="3"/>
  <c r="S551" i="3"/>
  <c r="S543" i="3"/>
  <c r="S535" i="3"/>
  <c r="S527" i="3"/>
  <c r="S519" i="3"/>
  <c r="S511" i="3"/>
  <c r="S503" i="3"/>
  <c r="S495" i="3"/>
  <c r="S487" i="3"/>
  <c r="S479" i="3"/>
  <c r="S471" i="3"/>
  <c r="S463" i="3"/>
  <c r="S455" i="3"/>
  <c r="S447" i="3"/>
  <c r="S439" i="3"/>
  <c r="S431" i="3"/>
  <c r="S423" i="3"/>
  <c r="S415" i="3"/>
  <c r="S407" i="3"/>
  <c r="S399" i="3"/>
  <c r="S391" i="3"/>
  <c r="S383" i="3"/>
  <c r="S375" i="3"/>
  <c r="S367" i="3"/>
  <c r="S359" i="3"/>
  <c r="S351" i="3"/>
  <c r="S343" i="3"/>
  <c r="S335" i="3"/>
  <c r="S327" i="3"/>
  <c r="S319" i="3"/>
  <c r="S311" i="3"/>
  <c r="S303" i="3"/>
  <c r="S295" i="3"/>
  <c r="S279" i="3"/>
  <c r="S271" i="3"/>
  <c r="S263" i="3"/>
  <c r="S255" i="3"/>
  <c r="S239" i="3"/>
  <c r="S231" i="3"/>
  <c r="S223" i="3"/>
  <c r="S207" i="3"/>
  <c r="S199" i="3"/>
  <c r="S191" i="3"/>
  <c r="S183" i="3"/>
  <c r="S175" i="3"/>
  <c r="S159" i="3"/>
  <c r="S151" i="3"/>
  <c r="S143" i="3"/>
  <c r="S135" i="3"/>
  <c r="S127" i="3"/>
  <c r="S119" i="3"/>
  <c r="S111" i="3"/>
  <c r="S95" i="3"/>
  <c r="S87" i="3"/>
  <c r="S79" i="3"/>
  <c r="S71" i="3"/>
  <c r="S63" i="3"/>
  <c r="S55" i="3"/>
  <c r="S47" i="3"/>
  <c r="S39" i="3"/>
  <c r="S31" i="3"/>
  <c r="S23" i="3"/>
  <c r="S15" i="3"/>
  <c r="S7" i="3"/>
  <c r="O475" i="3"/>
  <c r="P475" i="3" s="1"/>
  <c r="O668" i="3"/>
  <c r="P668" i="3" s="1"/>
  <c r="O273" i="3"/>
  <c r="P273" i="3" s="1"/>
  <c r="O634" i="3"/>
  <c r="P634" i="3" s="1"/>
  <c r="O458" i="3"/>
  <c r="P458" i="3" s="1"/>
  <c r="O141" i="3"/>
  <c r="P141" i="3" s="1"/>
  <c r="O602" i="3"/>
  <c r="P602" i="3" s="1"/>
  <c r="O424" i="3"/>
  <c r="P424" i="3" s="1"/>
  <c r="O108" i="3"/>
  <c r="P108" i="3" s="1"/>
  <c r="O292" i="3"/>
  <c r="P292" i="3" s="1"/>
  <c r="O704" i="3"/>
  <c r="P704" i="3" s="1"/>
  <c r="O749" i="3"/>
  <c r="P749" i="3" s="1"/>
  <c r="O593" i="3"/>
  <c r="P593" i="3" s="1"/>
  <c r="O416" i="3"/>
  <c r="P416" i="3" s="1"/>
  <c r="O39" i="3"/>
  <c r="P39" i="3" s="1"/>
  <c r="O746" i="3"/>
  <c r="P746" i="3" s="1"/>
  <c r="O577" i="3"/>
  <c r="P577" i="3" s="1"/>
  <c r="O385" i="3"/>
  <c r="P385" i="3" s="1"/>
  <c r="O37" i="3"/>
  <c r="P37" i="3" s="1"/>
  <c r="S771" i="3"/>
  <c r="S763" i="3"/>
  <c r="S755" i="3"/>
  <c r="S747" i="3"/>
  <c r="S739" i="3"/>
  <c r="S731" i="3"/>
  <c r="S723" i="3"/>
  <c r="S715" i="3"/>
  <c r="S707" i="3"/>
  <c r="S699" i="3"/>
  <c r="S691" i="3"/>
  <c r="S683" i="3"/>
  <c r="S675" i="3"/>
  <c r="S667" i="3"/>
  <c r="S659" i="3"/>
  <c r="S651" i="3"/>
  <c r="S643" i="3"/>
  <c r="S635" i="3"/>
  <c r="S627" i="3"/>
  <c r="S619" i="3"/>
  <c r="S611" i="3"/>
  <c r="S603" i="3"/>
  <c r="S595" i="3"/>
  <c r="S587" i="3"/>
  <c r="S579" i="3"/>
  <c r="S571" i="3"/>
  <c r="S563" i="3"/>
  <c r="S555" i="3"/>
  <c r="S547" i="3"/>
  <c r="S539" i="3"/>
  <c r="S531" i="3"/>
  <c r="S523" i="3"/>
  <c r="S515" i="3"/>
  <c r="S507" i="3"/>
  <c r="S499" i="3"/>
  <c r="S491" i="3"/>
  <c r="S483" i="3"/>
  <c r="S475" i="3"/>
  <c r="S467" i="3"/>
  <c r="S459" i="3"/>
  <c r="S451" i="3"/>
  <c r="S443" i="3"/>
  <c r="S778" i="3"/>
  <c r="S762" i="3"/>
  <c r="S754" i="3"/>
  <c r="S746" i="3"/>
  <c r="S738" i="3"/>
  <c r="S722" i="3"/>
  <c r="S714" i="3"/>
  <c r="S698" i="3"/>
  <c r="S690" i="3"/>
  <c r="S682" i="3"/>
  <c r="S238" i="3"/>
  <c r="S230" i="3"/>
  <c r="S206" i="3"/>
  <c r="S198" i="3"/>
  <c r="S190" i="3"/>
  <c r="S182" i="3"/>
  <c r="S174" i="3"/>
  <c r="S166" i="3"/>
  <c r="S158" i="3"/>
  <c r="S150" i="3"/>
  <c r="S142" i="3"/>
  <c r="S134" i="3"/>
  <c r="S126" i="3"/>
  <c r="S110" i="3"/>
  <c r="S102" i="3"/>
  <c r="S94" i="3"/>
  <c r="S86" i="3"/>
  <c r="S78" i="3"/>
  <c r="S70" i="3"/>
  <c r="S62" i="3"/>
  <c r="S54" i="3"/>
  <c r="S46" i="3"/>
  <c r="S38" i="3"/>
  <c r="S30" i="3"/>
  <c r="S14" i="3"/>
  <c r="S6" i="3"/>
  <c r="N275" i="3"/>
  <c r="T275" i="3" s="1"/>
  <c r="O275" i="3"/>
  <c r="P275" i="3" s="1"/>
  <c r="O29" i="3"/>
  <c r="P29" i="3" s="1"/>
  <c r="O578" i="3"/>
  <c r="P578" i="3" s="1"/>
  <c r="O425" i="3"/>
  <c r="P425" i="3" s="1"/>
  <c r="O705" i="3"/>
  <c r="P705" i="3" s="1"/>
  <c r="N649" i="3"/>
  <c r="T649" i="3" s="1"/>
  <c r="O649" i="3"/>
  <c r="P649" i="3" s="1"/>
  <c r="N386" i="3"/>
  <c r="T386" i="3" s="1"/>
  <c r="O386" i="3"/>
  <c r="P386" i="3" s="1"/>
  <c r="O160" i="3"/>
  <c r="P160" i="3" s="1"/>
  <c r="O674" i="3"/>
  <c r="P674" i="3" s="1"/>
  <c r="O348" i="3"/>
  <c r="P348" i="3" s="1"/>
  <c r="O38" i="3"/>
  <c r="P38" i="3" s="1"/>
  <c r="O459" i="3"/>
  <c r="P459" i="3" s="1"/>
  <c r="O562" i="3"/>
  <c r="P562" i="3" s="1"/>
  <c r="O729" i="3"/>
  <c r="P729" i="3" s="1"/>
  <c r="O618" i="3"/>
  <c r="P618" i="3" s="1"/>
  <c r="O483" i="3"/>
  <c r="P483" i="3" s="1"/>
  <c r="O235" i="3"/>
  <c r="P235" i="3" s="1"/>
  <c r="S674" i="3"/>
  <c r="S666" i="3"/>
  <c r="S658" i="3"/>
  <c r="S650" i="3"/>
  <c r="S642" i="3"/>
  <c r="S634" i="3"/>
  <c r="S626" i="3"/>
  <c r="S618" i="3"/>
  <c r="S610" i="3"/>
  <c r="S602" i="3"/>
  <c r="S594" i="3"/>
  <c r="S586" i="3"/>
  <c r="S578" i="3"/>
  <c r="S570" i="3"/>
  <c r="S562" i="3"/>
  <c r="S554" i="3"/>
  <c r="S546" i="3"/>
  <c r="S538" i="3"/>
  <c r="S530" i="3"/>
  <c r="S522" i="3"/>
  <c r="S514" i="3"/>
  <c r="S506" i="3"/>
  <c r="S498" i="3"/>
  <c r="S490" i="3"/>
  <c r="S482" i="3"/>
  <c r="S474" i="3"/>
  <c r="S466" i="3"/>
  <c r="S458" i="3"/>
  <c r="S450" i="3"/>
  <c r="S442" i="3"/>
  <c r="S434" i="3"/>
  <c r="S426" i="3"/>
  <c r="S418" i="3"/>
  <c r="S410" i="3"/>
  <c r="S402" i="3"/>
  <c r="S394" i="3"/>
  <c r="S386" i="3"/>
  <c r="S378" i="3"/>
  <c r="S370" i="3"/>
  <c r="S362" i="3"/>
  <c r="S354" i="3"/>
  <c r="S346" i="3"/>
  <c r="S338" i="3"/>
  <c r="S330" i="3"/>
  <c r="S322" i="3"/>
  <c r="S314" i="3"/>
  <c r="S306" i="3"/>
  <c r="S298" i="3"/>
  <c r="S290" i="3"/>
  <c r="S282" i="3"/>
  <c r="S274" i="3"/>
  <c r="S266" i="3"/>
  <c r="S258" i="3"/>
  <c r="S250" i="3"/>
  <c r="S242" i="3"/>
  <c r="S234" i="3"/>
  <c r="S226" i="3"/>
  <c r="S218" i="3"/>
  <c r="S210" i="3"/>
  <c r="S202" i="3"/>
  <c r="S194" i="3"/>
  <c r="S186" i="3"/>
  <c r="S178" i="3"/>
  <c r="S170" i="3"/>
  <c r="S162" i="3"/>
  <c r="S154" i="3"/>
  <c r="S146" i="3"/>
  <c r="S138" i="3"/>
  <c r="S130" i="3"/>
  <c r="S122" i="3"/>
  <c r="S114" i="3"/>
  <c r="S106" i="3"/>
  <c r="S98" i="3"/>
  <c r="S90" i="3"/>
  <c r="S82" i="3"/>
  <c r="S74" i="3"/>
  <c r="S66" i="3"/>
  <c r="S58" i="3"/>
  <c r="S50" i="3"/>
  <c r="S42" i="3"/>
  <c r="S34" i="3"/>
  <c r="S26" i="3"/>
  <c r="S18" i="3"/>
  <c r="S10" i="3"/>
  <c r="S2" i="3"/>
  <c r="O753" i="3"/>
  <c r="P753" i="3" s="1"/>
  <c r="O491" i="3"/>
  <c r="P491" i="3" s="1"/>
  <c r="O307" i="3"/>
  <c r="P307" i="3" s="1"/>
  <c r="O728" i="3"/>
  <c r="P728" i="3" s="1"/>
  <c r="O524" i="3"/>
  <c r="P524" i="3" s="1"/>
  <c r="O306" i="3"/>
  <c r="P306" i="3" s="1"/>
  <c r="O600" i="3"/>
  <c r="P600" i="3" s="1"/>
  <c r="O516" i="3"/>
  <c r="P516" i="3" s="1"/>
  <c r="O482" i="3"/>
  <c r="P482" i="3" s="1"/>
  <c r="O332" i="3"/>
  <c r="P332" i="3" s="1"/>
  <c r="O225" i="3"/>
  <c r="P225" i="3" s="1"/>
  <c r="O107" i="3"/>
  <c r="P107" i="3" s="1"/>
  <c r="O632" i="3"/>
  <c r="P632" i="3" s="1"/>
  <c r="O481" i="3"/>
  <c r="P481" i="3" s="1"/>
  <c r="O224" i="3"/>
  <c r="P224" i="3" s="1"/>
  <c r="O106" i="3"/>
  <c r="P106" i="3" s="1"/>
  <c r="O772" i="3"/>
  <c r="P772" i="3" s="1"/>
  <c r="O656" i="3"/>
  <c r="P656" i="3" s="1"/>
  <c r="O500" i="3"/>
  <c r="P500" i="3" s="1"/>
  <c r="O456" i="3"/>
  <c r="P456" i="3" s="1"/>
  <c r="O290" i="3"/>
  <c r="P290" i="3" s="1"/>
  <c r="O139" i="3"/>
  <c r="P139" i="3" s="1"/>
  <c r="O764" i="3"/>
  <c r="P764" i="3" s="1"/>
  <c r="O736" i="3"/>
  <c r="P736" i="3" s="1"/>
  <c r="O684" i="3"/>
  <c r="P684" i="3" s="1"/>
  <c r="O652" i="3"/>
  <c r="P652" i="3" s="1"/>
  <c r="O617" i="3"/>
  <c r="P617" i="3" s="1"/>
  <c r="O586" i="3"/>
  <c r="P586" i="3" s="1"/>
  <c r="O561" i="3"/>
  <c r="P561" i="3" s="1"/>
  <c r="O499" i="3"/>
  <c r="P499" i="3" s="1"/>
  <c r="O474" i="3"/>
  <c r="P474" i="3" s="1"/>
  <c r="O448" i="3"/>
  <c r="P448" i="3" s="1"/>
  <c r="O384" i="3"/>
  <c r="P384" i="3" s="1"/>
  <c r="O315" i="3"/>
  <c r="P315" i="3" s="1"/>
  <c r="O289" i="3"/>
  <c r="P289" i="3" s="1"/>
  <c r="O252" i="3"/>
  <c r="P252" i="3" s="1"/>
  <c r="O216" i="3"/>
  <c r="P216" i="3" s="1"/>
  <c r="O131" i="3"/>
  <c r="P131" i="3" s="1"/>
  <c r="O89" i="3"/>
  <c r="P89" i="3" s="1"/>
  <c r="O115" i="3"/>
  <c r="P115" i="3" s="1"/>
  <c r="O234" i="3"/>
  <c r="P234" i="3" s="1"/>
  <c r="O157" i="3"/>
  <c r="P157" i="3" s="1"/>
  <c r="O667" i="3"/>
  <c r="P667" i="3" s="1"/>
  <c r="O576" i="3"/>
  <c r="P576" i="3" s="1"/>
  <c r="O508" i="3"/>
  <c r="P508" i="3" s="1"/>
  <c r="O457" i="3"/>
  <c r="P457" i="3" s="1"/>
  <c r="O592" i="3"/>
  <c r="P592" i="3" s="1"/>
  <c r="O260" i="3"/>
  <c r="P260" i="3" s="1"/>
  <c r="O96" i="3"/>
  <c r="P96" i="3" s="1"/>
  <c r="O755" i="3"/>
  <c r="P755" i="3" s="1"/>
  <c r="O731" i="3"/>
  <c r="P731" i="3" s="1"/>
  <c r="O683" i="3"/>
  <c r="P683" i="3" s="1"/>
  <c r="O651" i="3"/>
  <c r="P651" i="3" s="1"/>
  <c r="O616" i="3"/>
  <c r="P616" i="3" s="1"/>
  <c r="O585" i="3"/>
  <c r="P585" i="3" s="1"/>
  <c r="O536" i="3"/>
  <c r="P536" i="3" s="1"/>
  <c r="O497" i="3"/>
  <c r="P497" i="3" s="1"/>
  <c r="O473" i="3"/>
  <c r="P473" i="3" s="1"/>
  <c r="O441" i="3"/>
  <c r="P441" i="3" s="1"/>
  <c r="O370" i="3"/>
  <c r="P370" i="3" s="1"/>
  <c r="O314" i="3"/>
  <c r="P314" i="3" s="1"/>
  <c r="O283" i="3"/>
  <c r="P283" i="3" s="1"/>
  <c r="O243" i="3"/>
  <c r="P243" i="3" s="1"/>
  <c r="O181" i="3"/>
  <c r="P181" i="3" s="1"/>
  <c r="O125" i="3"/>
  <c r="P125" i="3" s="1"/>
  <c r="O88" i="3"/>
  <c r="P88" i="3" s="1"/>
  <c r="O601" i="3"/>
  <c r="P601" i="3" s="1"/>
  <c r="O340" i="3"/>
  <c r="P340" i="3" s="1"/>
  <c r="O633" i="3"/>
  <c r="P633" i="3" s="1"/>
  <c r="O298" i="3"/>
  <c r="P298" i="3" s="1"/>
  <c r="O745" i="3"/>
  <c r="P745" i="3" s="1"/>
  <c r="O666" i="3"/>
  <c r="P666" i="3" s="1"/>
  <c r="O331" i="3"/>
  <c r="P331" i="3" s="1"/>
  <c r="O272" i="3"/>
  <c r="P272" i="3" s="1"/>
  <c r="O140" i="3"/>
  <c r="P140" i="3" s="1"/>
  <c r="O217" i="3"/>
  <c r="P217" i="3" s="1"/>
  <c r="O26" i="3"/>
  <c r="P26" i="3" s="1"/>
  <c r="O754" i="3"/>
  <c r="P754" i="3" s="1"/>
  <c r="O730" i="3"/>
  <c r="P730" i="3" s="1"/>
  <c r="O675" i="3"/>
  <c r="P675" i="3" s="1"/>
  <c r="O650" i="3"/>
  <c r="P650" i="3" s="1"/>
  <c r="O603" i="3"/>
  <c r="P603" i="3" s="1"/>
  <c r="O584" i="3"/>
  <c r="P584" i="3" s="1"/>
  <c r="O532" i="3"/>
  <c r="P532" i="3" s="1"/>
  <c r="O492" i="3"/>
  <c r="P492" i="3" s="1"/>
  <c r="O464" i="3"/>
  <c r="P464" i="3" s="1"/>
  <c r="O440" i="3"/>
  <c r="P440" i="3" s="1"/>
  <c r="O364" i="3"/>
  <c r="P364" i="3" s="1"/>
  <c r="O308" i="3"/>
  <c r="P308" i="3" s="1"/>
  <c r="O282" i="3"/>
  <c r="P282" i="3" s="1"/>
  <c r="O236" i="3"/>
  <c r="P236" i="3" s="1"/>
  <c r="O173" i="3"/>
  <c r="P173" i="3" s="1"/>
  <c r="O116" i="3"/>
  <c r="P116" i="3" s="1"/>
  <c r="O77" i="3"/>
  <c r="P77" i="3" s="1"/>
  <c r="O628" i="3"/>
  <c r="P628" i="3" s="1"/>
  <c r="O612" i="3"/>
  <c r="P612" i="3" s="1"/>
  <c r="O553" i="3"/>
  <c r="P553" i="3" s="1"/>
  <c r="O411" i="3"/>
  <c r="P411" i="3" s="1"/>
  <c r="O179" i="3"/>
  <c r="P179" i="3" s="1"/>
  <c r="O436" i="3"/>
  <c r="P436" i="3" s="1"/>
  <c r="O84" i="3"/>
  <c r="P84" i="3" s="1"/>
  <c r="O768" i="3"/>
  <c r="P768" i="3" s="1"/>
  <c r="O627" i="3"/>
  <c r="P627" i="3" s="1"/>
  <c r="O552" i="3"/>
  <c r="P552" i="3" s="1"/>
  <c r="O267" i="3"/>
  <c r="P267" i="3" s="1"/>
  <c r="O195" i="3"/>
  <c r="P195" i="3" s="1"/>
  <c r="O660" i="3"/>
  <c r="P660" i="3" s="1"/>
  <c r="O626" i="3"/>
  <c r="P626" i="3" s="1"/>
  <c r="O610" i="3"/>
  <c r="P610" i="3" s="1"/>
  <c r="O539" i="3"/>
  <c r="P539" i="3" s="1"/>
  <c r="O514" i="3"/>
  <c r="P514" i="3" s="1"/>
  <c r="O434" i="3"/>
  <c r="P434" i="3" s="1"/>
  <c r="O266" i="3"/>
  <c r="P266" i="3" s="1"/>
  <c r="O194" i="3"/>
  <c r="P194" i="3" s="1"/>
  <c r="O149" i="3"/>
  <c r="P149" i="3" s="1"/>
  <c r="O121" i="3"/>
  <c r="P121" i="3" s="1"/>
  <c r="O99" i="3"/>
  <c r="P99" i="3" s="1"/>
  <c r="O64" i="3"/>
  <c r="P64" i="3" s="1"/>
  <c r="O14" i="3"/>
  <c r="P14" i="3" s="1"/>
  <c r="O763" i="3"/>
  <c r="P763" i="3" s="1"/>
  <c r="O744" i="3"/>
  <c r="P744" i="3" s="1"/>
  <c r="O720" i="3"/>
  <c r="P720" i="3" s="1"/>
  <c r="O680" i="3"/>
  <c r="P680" i="3" s="1"/>
  <c r="O659" i="3"/>
  <c r="P659" i="3" s="1"/>
  <c r="O642" i="3"/>
  <c r="P642" i="3" s="1"/>
  <c r="O625" i="3"/>
  <c r="P625" i="3" s="1"/>
  <c r="O609" i="3"/>
  <c r="P609" i="3" s="1"/>
  <c r="O588" i="3"/>
  <c r="P588" i="3" s="1"/>
  <c r="O568" i="3"/>
  <c r="P568" i="3" s="1"/>
  <c r="O538" i="3"/>
  <c r="P538" i="3" s="1"/>
  <c r="O513" i="3"/>
  <c r="P513" i="3" s="1"/>
  <c r="O490" i="3"/>
  <c r="P490" i="3" s="1"/>
  <c r="O466" i="3"/>
  <c r="P466" i="3" s="1"/>
  <c r="O450" i="3"/>
  <c r="P450" i="3" s="1"/>
  <c r="O433" i="3"/>
  <c r="P433" i="3" s="1"/>
  <c r="O408" i="3"/>
  <c r="P408" i="3" s="1"/>
  <c r="O360" i="3"/>
  <c r="P360" i="3" s="1"/>
  <c r="O323" i="3"/>
  <c r="P323" i="3" s="1"/>
  <c r="O300" i="3"/>
  <c r="P300" i="3" s="1"/>
  <c r="O281" i="3"/>
  <c r="P281" i="3" s="1"/>
  <c r="O265" i="3"/>
  <c r="P265" i="3" s="1"/>
  <c r="O233" i="3"/>
  <c r="P233" i="3" s="1"/>
  <c r="O193" i="3"/>
  <c r="P193" i="3" s="1"/>
  <c r="O148" i="3"/>
  <c r="P148" i="3" s="1"/>
  <c r="O120" i="3"/>
  <c r="P120" i="3" s="1"/>
  <c r="O98" i="3"/>
  <c r="P98" i="3" s="1"/>
  <c r="O61" i="3"/>
  <c r="P61" i="3" s="1"/>
  <c r="O336" i="3"/>
  <c r="P336" i="3" s="1"/>
  <c r="O769" i="3"/>
  <c r="P769" i="3" s="1"/>
  <c r="O611" i="3"/>
  <c r="P611" i="3" s="1"/>
  <c r="O435" i="3"/>
  <c r="P435" i="3" s="1"/>
  <c r="O410" i="3"/>
  <c r="P410" i="3" s="1"/>
  <c r="O681" i="3"/>
  <c r="P681" i="3" s="1"/>
  <c r="O643" i="3"/>
  <c r="P643" i="3" s="1"/>
  <c r="O409" i="3"/>
  <c r="P409" i="3" s="1"/>
  <c r="O361" i="3"/>
  <c r="P361" i="3" s="1"/>
  <c r="O324" i="3"/>
  <c r="P324" i="3" s="1"/>
  <c r="O756" i="3"/>
  <c r="P756" i="3" s="1"/>
  <c r="O740" i="3"/>
  <c r="P740" i="3" s="1"/>
  <c r="O712" i="3"/>
  <c r="P712" i="3" s="1"/>
  <c r="O676" i="3"/>
  <c r="P676" i="3" s="1"/>
  <c r="O658" i="3"/>
  <c r="P658" i="3" s="1"/>
  <c r="O641" i="3"/>
  <c r="P641" i="3" s="1"/>
  <c r="O624" i="3"/>
  <c r="P624" i="3" s="1"/>
  <c r="O608" i="3"/>
  <c r="P608" i="3" s="1"/>
  <c r="O587" i="3"/>
  <c r="P587" i="3" s="1"/>
  <c r="O564" i="3"/>
  <c r="P564" i="3" s="1"/>
  <c r="O537" i="3"/>
  <c r="P537" i="3" s="1"/>
  <c r="O512" i="3"/>
  <c r="P512" i="3" s="1"/>
  <c r="O484" i="3"/>
  <c r="P484" i="3" s="1"/>
  <c r="O465" i="3"/>
  <c r="P465" i="3" s="1"/>
  <c r="O449" i="3"/>
  <c r="P449" i="3" s="1"/>
  <c r="O432" i="3"/>
  <c r="P432" i="3" s="1"/>
  <c r="O400" i="3"/>
  <c r="P400" i="3" s="1"/>
  <c r="O356" i="3"/>
  <c r="P356" i="3" s="1"/>
  <c r="O322" i="3"/>
  <c r="P322" i="3" s="1"/>
  <c r="O299" i="3"/>
  <c r="P299" i="3" s="1"/>
  <c r="O280" i="3"/>
  <c r="P280" i="3" s="1"/>
  <c r="O264" i="3"/>
  <c r="P264" i="3" s="1"/>
  <c r="O226" i="3"/>
  <c r="P226" i="3" s="1"/>
  <c r="O192" i="3"/>
  <c r="P192" i="3" s="1"/>
  <c r="O147" i="3"/>
  <c r="P147" i="3" s="1"/>
  <c r="O117" i="3"/>
  <c r="P117" i="3" s="1"/>
  <c r="O97" i="3"/>
  <c r="P97" i="3" s="1"/>
  <c r="O53" i="3"/>
  <c r="P53" i="3" s="1"/>
  <c r="N734" i="3"/>
  <c r="T734" i="3" s="1"/>
  <c r="O734" i="3"/>
  <c r="P734" i="3" s="1"/>
  <c r="N709" i="3"/>
  <c r="T709" i="3" s="1"/>
  <c r="O709" i="3"/>
  <c r="P709" i="3" s="1"/>
  <c r="N623" i="3"/>
  <c r="T623" i="3" s="1"/>
  <c r="O623" i="3"/>
  <c r="P623" i="3" s="1"/>
  <c r="N590" i="3"/>
  <c r="T590" i="3" s="1"/>
  <c r="O590" i="3"/>
  <c r="P590" i="3" s="1"/>
  <c r="N565" i="3"/>
  <c r="T565" i="3" s="1"/>
  <c r="O565" i="3"/>
  <c r="P565" i="3" s="1"/>
  <c r="N446" i="3"/>
  <c r="T446" i="3" s="1"/>
  <c r="O446" i="3"/>
  <c r="P446" i="3" s="1"/>
  <c r="N421" i="3"/>
  <c r="T421" i="3" s="1"/>
  <c r="O421" i="3"/>
  <c r="P421" i="3" s="1"/>
  <c r="N288" i="3"/>
  <c r="T288" i="3" s="1"/>
  <c r="O288" i="3"/>
  <c r="P288" i="3" s="1"/>
  <c r="N261" i="3"/>
  <c r="T261" i="3" s="1"/>
  <c r="O261" i="3"/>
  <c r="P261" i="3" s="1"/>
  <c r="N146" i="3"/>
  <c r="T146" i="3" s="1"/>
  <c r="O146" i="3"/>
  <c r="P146" i="3" s="1"/>
  <c r="N122" i="3"/>
  <c r="T122" i="3" s="1"/>
  <c r="O122" i="3"/>
  <c r="P122" i="3" s="1"/>
  <c r="N86" i="3"/>
  <c r="T86" i="3" s="1"/>
  <c r="O86" i="3"/>
  <c r="P86" i="3" s="1"/>
  <c r="N51" i="3"/>
  <c r="T51" i="3" s="1"/>
  <c r="O51" i="3"/>
  <c r="P51" i="3" s="1"/>
  <c r="N17" i="3"/>
  <c r="T17" i="3" s="1"/>
  <c r="O17" i="3"/>
  <c r="P17" i="3" s="1"/>
  <c r="O692" i="3"/>
  <c r="P692" i="3" s="1"/>
  <c r="N742" i="3"/>
  <c r="T742" i="3" s="1"/>
  <c r="O742" i="3"/>
  <c r="P742" i="3" s="1"/>
  <c r="N639" i="3"/>
  <c r="T639" i="3" s="1"/>
  <c r="O639" i="3"/>
  <c r="P639" i="3" s="1"/>
  <c r="N614" i="3"/>
  <c r="T614" i="3" s="1"/>
  <c r="O614" i="3"/>
  <c r="P614" i="3" s="1"/>
  <c r="N597" i="3"/>
  <c r="T597" i="3" s="1"/>
  <c r="O597" i="3"/>
  <c r="P597" i="3" s="1"/>
  <c r="N581" i="3"/>
  <c r="T581" i="3" s="1"/>
  <c r="O581" i="3"/>
  <c r="P581" i="3" s="1"/>
  <c r="N471" i="3"/>
  <c r="T471" i="3" s="1"/>
  <c r="O471" i="3"/>
  <c r="P471" i="3" s="1"/>
  <c r="N454" i="3"/>
  <c r="T454" i="3" s="1"/>
  <c r="O454" i="3"/>
  <c r="P454" i="3" s="1"/>
  <c r="N296" i="3"/>
  <c r="T296" i="3" s="1"/>
  <c r="O296" i="3"/>
  <c r="P296" i="3" s="1"/>
  <c r="N287" i="3"/>
  <c r="T287" i="3" s="1"/>
  <c r="O287" i="3"/>
  <c r="P287" i="3" s="1"/>
  <c r="N278" i="3"/>
  <c r="T278" i="3" s="1"/>
  <c r="O278" i="3"/>
  <c r="P278" i="3" s="1"/>
  <c r="N240" i="3"/>
  <c r="T240" i="3" s="1"/>
  <c r="O240" i="3"/>
  <c r="P240" i="3" s="1"/>
  <c r="N231" i="3"/>
  <c r="T231" i="3" s="1"/>
  <c r="O231" i="3"/>
  <c r="P231" i="3" s="1"/>
  <c r="N222" i="3"/>
  <c r="T222" i="3" s="1"/>
  <c r="O222" i="3"/>
  <c r="P222" i="3" s="1"/>
  <c r="N196" i="3"/>
  <c r="T196" i="3" s="1"/>
  <c r="O196" i="3"/>
  <c r="P196" i="3" s="1"/>
  <c r="N187" i="3"/>
  <c r="T187" i="3" s="1"/>
  <c r="O187" i="3"/>
  <c r="P187" i="3" s="1"/>
  <c r="N154" i="3"/>
  <c r="T154" i="3" s="1"/>
  <c r="O154" i="3"/>
  <c r="P154" i="3" s="1"/>
  <c r="N145" i="3"/>
  <c r="T145" i="3" s="1"/>
  <c r="O145" i="3"/>
  <c r="P145" i="3" s="1"/>
  <c r="N137" i="3"/>
  <c r="T137" i="3" s="1"/>
  <c r="O137" i="3"/>
  <c r="P137" i="3" s="1"/>
  <c r="N112" i="3"/>
  <c r="T112" i="3" s="1"/>
  <c r="O112" i="3"/>
  <c r="P112" i="3" s="1"/>
  <c r="N94" i="3"/>
  <c r="T94" i="3" s="1"/>
  <c r="O94" i="3"/>
  <c r="P94" i="3" s="1"/>
  <c r="N33" i="3"/>
  <c r="T33" i="3" s="1"/>
  <c r="O33" i="3"/>
  <c r="P33" i="3" s="1"/>
  <c r="N16" i="3"/>
  <c r="T16" i="3" s="1"/>
  <c r="O16" i="3"/>
  <c r="P16" i="3" s="1"/>
  <c r="N118" i="3"/>
  <c r="T118" i="3" s="1"/>
  <c r="O118" i="3"/>
  <c r="P118" i="3" s="1"/>
  <c r="N158" i="3"/>
  <c r="T158" i="3" s="1"/>
  <c r="O158" i="3"/>
  <c r="P158" i="3" s="1"/>
  <c r="N136" i="3"/>
  <c r="T136" i="3" s="1"/>
  <c r="O136" i="3"/>
  <c r="P136" i="3" s="1"/>
  <c r="N767" i="3"/>
  <c r="T767" i="3" s="1"/>
  <c r="O767" i="3"/>
  <c r="P767" i="3" s="1"/>
  <c r="N670" i="3"/>
  <c r="T670" i="3" s="1"/>
  <c r="O670" i="3"/>
  <c r="P670" i="3" s="1"/>
  <c r="N486" i="3"/>
  <c r="T486" i="3" s="1"/>
  <c r="O486" i="3"/>
  <c r="P486" i="3" s="1"/>
  <c r="N285" i="3"/>
  <c r="T285" i="3" s="1"/>
  <c r="O285" i="3"/>
  <c r="P285" i="3" s="1"/>
  <c r="N228" i="3"/>
  <c r="T228" i="3" s="1"/>
  <c r="O228" i="3"/>
  <c r="P228" i="3" s="1"/>
  <c r="N127" i="3"/>
  <c r="T127" i="3" s="1"/>
  <c r="O127" i="3"/>
  <c r="P127" i="3" s="1"/>
  <c r="N83" i="3"/>
  <c r="T83" i="3" s="1"/>
  <c r="O83" i="3"/>
  <c r="P83" i="3" s="1"/>
  <c r="N30" i="3"/>
  <c r="T30" i="3" s="1"/>
  <c r="O30" i="3"/>
  <c r="P30" i="3" s="1"/>
  <c r="N397" i="3"/>
  <c r="T397" i="3" s="1"/>
  <c r="O397" i="3"/>
  <c r="P397" i="3" s="1"/>
  <c r="O700" i="3"/>
  <c r="P700" i="3" s="1"/>
  <c r="O664" i="3"/>
  <c r="P664" i="3" s="1"/>
  <c r="O572" i="3"/>
  <c r="P572" i="3" s="1"/>
  <c r="O249" i="3"/>
  <c r="P249" i="3" s="1"/>
  <c r="N766" i="3"/>
  <c r="T766" i="3" s="1"/>
  <c r="O766" i="3"/>
  <c r="P766" i="3" s="1"/>
  <c r="N334" i="3"/>
  <c r="T334" i="3" s="1"/>
  <c r="O334" i="3"/>
  <c r="P334" i="3" s="1"/>
  <c r="O185" i="3"/>
  <c r="P185" i="3" s="1"/>
  <c r="N726" i="3"/>
  <c r="T726" i="3" s="1"/>
  <c r="O726" i="3"/>
  <c r="P726" i="3" s="1"/>
  <c r="N615" i="3"/>
  <c r="T615" i="3" s="1"/>
  <c r="O615" i="3"/>
  <c r="P615" i="3" s="1"/>
  <c r="N582" i="3"/>
  <c r="T582" i="3" s="1"/>
  <c r="O582" i="3"/>
  <c r="P582" i="3" s="1"/>
  <c r="N463" i="3"/>
  <c r="T463" i="3" s="1"/>
  <c r="O463" i="3"/>
  <c r="P463" i="3" s="1"/>
  <c r="N429" i="3"/>
  <c r="T429" i="3" s="1"/>
  <c r="O429" i="3"/>
  <c r="P429" i="3" s="1"/>
  <c r="N405" i="3"/>
  <c r="T405" i="3" s="1"/>
  <c r="O405" i="3"/>
  <c r="P405" i="3" s="1"/>
  <c r="N279" i="3"/>
  <c r="T279" i="3" s="1"/>
  <c r="O279" i="3"/>
  <c r="P279" i="3" s="1"/>
  <c r="N232" i="3"/>
  <c r="T232" i="3" s="1"/>
  <c r="O232" i="3"/>
  <c r="P232" i="3" s="1"/>
  <c r="N197" i="3"/>
  <c r="T197" i="3" s="1"/>
  <c r="O197" i="3"/>
  <c r="P197" i="3" s="1"/>
  <c r="N164" i="3"/>
  <c r="T164" i="3" s="1"/>
  <c r="O164" i="3"/>
  <c r="P164" i="3" s="1"/>
  <c r="N105" i="3"/>
  <c r="T105" i="3" s="1"/>
  <c r="O105" i="3"/>
  <c r="P105" i="3" s="1"/>
  <c r="N78" i="3"/>
  <c r="T78" i="3" s="1"/>
  <c r="O78" i="3"/>
  <c r="P78" i="3" s="1"/>
  <c r="N150" i="3"/>
  <c r="T150" i="3" s="1"/>
  <c r="O150" i="3"/>
  <c r="P150" i="3" s="1"/>
  <c r="O489" i="3"/>
  <c r="P489" i="3" s="1"/>
  <c r="O297" i="3"/>
  <c r="P297" i="3" s="1"/>
  <c r="N622" i="3"/>
  <c r="T622" i="3" s="1"/>
  <c r="O622" i="3"/>
  <c r="P622" i="3" s="1"/>
  <c r="O691" i="3"/>
  <c r="P691" i="3" s="1"/>
  <c r="O488" i="3"/>
  <c r="P488" i="3" s="1"/>
  <c r="O396" i="3"/>
  <c r="P396" i="3" s="1"/>
  <c r="O346" i="3"/>
  <c r="P346" i="3" s="1"/>
  <c r="N741" i="3"/>
  <c r="T741" i="3" s="1"/>
  <c r="O741" i="3"/>
  <c r="P741" i="3" s="1"/>
  <c r="N671" i="3"/>
  <c r="T671" i="3" s="1"/>
  <c r="O671" i="3"/>
  <c r="P671" i="3" s="1"/>
  <c r="N655" i="3"/>
  <c r="T655" i="3" s="1"/>
  <c r="O655" i="3"/>
  <c r="P655" i="3" s="1"/>
  <c r="N638" i="3"/>
  <c r="T638" i="3" s="1"/>
  <c r="O638" i="3"/>
  <c r="P638" i="3" s="1"/>
  <c r="N621" i="3"/>
  <c r="T621" i="3" s="1"/>
  <c r="O621" i="3"/>
  <c r="P621" i="3" s="1"/>
  <c r="N495" i="3"/>
  <c r="T495" i="3" s="1"/>
  <c r="O495" i="3"/>
  <c r="P495" i="3" s="1"/>
  <c r="N478" i="3"/>
  <c r="T478" i="3" s="1"/>
  <c r="O478" i="3"/>
  <c r="P478" i="3" s="1"/>
  <c r="N461" i="3"/>
  <c r="T461" i="3" s="1"/>
  <c r="O461" i="3"/>
  <c r="P461" i="3" s="1"/>
  <c r="N319" i="3"/>
  <c r="T319" i="3" s="1"/>
  <c r="O319" i="3"/>
  <c r="P319" i="3" s="1"/>
  <c r="N303" i="3"/>
  <c r="T303" i="3" s="1"/>
  <c r="O303" i="3"/>
  <c r="P303" i="3" s="1"/>
  <c r="N286" i="3"/>
  <c r="T286" i="3" s="1"/>
  <c r="O286" i="3"/>
  <c r="P286" i="3" s="1"/>
  <c r="N277" i="3"/>
  <c r="T277" i="3" s="1"/>
  <c r="O277" i="3"/>
  <c r="P277" i="3" s="1"/>
  <c r="N229" i="3"/>
  <c r="T229" i="3" s="1"/>
  <c r="O229" i="3"/>
  <c r="P229" i="3" s="1"/>
  <c r="N111" i="3"/>
  <c r="T111" i="3" s="1"/>
  <c r="O111" i="3"/>
  <c r="P111" i="3" s="1"/>
  <c r="N93" i="3"/>
  <c r="T93" i="3" s="1"/>
  <c r="O93" i="3"/>
  <c r="P93" i="3" s="1"/>
  <c r="N49" i="3"/>
  <c r="T49" i="3" s="1"/>
  <c r="O49" i="3"/>
  <c r="P49" i="3" s="1"/>
  <c r="N32" i="3"/>
  <c r="T32" i="3" s="1"/>
  <c r="O32" i="3"/>
  <c r="P32" i="3" s="1"/>
  <c r="N23" i="3"/>
  <c r="T23" i="3" s="1"/>
  <c r="O23" i="3"/>
  <c r="P23" i="3" s="1"/>
  <c r="N7" i="3"/>
  <c r="T7" i="3" s="1"/>
  <c r="O7" i="3"/>
  <c r="P7" i="3" s="1"/>
  <c r="N31" i="3"/>
  <c r="T31" i="3" s="1"/>
  <c r="O31" i="3"/>
  <c r="P31" i="3" s="1"/>
  <c r="O665" i="3"/>
  <c r="P665" i="3" s="1"/>
  <c r="O548" i="3"/>
  <c r="P548" i="3" s="1"/>
  <c r="O523" i="3"/>
  <c r="P523" i="3" s="1"/>
  <c r="O420" i="3"/>
  <c r="P420" i="3" s="1"/>
  <c r="O345" i="3"/>
  <c r="P345" i="3" s="1"/>
  <c r="O250" i="3"/>
  <c r="P250" i="3" s="1"/>
  <c r="O153" i="3"/>
  <c r="P153" i="3" s="1"/>
  <c r="O76" i="3"/>
  <c r="P76" i="3" s="1"/>
  <c r="O8" i="3"/>
  <c r="P8" i="3" s="1"/>
  <c r="N678" i="3"/>
  <c r="T678" i="3" s="1"/>
  <c r="O678" i="3"/>
  <c r="P678" i="3" s="1"/>
  <c r="N654" i="3"/>
  <c r="T654" i="3" s="1"/>
  <c r="O654" i="3"/>
  <c r="P654" i="3" s="1"/>
  <c r="N494" i="3"/>
  <c r="T494" i="3" s="1"/>
  <c r="O494" i="3"/>
  <c r="P494" i="3" s="1"/>
  <c r="N469" i="3"/>
  <c r="T469" i="3" s="1"/>
  <c r="O469" i="3"/>
  <c r="P469" i="3" s="1"/>
  <c r="N335" i="3"/>
  <c r="T335" i="3" s="1"/>
  <c r="O335" i="3"/>
  <c r="P335" i="3" s="1"/>
  <c r="N318" i="3"/>
  <c r="T318" i="3" s="1"/>
  <c r="O318" i="3"/>
  <c r="P318" i="3" s="1"/>
  <c r="N302" i="3"/>
  <c r="T302" i="3" s="1"/>
  <c r="O302" i="3"/>
  <c r="P302" i="3" s="1"/>
  <c r="N256" i="3"/>
  <c r="T256" i="3" s="1"/>
  <c r="O256" i="3"/>
  <c r="P256" i="3" s="1"/>
  <c r="N237" i="3"/>
  <c r="T237" i="3" s="1"/>
  <c r="O237" i="3"/>
  <c r="P237" i="3" s="1"/>
  <c r="N211" i="3"/>
  <c r="T211" i="3" s="1"/>
  <c r="O211" i="3"/>
  <c r="P211" i="3" s="1"/>
  <c r="N169" i="3"/>
  <c r="T169" i="3" s="1"/>
  <c r="O169" i="3"/>
  <c r="P169" i="3" s="1"/>
  <c r="N135" i="3"/>
  <c r="T135" i="3" s="1"/>
  <c r="O135" i="3"/>
  <c r="P135" i="3" s="1"/>
  <c r="N110" i="3"/>
  <c r="T110" i="3" s="1"/>
  <c r="O110" i="3"/>
  <c r="P110" i="3" s="1"/>
  <c r="N102" i="3"/>
  <c r="T102" i="3" s="1"/>
  <c r="O102" i="3"/>
  <c r="P102" i="3" s="1"/>
  <c r="N6" i="3"/>
  <c r="T6" i="3" s="1"/>
  <c r="O6" i="3"/>
  <c r="P6" i="3" s="1"/>
  <c r="N208" i="3"/>
  <c r="T208" i="3" s="1"/>
  <c r="O208" i="3"/>
  <c r="P208" i="3" s="1"/>
  <c r="O777" i="3"/>
  <c r="P777" i="3" s="1"/>
  <c r="O752" i="3"/>
  <c r="P752" i="3" s="1"/>
  <c r="O714" i="3"/>
  <c r="P714" i="3" s="1"/>
  <c r="O689" i="3"/>
  <c r="P689" i="3" s="1"/>
  <c r="O636" i="3"/>
  <c r="P636" i="3" s="1"/>
  <c r="O444" i="3"/>
  <c r="P444" i="3" s="1"/>
  <c r="O380" i="3"/>
  <c r="P380" i="3" s="1"/>
  <c r="O152" i="3"/>
  <c r="P152" i="3" s="1"/>
  <c r="O56" i="3"/>
  <c r="P56" i="3" s="1"/>
  <c r="N758" i="3"/>
  <c r="T758" i="3" s="1"/>
  <c r="O758" i="3"/>
  <c r="P758" i="3" s="1"/>
  <c r="N677" i="3"/>
  <c r="T677" i="3" s="1"/>
  <c r="O677" i="3"/>
  <c r="P677" i="3" s="1"/>
  <c r="N661" i="3"/>
  <c r="T661" i="3" s="1"/>
  <c r="O661" i="3"/>
  <c r="P661" i="3" s="1"/>
  <c r="N519" i="3"/>
  <c r="T519" i="3" s="1"/>
  <c r="O519" i="3"/>
  <c r="P519" i="3" s="1"/>
  <c r="N503" i="3"/>
  <c r="T503" i="3" s="1"/>
  <c r="O503" i="3"/>
  <c r="P503" i="3" s="1"/>
  <c r="N359" i="3"/>
  <c r="T359" i="3" s="1"/>
  <c r="O359" i="3"/>
  <c r="P359" i="3" s="1"/>
  <c r="N343" i="3"/>
  <c r="T343" i="3" s="1"/>
  <c r="O343" i="3"/>
  <c r="P343" i="3" s="1"/>
  <c r="N317" i="3"/>
  <c r="T317" i="3" s="1"/>
  <c r="O317" i="3"/>
  <c r="P317" i="3" s="1"/>
  <c r="N301" i="3"/>
  <c r="T301" i="3" s="1"/>
  <c r="O301" i="3"/>
  <c r="P301" i="3" s="1"/>
  <c r="N247" i="3"/>
  <c r="T247" i="3" s="1"/>
  <c r="O247" i="3"/>
  <c r="P247" i="3" s="1"/>
  <c r="N210" i="3"/>
  <c r="T210" i="3" s="1"/>
  <c r="O210" i="3"/>
  <c r="P210" i="3" s="1"/>
  <c r="N201" i="3"/>
  <c r="T201" i="3" s="1"/>
  <c r="O201" i="3"/>
  <c r="P201" i="3" s="1"/>
  <c r="N168" i="3"/>
  <c r="T168" i="3" s="1"/>
  <c r="O168" i="3"/>
  <c r="P168" i="3" s="1"/>
  <c r="N151" i="3"/>
  <c r="T151" i="3" s="1"/>
  <c r="O151" i="3"/>
  <c r="P151" i="3" s="1"/>
  <c r="N134" i="3"/>
  <c r="T134" i="3" s="1"/>
  <c r="O134" i="3"/>
  <c r="P134" i="3" s="1"/>
  <c r="N101" i="3"/>
  <c r="T101" i="3" s="1"/>
  <c r="O101" i="3"/>
  <c r="P101" i="3" s="1"/>
  <c r="N82" i="3"/>
  <c r="T82" i="3" s="1"/>
  <c r="O82" i="3"/>
  <c r="P82" i="3" s="1"/>
  <c r="N47" i="3"/>
  <c r="T47" i="3" s="1"/>
  <c r="O47" i="3"/>
  <c r="P47" i="3" s="1"/>
  <c r="N13" i="3"/>
  <c r="T13" i="3" s="1"/>
  <c r="O13" i="3"/>
  <c r="P13" i="3" s="1"/>
  <c r="N5" i="3"/>
  <c r="T5" i="3" s="1"/>
  <c r="O5" i="3"/>
  <c r="P5" i="3" s="1"/>
  <c r="N58" i="3"/>
  <c r="T58" i="3" s="1"/>
  <c r="O58" i="3"/>
  <c r="P58" i="3" s="1"/>
  <c r="N326" i="3"/>
  <c r="T326" i="3" s="1"/>
  <c r="O326" i="3"/>
  <c r="P326" i="3" s="1"/>
  <c r="O762" i="3"/>
  <c r="P762" i="3" s="1"/>
  <c r="O724" i="3"/>
  <c r="P724" i="3" s="1"/>
  <c r="O699" i="3"/>
  <c r="P699" i="3" s="1"/>
  <c r="O635" i="3"/>
  <c r="P635" i="3" s="1"/>
  <c r="O571" i="3"/>
  <c r="P571" i="3" s="1"/>
  <c r="O560" i="3"/>
  <c r="P560" i="3" s="1"/>
  <c r="O546" i="3"/>
  <c r="P546" i="3" s="1"/>
  <c r="O521" i="3"/>
  <c r="P521" i="3" s="1"/>
  <c r="O507" i="3"/>
  <c r="P507" i="3" s="1"/>
  <c r="O496" i="3"/>
  <c r="P496" i="3" s="1"/>
  <c r="O443" i="3"/>
  <c r="P443" i="3" s="1"/>
  <c r="O418" i="3"/>
  <c r="P418" i="3" s="1"/>
  <c r="O404" i="3"/>
  <c r="P404" i="3" s="1"/>
  <c r="O379" i="3"/>
  <c r="P379" i="3" s="1"/>
  <c r="O368" i="3"/>
  <c r="P368" i="3" s="1"/>
  <c r="O354" i="3"/>
  <c r="P354" i="3" s="1"/>
  <c r="O304" i="3"/>
  <c r="P304" i="3" s="1"/>
  <c r="O227" i="3"/>
  <c r="P227" i="3" s="1"/>
  <c r="O205" i="3"/>
  <c r="P205" i="3" s="1"/>
  <c r="O170" i="3"/>
  <c r="P170" i="3" s="1"/>
  <c r="O761" i="3"/>
  <c r="P761" i="3" s="1"/>
  <c r="O748" i="3"/>
  <c r="P748" i="3" s="1"/>
  <c r="O723" i="3"/>
  <c r="P723" i="3" s="1"/>
  <c r="O698" i="3"/>
  <c r="P698" i="3" s="1"/>
  <c r="O673" i="3"/>
  <c r="P673" i="3" s="1"/>
  <c r="O648" i="3"/>
  <c r="P648" i="3" s="1"/>
  <c r="O620" i="3"/>
  <c r="P620" i="3" s="1"/>
  <c r="O595" i="3"/>
  <c r="P595" i="3" s="1"/>
  <c r="O570" i="3"/>
  <c r="P570" i="3" s="1"/>
  <c r="O556" i="3"/>
  <c r="P556" i="3" s="1"/>
  <c r="O545" i="3"/>
  <c r="P545" i="3" s="1"/>
  <c r="O531" i="3"/>
  <c r="P531" i="3" s="1"/>
  <c r="O520" i="3"/>
  <c r="P520" i="3" s="1"/>
  <c r="O506" i="3"/>
  <c r="P506" i="3" s="1"/>
  <c r="O467" i="3"/>
  <c r="P467" i="3" s="1"/>
  <c r="O442" i="3"/>
  <c r="P442" i="3" s="1"/>
  <c r="O428" i="3"/>
  <c r="P428" i="3" s="1"/>
  <c r="O417" i="3"/>
  <c r="P417" i="3" s="1"/>
  <c r="O403" i="3"/>
  <c r="P403" i="3" s="1"/>
  <c r="O392" i="3"/>
  <c r="P392" i="3" s="1"/>
  <c r="O378" i="3"/>
  <c r="P378" i="3" s="1"/>
  <c r="O353" i="3"/>
  <c r="P353" i="3" s="1"/>
  <c r="O339" i="3"/>
  <c r="P339" i="3" s="1"/>
  <c r="O328" i="3"/>
  <c r="P328" i="3" s="1"/>
  <c r="O284" i="3"/>
  <c r="P284" i="3" s="1"/>
  <c r="O259" i="3"/>
  <c r="P259" i="3" s="1"/>
  <c r="O204" i="3"/>
  <c r="P204" i="3" s="1"/>
  <c r="O184" i="3"/>
  <c r="P184" i="3" s="1"/>
  <c r="O163" i="3"/>
  <c r="P163" i="3" s="1"/>
  <c r="O129" i="3"/>
  <c r="P129" i="3" s="1"/>
  <c r="O109" i="3"/>
  <c r="P109" i="3" s="1"/>
  <c r="O67" i="3"/>
  <c r="P67" i="3" s="1"/>
  <c r="O50" i="3"/>
  <c r="P50" i="3" s="1"/>
  <c r="O25" i="3"/>
  <c r="P25" i="3" s="1"/>
  <c r="N607" i="3"/>
  <c r="T607" i="3" s="1"/>
  <c r="O607" i="3"/>
  <c r="P607" i="3" s="1"/>
  <c r="N573" i="3"/>
  <c r="T573" i="3" s="1"/>
  <c r="O573" i="3"/>
  <c r="P573" i="3" s="1"/>
  <c r="N455" i="3"/>
  <c r="T455" i="3" s="1"/>
  <c r="O455" i="3"/>
  <c r="P455" i="3" s="1"/>
  <c r="N223" i="3"/>
  <c r="T223" i="3" s="1"/>
  <c r="O223" i="3"/>
  <c r="P223" i="3" s="1"/>
  <c r="N189" i="3"/>
  <c r="T189" i="3" s="1"/>
  <c r="O189" i="3"/>
  <c r="P189" i="3" s="1"/>
  <c r="N113" i="3"/>
  <c r="T113" i="3" s="1"/>
  <c r="O113" i="3"/>
  <c r="P113" i="3" s="1"/>
  <c r="N68" i="3"/>
  <c r="T68" i="3" s="1"/>
  <c r="O68" i="3"/>
  <c r="P68" i="3" s="1"/>
  <c r="N43" i="3"/>
  <c r="T43" i="3" s="1"/>
  <c r="O43" i="3"/>
  <c r="P43" i="3" s="1"/>
  <c r="N91" i="3"/>
  <c r="T91" i="3" s="1"/>
  <c r="O91" i="3"/>
  <c r="P91" i="3" s="1"/>
  <c r="N598" i="3"/>
  <c r="T598" i="3" s="1"/>
  <c r="O598" i="3"/>
  <c r="P598" i="3" s="1"/>
  <c r="O771" i="3"/>
  <c r="P771" i="3" s="1"/>
  <c r="O760" i="3"/>
  <c r="P760" i="3" s="1"/>
  <c r="O747" i="3"/>
  <c r="P747" i="3" s="1"/>
  <c r="O722" i="3"/>
  <c r="P722" i="3" s="1"/>
  <c r="O708" i="3"/>
  <c r="P708" i="3" s="1"/>
  <c r="O697" i="3"/>
  <c r="P697" i="3" s="1"/>
  <c r="O672" i="3"/>
  <c r="P672" i="3" s="1"/>
  <c r="O644" i="3"/>
  <c r="P644" i="3" s="1"/>
  <c r="O619" i="3"/>
  <c r="P619" i="3" s="1"/>
  <c r="O594" i="3"/>
  <c r="P594" i="3" s="1"/>
  <c r="O580" i="3"/>
  <c r="P580" i="3" s="1"/>
  <c r="O569" i="3"/>
  <c r="P569" i="3" s="1"/>
  <c r="O555" i="3"/>
  <c r="P555" i="3" s="1"/>
  <c r="O544" i="3"/>
  <c r="P544" i="3" s="1"/>
  <c r="O530" i="3"/>
  <c r="P530" i="3" s="1"/>
  <c r="O505" i="3"/>
  <c r="P505" i="3" s="1"/>
  <c r="O480" i="3"/>
  <c r="P480" i="3" s="1"/>
  <c r="O452" i="3"/>
  <c r="P452" i="3" s="1"/>
  <c r="O427" i="3"/>
  <c r="P427" i="3" s="1"/>
  <c r="O402" i="3"/>
  <c r="P402" i="3" s="1"/>
  <c r="O388" i="3"/>
  <c r="P388" i="3" s="1"/>
  <c r="O377" i="3"/>
  <c r="P377" i="3" s="1"/>
  <c r="O363" i="3"/>
  <c r="P363" i="3" s="1"/>
  <c r="O352" i="3"/>
  <c r="P352" i="3" s="1"/>
  <c r="O338" i="3"/>
  <c r="P338" i="3" s="1"/>
  <c r="O313" i="3"/>
  <c r="P313" i="3" s="1"/>
  <c r="O258" i="3"/>
  <c r="P258" i="3" s="1"/>
  <c r="O242" i="3"/>
  <c r="P242" i="3" s="1"/>
  <c r="O203" i="3"/>
  <c r="P203" i="3" s="1"/>
  <c r="O162" i="3"/>
  <c r="P162" i="3" s="1"/>
  <c r="O128" i="3"/>
  <c r="P128" i="3" s="1"/>
  <c r="O66" i="3"/>
  <c r="P66" i="3" s="1"/>
  <c r="O41" i="3"/>
  <c r="P41" i="3" s="1"/>
  <c r="O24" i="3"/>
  <c r="P24" i="3" s="1"/>
  <c r="N743" i="3"/>
  <c r="T743" i="3" s="1"/>
  <c r="O743" i="3"/>
  <c r="P743" i="3" s="1"/>
  <c r="N717" i="3"/>
  <c r="T717" i="3" s="1"/>
  <c r="O717" i="3"/>
  <c r="P717" i="3" s="1"/>
  <c r="N631" i="3"/>
  <c r="T631" i="3" s="1"/>
  <c r="O631" i="3"/>
  <c r="P631" i="3" s="1"/>
  <c r="N599" i="3"/>
  <c r="T599" i="3" s="1"/>
  <c r="O599" i="3"/>
  <c r="P599" i="3" s="1"/>
  <c r="N437" i="3"/>
  <c r="T437" i="3" s="1"/>
  <c r="O437" i="3"/>
  <c r="P437" i="3" s="1"/>
  <c r="N413" i="3"/>
  <c r="T413" i="3" s="1"/>
  <c r="O413" i="3"/>
  <c r="P413" i="3" s="1"/>
  <c r="N269" i="3"/>
  <c r="T269" i="3" s="1"/>
  <c r="O269" i="3"/>
  <c r="P269" i="3" s="1"/>
  <c r="N214" i="3"/>
  <c r="T214" i="3" s="1"/>
  <c r="O214" i="3"/>
  <c r="P214" i="3" s="1"/>
  <c r="N155" i="3"/>
  <c r="T155" i="3" s="1"/>
  <c r="O155" i="3"/>
  <c r="P155" i="3" s="1"/>
  <c r="N95" i="3"/>
  <c r="T95" i="3" s="1"/>
  <c r="O95" i="3"/>
  <c r="P95" i="3" s="1"/>
  <c r="N60" i="3"/>
  <c r="T60" i="3" s="1"/>
  <c r="O60" i="3"/>
  <c r="P60" i="3" s="1"/>
  <c r="N34" i="3"/>
  <c r="T34" i="3" s="1"/>
  <c r="O34" i="3"/>
  <c r="P34" i="3" s="1"/>
  <c r="N725" i="3"/>
  <c r="T725" i="3" s="1"/>
  <c r="O725" i="3"/>
  <c r="P725" i="3" s="1"/>
  <c r="O372" i="3"/>
  <c r="P372" i="3" s="1"/>
  <c r="O347" i="3"/>
  <c r="P347" i="3" s="1"/>
  <c r="N2" i="3"/>
  <c r="T2" i="3" s="1"/>
  <c r="O2" i="3"/>
  <c r="P2" i="3" s="1"/>
  <c r="N751" i="3"/>
  <c r="T751" i="3" s="1"/>
  <c r="O751" i="3"/>
  <c r="P751" i="3" s="1"/>
  <c r="N733" i="3"/>
  <c r="T733" i="3" s="1"/>
  <c r="O733" i="3"/>
  <c r="P733" i="3" s="1"/>
  <c r="N647" i="3"/>
  <c r="T647" i="3" s="1"/>
  <c r="O647" i="3"/>
  <c r="P647" i="3" s="1"/>
  <c r="N630" i="3"/>
  <c r="T630" i="3" s="1"/>
  <c r="O630" i="3"/>
  <c r="P630" i="3" s="1"/>
  <c r="N606" i="3"/>
  <c r="T606" i="3" s="1"/>
  <c r="O606" i="3"/>
  <c r="P606" i="3" s="1"/>
  <c r="N589" i="3"/>
  <c r="T589" i="3" s="1"/>
  <c r="O589" i="3"/>
  <c r="P589" i="3" s="1"/>
  <c r="N479" i="3"/>
  <c r="T479" i="3" s="1"/>
  <c r="O479" i="3"/>
  <c r="P479" i="3" s="1"/>
  <c r="N462" i="3"/>
  <c r="T462" i="3" s="1"/>
  <c r="O462" i="3"/>
  <c r="P462" i="3" s="1"/>
  <c r="N445" i="3"/>
  <c r="T445" i="3" s="1"/>
  <c r="O445" i="3"/>
  <c r="P445" i="3" s="1"/>
  <c r="N104" i="3"/>
  <c r="T104" i="3" s="1"/>
  <c r="O104" i="3"/>
  <c r="P104" i="3" s="1"/>
  <c r="N59" i="3"/>
  <c r="T59" i="3" s="1"/>
  <c r="O59" i="3"/>
  <c r="P59" i="3" s="1"/>
  <c r="N42" i="3"/>
  <c r="T42" i="3" s="1"/>
  <c r="O42" i="3"/>
  <c r="P42" i="3" s="1"/>
  <c r="N775" i="3"/>
  <c r="T775" i="3" s="1"/>
  <c r="O775" i="3"/>
  <c r="P775" i="3" s="1"/>
  <c r="N637" i="3"/>
  <c r="T637" i="3" s="1"/>
  <c r="O637" i="3"/>
  <c r="P637" i="3" s="1"/>
  <c r="N230" i="3"/>
  <c r="T230" i="3" s="1"/>
  <c r="O230" i="3"/>
  <c r="P230" i="3" s="1"/>
  <c r="O716" i="3"/>
  <c r="P716" i="3" s="1"/>
  <c r="O371" i="3"/>
  <c r="P371" i="3" s="1"/>
  <c r="O321" i="3"/>
  <c r="P321" i="3" s="1"/>
  <c r="O251" i="3"/>
  <c r="P251" i="3" s="1"/>
  <c r="O9" i="3"/>
  <c r="P9" i="3" s="1"/>
  <c r="N750" i="3"/>
  <c r="T750" i="3" s="1"/>
  <c r="O750" i="3"/>
  <c r="P750" i="3" s="1"/>
  <c r="N679" i="3"/>
  <c r="T679" i="3" s="1"/>
  <c r="O679" i="3"/>
  <c r="P679" i="3" s="1"/>
  <c r="N663" i="3"/>
  <c r="T663" i="3" s="1"/>
  <c r="O663" i="3"/>
  <c r="P663" i="3" s="1"/>
  <c r="N646" i="3"/>
  <c r="T646" i="3" s="1"/>
  <c r="O646" i="3"/>
  <c r="P646" i="3" s="1"/>
  <c r="N629" i="3"/>
  <c r="T629" i="3" s="1"/>
  <c r="O629" i="3"/>
  <c r="P629" i="3" s="1"/>
  <c r="N613" i="3"/>
  <c r="T613" i="3" s="1"/>
  <c r="O613" i="3"/>
  <c r="P613" i="3" s="1"/>
  <c r="N605" i="3"/>
  <c r="T605" i="3" s="1"/>
  <c r="O605" i="3"/>
  <c r="P605" i="3" s="1"/>
  <c r="N487" i="3"/>
  <c r="T487" i="3" s="1"/>
  <c r="O487" i="3"/>
  <c r="P487" i="3" s="1"/>
  <c r="N470" i="3"/>
  <c r="T470" i="3" s="1"/>
  <c r="O470" i="3"/>
  <c r="P470" i="3" s="1"/>
  <c r="N453" i="3"/>
  <c r="T453" i="3" s="1"/>
  <c r="O453" i="3"/>
  <c r="P453" i="3" s="1"/>
  <c r="N311" i="3"/>
  <c r="T311" i="3" s="1"/>
  <c r="O311" i="3"/>
  <c r="P311" i="3" s="1"/>
  <c r="N295" i="3"/>
  <c r="T295" i="3" s="1"/>
  <c r="O295" i="3"/>
  <c r="P295" i="3" s="1"/>
  <c r="N239" i="3"/>
  <c r="T239" i="3" s="1"/>
  <c r="O239" i="3"/>
  <c r="P239" i="3" s="1"/>
  <c r="N221" i="3"/>
  <c r="T221" i="3" s="1"/>
  <c r="O221" i="3"/>
  <c r="P221" i="3" s="1"/>
  <c r="N186" i="3"/>
  <c r="T186" i="3" s="1"/>
  <c r="O186" i="3"/>
  <c r="P186" i="3" s="1"/>
  <c r="N178" i="3"/>
  <c r="T178" i="3" s="1"/>
  <c r="O178" i="3"/>
  <c r="P178" i="3" s="1"/>
  <c r="N144" i="3"/>
  <c r="T144" i="3" s="1"/>
  <c r="O144" i="3"/>
  <c r="P144" i="3" s="1"/>
  <c r="N103" i="3"/>
  <c r="T103" i="3" s="1"/>
  <c r="O103" i="3"/>
  <c r="P103" i="3" s="1"/>
  <c r="N188" i="3"/>
  <c r="T188" i="3" s="1"/>
  <c r="O188" i="3"/>
  <c r="P188" i="3" s="1"/>
  <c r="O778" i="3"/>
  <c r="P778" i="3" s="1"/>
  <c r="O715" i="3"/>
  <c r="P715" i="3" s="1"/>
  <c r="O690" i="3"/>
  <c r="P690" i="3" s="1"/>
  <c r="O640" i="3"/>
  <c r="P640" i="3" s="1"/>
  <c r="O498" i="3"/>
  <c r="P498" i="3" s="1"/>
  <c r="O395" i="3"/>
  <c r="P395" i="3" s="1"/>
  <c r="O320" i="3"/>
  <c r="P320" i="3" s="1"/>
  <c r="O291" i="3"/>
  <c r="P291" i="3" s="1"/>
  <c r="O213" i="3"/>
  <c r="P213" i="3" s="1"/>
  <c r="O172" i="3"/>
  <c r="P172" i="3" s="1"/>
  <c r="O138" i="3"/>
  <c r="P138" i="3" s="1"/>
  <c r="O57" i="3"/>
  <c r="P57" i="3" s="1"/>
  <c r="N759" i="3"/>
  <c r="T759" i="3" s="1"/>
  <c r="O759" i="3"/>
  <c r="P759" i="3" s="1"/>
  <c r="N662" i="3"/>
  <c r="T662" i="3" s="1"/>
  <c r="O662" i="3"/>
  <c r="P662" i="3" s="1"/>
  <c r="N645" i="3"/>
  <c r="T645" i="3" s="1"/>
  <c r="O645" i="3"/>
  <c r="P645" i="3" s="1"/>
  <c r="N477" i="3"/>
  <c r="T477" i="3" s="1"/>
  <c r="O477" i="3"/>
  <c r="P477" i="3" s="1"/>
  <c r="N327" i="3"/>
  <c r="T327" i="3" s="1"/>
  <c r="O327" i="3"/>
  <c r="P327" i="3" s="1"/>
  <c r="N310" i="3"/>
  <c r="T310" i="3" s="1"/>
  <c r="O310" i="3"/>
  <c r="P310" i="3" s="1"/>
  <c r="N294" i="3"/>
  <c r="T294" i="3" s="1"/>
  <c r="O294" i="3"/>
  <c r="P294" i="3" s="1"/>
  <c r="N248" i="3"/>
  <c r="T248" i="3" s="1"/>
  <c r="O248" i="3"/>
  <c r="P248" i="3" s="1"/>
  <c r="N220" i="3"/>
  <c r="T220" i="3" s="1"/>
  <c r="O220" i="3"/>
  <c r="P220" i="3" s="1"/>
  <c r="N177" i="3"/>
  <c r="T177" i="3" s="1"/>
  <c r="O177" i="3"/>
  <c r="P177" i="3" s="1"/>
  <c r="N143" i="3"/>
  <c r="T143" i="3" s="1"/>
  <c r="O143" i="3"/>
  <c r="P143" i="3" s="1"/>
  <c r="N119" i="3"/>
  <c r="T119" i="3" s="1"/>
  <c r="O119" i="3"/>
  <c r="P119" i="3" s="1"/>
  <c r="N92" i="3"/>
  <c r="T92" i="3" s="1"/>
  <c r="O92" i="3"/>
  <c r="P92" i="3" s="1"/>
  <c r="N48" i="3"/>
  <c r="T48" i="3" s="1"/>
  <c r="O48" i="3"/>
  <c r="P48" i="3" s="1"/>
  <c r="N22" i="3"/>
  <c r="T22" i="3" s="1"/>
  <c r="O22" i="3"/>
  <c r="P22" i="3" s="1"/>
  <c r="O739" i="3"/>
  <c r="P739" i="3" s="1"/>
  <c r="O547" i="3"/>
  <c r="P547" i="3" s="1"/>
  <c r="O522" i="3"/>
  <c r="P522" i="3" s="1"/>
  <c r="O472" i="3"/>
  <c r="P472" i="3" s="1"/>
  <c r="O419" i="3"/>
  <c r="P419" i="3" s="1"/>
  <c r="O394" i="3"/>
  <c r="P394" i="3" s="1"/>
  <c r="O369" i="3"/>
  <c r="P369" i="3" s="1"/>
  <c r="O355" i="3"/>
  <c r="P355" i="3" s="1"/>
  <c r="O344" i="3"/>
  <c r="P344" i="3" s="1"/>
  <c r="O330" i="3"/>
  <c r="P330" i="3" s="1"/>
  <c r="O305" i="3"/>
  <c r="P305" i="3" s="1"/>
  <c r="O212" i="3"/>
  <c r="P212" i="3" s="1"/>
  <c r="O171" i="3"/>
  <c r="P171" i="3" s="1"/>
  <c r="O75" i="3"/>
  <c r="P75" i="3" s="1"/>
  <c r="N686" i="3"/>
  <c r="T686" i="3" s="1"/>
  <c r="O686" i="3"/>
  <c r="P686" i="3" s="1"/>
  <c r="N669" i="3"/>
  <c r="T669" i="3" s="1"/>
  <c r="O669" i="3"/>
  <c r="P669" i="3" s="1"/>
  <c r="N653" i="3"/>
  <c r="T653" i="3" s="1"/>
  <c r="O653" i="3"/>
  <c r="P653" i="3" s="1"/>
  <c r="N527" i="3"/>
  <c r="T527" i="3" s="1"/>
  <c r="O527" i="3"/>
  <c r="P527" i="3" s="1"/>
  <c r="N511" i="3"/>
  <c r="T511" i="3" s="1"/>
  <c r="O511" i="3"/>
  <c r="P511" i="3" s="1"/>
  <c r="N493" i="3"/>
  <c r="T493" i="3" s="1"/>
  <c r="O493" i="3"/>
  <c r="P493" i="3" s="1"/>
  <c r="N367" i="3"/>
  <c r="T367" i="3" s="1"/>
  <c r="O367" i="3"/>
  <c r="P367" i="3" s="1"/>
  <c r="N351" i="3"/>
  <c r="T351" i="3" s="1"/>
  <c r="O351" i="3"/>
  <c r="P351" i="3" s="1"/>
  <c r="N325" i="3"/>
  <c r="T325" i="3" s="1"/>
  <c r="O325" i="3"/>
  <c r="P325" i="3" s="1"/>
  <c r="N309" i="3"/>
  <c r="T309" i="3" s="1"/>
  <c r="O309" i="3"/>
  <c r="P309" i="3" s="1"/>
  <c r="N293" i="3"/>
  <c r="T293" i="3" s="1"/>
  <c r="O293" i="3"/>
  <c r="P293" i="3" s="1"/>
  <c r="N255" i="3"/>
  <c r="T255" i="3" s="1"/>
  <c r="O255" i="3"/>
  <c r="P255" i="3" s="1"/>
  <c r="N219" i="3"/>
  <c r="T219" i="3" s="1"/>
  <c r="O219" i="3"/>
  <c r="P219" i="3" s="1"/>
  <c r="N176" i="3"/>
  <c r="T176" i="3" s="1"/>
  <c r="O176" i="3"/>
  <c r="P176" i="3" s="1"/>
  <c r="N142" i="3"/>
  <c r="T142" i="3" s="1"/>
  <c r="O142" i="3"/>
  <c r="P142" i="3" s="1"/>
  <c r="N126" i="3"/>
  <c r="T126" i="3" s="1"/>
  <c r="O126" i="3"/>
  <c r="P126" i="3" s="1"/>
  <c r="N90" i="3"/>
  <c r="T90" i="3" s="1"/>
  <c r="O90" i="3"/>
  <c r="P90" i="3" s="1"/>
  <c r="N73" i="3"/>
  <c r="T73" i="3" s="1"/>
  <c r="O73" i="3"/>
  <c r="P73" i="3" s="1"/>
  <c r="N55" i="3"/>
  <c r="T55" i="3" s="1"/>
  <c r="O55" i="3"/>
  <c r="P55" i="3" s="1"/>
  <c r="N21" i="3"/>
  <c r="T21" i="3" s="1"/>
  <c r="O21" i="3"/>
  <c r="P21" i="3" s="1"/>
  <c r="N702" i="3"/>
  <c r="T702" i="3" s="1"/>
  <c r="O702" i="3"/>
  <c r="P702" i="3" s="1"/>
  <c r="O776" i="3"/>
  <c r="P776" i="3" s="1"/>
  <c r="O738" i="3"/>
  <c r="P738" i="3" s="1"/>
  <c r="O713" i="3"/>
  <c r="P713" i="3" s="1"/>
  <c r="O688" i="3"/>
  <c r="P688" i="3" s="1"/>
  <c r="O596" i="3"/>
  <c r="P596" i="3" s="1"/>
  <c r="O468" i="3"/>
  <c r="P468" i="3" s="1"/>
  <c r="O393" i="3"/>
  <c r="P393" i="3" s="1"/>
  <c r="O329" i="3"/>
  <c r="P329" i="3" s="1"/>
  <c r="O274" i="3"/>
  <c r="P274" i="3" s="1"/>
  <c r="O244" i="3"/>
  <c r="P244" i="3" s="1"/>
  <c r="O130" i="3"/>
  <c r="P130" i="3" s="1"/>
  <c r="O74" i="3"/>
  <c r="P74" i="3" s="1"/>
  <c r="O770" i="3"/>
  <c r="P770" i="3" s="1"/>
  <c r="O732" i="3"/>
  <c r="P732" i="3" s="1"/>
  <c r="O721" i="3"/>
  <c r="P721" i="3" s="1"/>
  <c r="O707" i="3"/>
  <c r="P707" i="3" s="1"/>
  <c r="O696" i="3"/>
  <c r="P696" i="3" s="1"/>
  <c r="O682" i="3"/>
  <c r="P682" i="3" s="1"/>
  <c r="O657" i="3"/>
  <c r="P657" i="3" s="1"/>
  <c r="O604" i="3"/>
  <c r="P604" i="3" s="1"/>
  <c r="O579" i="3"/>
  <c r="P579" i="3" s="1"/>
  <c r="O554" i="3"/>
  <c r="P554" i="3" s="1"/>
  <c r="O540" i="3"/>
  <c r="P540" i="3" s="1"/>
  <c r="O529" i="3"/>
  <c r="P529" i="3" s="1"/>
  <c r="O515" i="3"/>
  <c r="P515" i="3" s="1"/>
  <c r="O504" i="3"/>
  <c r="P504" i="3" s="1"/>
  <c r="O476" i="3"/>
  <c r="P476" i="3" s="1"/>
  <c r="O451" i="3"/>
  <c r="P451" i="3" s="1"/>
  <c r="O426" i="3"/>
  <c r="P426" i="3" s="1"/>
  <c r="O412" i="3"/>
  <c r="P412" i="3" s="1"/>
  <c r="O401" i="3"/>
  <c r="P401" i="3" s="1"/>
  <c r="O387" i="3"/>
  <c r="P387" i="3" s="1"/>
  <c r="O376" i="3"/>
  <c r="P376" i="3" s="1"/>
  <c r="O362" i="3"/>
  <c r="P362" i="3" s="1"/>
  <c r="O337" i="3"/>
  <c r="P337" i="3" s="1"/>
  <c r="O312" i="3"/>
  <c r="P312" i="3" s="1"/>
  <c r="O268" i="3"/>
  <c r="P268" i="3" s="1"/>
  <c r="O257" i="3"/>
  <c r="P257" i="3" s="1"/>
  <c r="O241" i="3"/>
  <c r="P241" i="3" s="1"/>
  <c r="O202" i="3"/>
  <c r="P202" i="3" s="1"/>
  <c r="O180" i="3"/>
  <c r="P180" i="3" s="1"/>
  <c r="O161" i="3"/>
  <c r="P161" i="3" s="1"/>
  <c r="O85" i="3"/>
  <c r="P85" i="3" s="1"/>
  <c r="O65" i="3"/>
  <c r="P65" i="3" s="1"/>
  <c r="O40" i="3"/>
  <c r="P40" i="3" s="1"/>
  <c r="O15" i="3"/>
  <c r="P15" i="3" s="1"/>
  <c r="N183" i="3"/>
  <c r="T183" i="3" s="1"/>
  <c r="O183" i="3"/>
  <c r="P183" i="3" s="1"/>
  <c r="N175" i="3"/>
  <c r="T175" i="3" s="1"/>
  <c r="O175" i="3"/>
  <c r="P175" i="3" s="1"/>
  <c r="N167" i="3"/>
  <c r="T167" i="3" s="1"/>
  <c r="O167" i="3"/>
  <c r="P167" i="3" s="1"/>
  <c r="N159" i="3"/>
  <c r="T159" i="3" s="1"/>
  <c r="O159" i="3"/>
  <c r="P159" i="3" s="1"/>
  <c r="N63" i="3"/>
  <c r="T63" i="3" s="1"/>
  <c r="O63" i="3"/>
  <c r="P63" i="3" s="1"/>
  <c r="N54" i="3"/>
  <c r="T54" i="3" s="1"/>
  <c r="O54" i="3"/>
  <c r="P54" i="3" s="1"/>
  <c r="N28" i="3"/>
  <c r="T28" i="3" s="1"/>
  <c r="O28" i="3"/>
  <c r="P28" i="3" s="1"/>
  <c r="N20" i="3"/>
  <c r="T20" i="3" s="1"/>
  <c r="O20" i="3"/>
  <c r="P20" i="3" s="1"/>
  <c r="N12" i="3"/>
  <c r="T12" i="3" s="1"/>
  <c r="O12" i="3"/>
  <c r="P12" i="3" s="1"/>
  <c r="N4" i="3"/>
  <c r="T4" i="3" s="1"/>
  <c r="O4" i="3"/>
  <c r="P4" i="3" s="1"/>
  <c r="N70" i="3"/>
  <c r="T70" i="3" s="1"/>
  <c r="O70" i="3"/>
  <c r="P70" i="3" s="1"/>
  <c r="O735" i="3"/>
  <c r="P735" i="3" s="1"/>
  <c r="O727" i="3"/>
  <c r="P727" i="3" s="1"/>
  <c r="O719" i="3"/>
  <c r="P719" i="3" s="1"/>
  <c r="O711" i="3"/>
  <c r="P711" i="3" s="1"/>
  <c r="O703" i="3"/>
  <c r="P703" i="3" s="1"/>
  <c r="O695" i="3"/>
  <c r="P695" i="3" s="1"/>
  <c r="O687" i="3"/>
  <c r="P687" i="3" s="1"/>
  <c r="O591" i="3"/>
  <c r="P591" i="3" s="1"/>
  <c r="O583" i="3"/>
  <c r="P583" i="3" s="1"/>
  <c r="O575" i="3"/>
  <c r="P575" i="3" s="1"/>
  <c r="O567" i="3"/>
  <c r="P567" i="3" s="1"/>
  <c r="O559" i="3"/>
  <c r="P559" i="3" s="1"/>
  <c r="O551" i="3"/>
  <c r="P551" i="3" s="1"/>
  <c r="O543" i="3"/>
  <c r="P543" i="3" s="1"/>
  <c r="O535" i="3"/>
  <c r="P535" i="3" s="1"/>
  <c r="O447" i="3"/>
  <c r="P447" i="3" s="1"/>
  <c r="O439" i="3"/>
  <c r="P439" i="3" s="1"/>
  <c r="O431" i="3"/>
  <c r="P431" i="3" s="1"/>
  <c r="O423" i="3"/>
  <c r="P423" i="3" s="1"/>
  <c r="O415" i="3"/>
  <c r="P415" i="3" s="1"/>
  <c r="O407" i="3"/>
  <c r="P407" i="3" s="1"/>
  <c r="O399" i="3"/>
  <c r="P399" i="3" s="1"/>
  <c r="O391" i="3"/>
  <c r="P391" i="3" s="1"/>
  <c r="O383" i="3"/>
  <c r="P383" i="3" s="1"/>
  <c r="O375" i="3"/>
  <c r="P375" i="3" s="1"/>
  <c r="O271" i="3"/>
  <c r="P271" i="3" s="1"/>
  <c r="O263" i="3"/>
  <c r="P263" i="3" s="1"/>
  <c r="O200" i="3"/>
  <c r="P200" i="3" s="1"/>
  <c r="O156" i="3"/>
  <c r="P156" i="3" s="1"/>
  <c r="O124" i="3"/>
  <c r="P124" i="3" s="1"/>
  <c r="O114" i="3"/>
  <c r="P114" i="3" s="1"/>
  <c r="O72" i="3"/>
  <c r="P72" i="3" s="1"/>
  <c r="O18" i="3"/>
  <c r="P18" i="3" s="1"/>
  <c r="N207" i="3"/>
  <c r="T207" i="3" s="1"/>
  <c r="O207" i="3"/>
  <c r="P207" i="3" s="1"/>
  <c r="N199" i="3"/>
  <c r="T199" i="3" s="1"/>
  <c r="O199" i="3"/>
  <c r="P199" i="3" s="1"/>
  <c r="N191" i="3"/>
  <c r="T191" i="3" s="1"/>
  <c r="O191" i="3"/>
  <c r="P191" i="3" s="1"/>
  <c r="N182" i="3"/>
  <c r="T182" i="3" s="1"/>
  <c r="O182" i="3"/>
  <c r="P182" i="3" s="1"/>
  <c r="N174" i="3"/>
  <c r="T174" i="3" s="1"/>
  <c r="O174" i="3"/>
  <c r="P174" i="3" s="1"/>
  <c r="N166" i="3"/>
  <c r="T166" i="3" s="1"/>
  <c r="O166" i="3"/>
  <c r="P166" i="3" s="1"/>
  <c r="N71" i="3"/>
  <c r="T71" i="3" s="1"/>
  <c r="O71" i="3"/>
  <c r="P71" i="3" s="1"/>
  <c r="N62" i="3"/>
  <c r="T62" i="3" s="1"/>
  <c r="O62" i="3"/>
  <c r="P62" i="3" s="1"/>
  <c r="N45" i="3"/>
  <c r="T45" i="3" s="1"/>
  <c r="O45" i="3"/>
  <c r="P45" i="3" s="1"/>
  <c r="N36" i="3"/>
  <c r="T36" i="3" s="1"/>
  <c r="O36" i="3"/>
  <c r="P36" i="3" s="1"/>
  <c r="N27" i="3"/>
  <c r="T27" i="3" s="1"/>
  <c r="O27" i="3"/>
  <c r="P27" i="3" s="1"/>
  <c r="N19" i="3"/>
  <c r="T19" i="3" s="1"/>
  <c r="O19" i="3"/>
  <c r="P19" i="3" s="1"/>
  <c r="N11" i="3"/>
  <c r="T11" i="3" s="1"/>
  <c r="O11" i="3"/>
  <c r="P11" i="3" s="1"/>
  <c r="N3" i="3"/>
  <c r="T3" i="3" s="1"/>
  <c r="O3" i="3"/>
  <c r="P3" i="3" s="1"/>
  <c r="O774" i="3"/>
  <c r="P774" i="3" s="1"/>
  <c r="O718" i="3"/>
  <c r="P718" i="3" s="1"/>
  <c r="O710" i="3"/>
  <c r="P710" i="3" s="1"/>
  <c r="O694" i="3"/>
  <c r="P694" i="3" s="1"/>
  <c r="O574" i="3"/>
  <c r="P574" i="3" s="1"/>
  <c r="O566" i="3"/>
  <c r="P566" i="3" s="1"/>
  <c r="O558" i="3"/>
  <c r="P558" i="3" s="1"/>
  <c r="O550" i="3"/>
  <c r="P550" i="3" s="1"/>
  <c r="O542" i="3"/>
  <c r="P542" i="3" s="1"/>
  <c r="O534" i="3"/>
  <c r="P534" i="3" s="1"/>
  <c r="O526" i="3"/>
  <c r="P526" i="3" s="1"/>
  <c r="O518" i="3"/>
  <c r="P518" i="3" s="1"/>
  <c r="O510" i="3"/>
  <c r="P510" i="3" s="1"/>
  <c r="O502" i="3"/>
  <c r="P502" i="3" s="1"/>
  <c r="O438" i="3"/>
  <c r="P438" i="3" s="1"/>
  <c r="O430" i="3"/>
  <c r="P430" i="3" s="1"/>
  <c r="O422" i="3"/>
  <c r="P422" i="3" s="1"/>
  <c r="O414" i="3"/>
  <c r="P414" i="3" s="1"/>
  <c r="O406" i="3"/>
  <c r="P406" i="3" s="1"/>
  <c r="O398" i="3"/>
  <c r="P398" i="3" s="1"/>
  <c r="O390" i="3"/>
  <c r="P390" i="3" s="1"/>
  <c r="O382" i="3"/>
  <c r="P382" i="3" s="1"/>
  <c r="O374" i="3"/>
  <c r="P374" i="3" s="1"/>
  <c r="O366" i="3"/>
  <c r="P366" i="3" s="1"/>
  <c r="O358" i="3"/>
  <c r="P358" i="3" s="1"/>
  <c r="O350" i="3"/>
  <c r="P350" i="3" s="1"/>
  <c r="O342" i="3"/>
  <c r="P342" i="3" s="1"/>
  <c r="O270" i="3"/>
  <c r="P270" i="3" s="1"/>
  <c r="O262" i="3"/>
  <c r="P262" i="3" s="1"/>
  <c r="O254" i="3"/>
  <c r="P254" i="3" s="1"/>
  <c r="O246" i="3"/>
  <c r="P246" i="3" s="1"/>
  <c r="O238" i="3"/>
  <c r="P238" i="3" s="1"/>
  <c r="O209" i="3"/>
  <c r="P209" i="3" s="1"/>
  <c r="O165" i="3"/>
  <c r="P165" i="3" s="1"/>
  <c r="O133" i="3"/>
  <c r="P133" i="3" s="1"/>
  <c r="O123" i="3"/>
  <c r="P123" i="3" s="1"/>
  <c r="O81" i="3"/>
  <c r="P81" i="3" s="1"/>
  <c r="O69" i="3"/>
  <c r="P69" i="3" s="1"/>
  <c r="N215" i="3"/>
  <c r="T215" i="3" s="1"/>
  <c r="O215" i="3"/>
  <c r="P215" i="3" s="1"/>
  <c r="N206" i="3"/>
  <c r="T206" i="3" s="1"/>
  <c r="O206" i="3"/>
  <c r="P206" i="3" s="1"/>
  <c r="N198" i="3"/>
  <c r="T198" i="3" s="1"/>
  <c r="O198" i="3"/>
  <c r="P198" i="3" s="1"/>
  <c r="N190" i="3"/>
  <c r="T190" i="3" s="1"/>
  <c r="O190" i="3"/>
  <c r="P190" i="3" s="1"/>
  <c r="N87" i="3"/>
  <c r="T87" i="3" s="1"/>
  <c r="O87" i="3"/>
  <c r="P87" i="3" s="1"/>
  <c r="N79" i="3"/>
  <c r="T79" i="3" s="1"/>
  <c r="O79" i="3"/>
  <c r="P79" i="3" s="1"/>
  <c r="N52" i="3"/>
  <c r="T52" i="3" s="1"/>
  <c r="O52" i="3"/>
  <c r="P52" i="3" s="1"/>
  <c r="N44" i="3"/>
  <c r="T44" i="3" s="1"/>
  <c r="O44" i="3"/>
  <c r="P44" i="3" s="1"/>
  <c r="N35" i="3"/>
  <c r="T35" i="3" s="1"/>
  <c r="O35" i="3"/>
  <c r="P35" i="3" s="1"/>
  <c r="N10" i="3"/>
  <c r="T10" i="3" s="1"/>
  <c r="O10" i="3"/>
  <c r="P10" i="3" s="1"/>
  <c r="O773" i="3"/>
  <c r="P773" i="3" s="1"/>
  <c r="O765" i="3"/>
  <c r="P765" i="3" s="1"/>
  <c r="O757" i="3"/>
  <c r="P757" i="3" s="1"/>
  <c r="O701" i="3"/>
  <c r="P701" i="3" s="1"/>
  <c r="O693" i="3"/>
  <c r="P693" i="3" s="1"/>
  <c r="O685" i="3"/>
  <c r="P685" i="3" s="1"/>
  <c r="O557" i="3"/>
  <c r="P557" i="3" s="1"/>
  <c r="O549" i="3"/>
  <c r="P549" i="3" s="1"/>
  <c r="O541" i="3"/>
  <c r="P541" i="3" s="1"/>
  <c r="O533" i="3"/>
  <c r="P533" i="3" s="1"/>
  <c r="O525" i="3"/>
  <c r="P525" i="3" s="1"/>
  <c r="O517" i="3"/>
  <c r="P517" i="3" s="1"/>
  <c r="O509" i="3"/>
  <c r="P509" i="3" s="1"/>
  <c r="O501" i="3"/>
  <c r="P501" i="3" s="1"/>
  <c r="O485" i="3"/>
  <c r="P485" i="3" s="1"/>
  <c r="O389" i="3"/>
  <c r="P389" i="3" s="1"/>
  <c r="O381" i="3"/>
  <c r="P381" i="3" s="1"/>
  <c r="O373" i="3"/>
  <c r="P373" i="3" s="1"/>
  <c r="O365" i="3"/>
  <c r="P365" i="3" s="1"/>
  <c r="O357" i="3"/>
  <c r="P357" i="3" s="1"/>
  <c r="O349" i="3"/>
  <c r="P349" i="3" s="1"/>
  <c r="O341" i="3"/>
  <c r="P341" i="3" s="1"/>
  <c r="O333" i="3"/>
  <c r="P333" i="3" s="1"/>
  <c r="O253" i="3"/>
  <c r="P253" i="3" s="1"/>
  <c r="O245" i="3"/>
  <c r="P245" i="3" s="1"/>
  <c r="O218" i="3"/>
  <c r="P218" i="3" s="1"/>
  <c r="O132" i="3"/>
  <c r="P132" i="3" s="1"/>
  <c r="O100" i="3"/>
  <c r="P100" i="3" s="1"/>
  <c r="O80" i="3"/>
  <c r="P80" i="3" s="1"/>
  <c r="O46" i="3"/>
  <c r="P46" i="3" s="1"/>
</calcChain>
</file>

<file path=xl/sharedStrings.xml><?xml version="1.0" encoding="utf-8"?>
<sst xmlns="http://schemas.openxmlformats.org/spreadsheetml/2006/main" count="13273" uniqueCount="827">
  <si>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</si>
  <si>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</si>
  <si>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</si>
  <si>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</si>
  <si>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</si>
  <si>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</si>
  <si>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</si>
  <si>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</si>
  <si>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</si>
  <si>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</si>
  <si>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</si>
  <si>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PO-00001</t>
  </si>
  <si>
    <t>Alpha_Inc</t>
  </si>
  <si>
    <t>Office Supplies</t>
  </si>
  <si>
    <t>Cancelled</t>
  </si>
  <si>
    <t>Yes</t>
  </si>
  <si>
    <t>PO-00002</t>
  </si>
  <si>
    <t>Delta_Logistics</t>
  </si>
  <si>
    <t>Delivered</t>
  </si>
  <si>
    <t>PO-00003</t>
  </si>
  <si>
    <t>Gamma_Co</t>
  </si>
  <si>
    <t>MRO</t>
  </si>
  <si>
    <t>PO-00004</t>
  </si>
  <si>
    <t>Beta_Supplies</t>
  </si>
  <si>
    <t>Packaging</t>
  </si>
  <si>
    <t>PO-00005</t>
  </si>
  <si>
    <t>Raw Materials</t>
  </si>
  <si>
    <t>No</t>
  </si>
  <si>
    <t>PO-00006</t>
  </si>
  <si>
    <t>Epsilon_Group</t>
  </si>
  <si>
    <t>PO-00007</t>
  </si>
  <si>
    <t>PO-00008</t>
  </si>
  <si>
    <t>PO-00009</t>
  </si>
  <si>
    <t>Partially Delivered</t>
  </si>
  <si>
    <t>PO-00010</t>
  </si>
  <si>
    <t>Pending</t>
  </si>
  <si>
    <t>PO-00011</t>
  </si>
  <si>
    <t>PO-00012</t>
  </si>
  <si>
    <t>PO-00013</t>
  </si>
  <si>
    <t>Electronics</t>
  </si>
  <si>
    <t>PO-00014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</si>
  <si>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</si>
  <si>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</si>
  <si>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</si>
  <si>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</si>
  <si>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</si>
  <si>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</si>
  <si>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</si>
  <si>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</si>
  <si>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</si>
  <si>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</si>
  <si>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</si>
  <si>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</si>
  <si>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</si>
  <si>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</si>
  <si>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</si>
  <si>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</si>
  <si>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</si>
  <si>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</si>
  <si>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</si>
  <si>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</si>
  <si>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</si>
  <si>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</si>
  <si>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</si>
  <si>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</si>
  <si>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</si>
  <si>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</si>
  <si>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</si>
  <si>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</si>
  <si>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</si>
  <si>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</si>
  <si>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</si>
  <si>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</si>
  <si>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</si>
  <si>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</si>
  <si>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</si>
  <si>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</si>
  <si>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</si>
  <si>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</si>
  <si>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</si>
  <si>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</si>
  <si>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</si>
  <si>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</si>
  <si>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</si>
  <si>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</si>
  <si>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</si>
  <si>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</si>
  <si>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</si>
  <si>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</si>
  <si>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</si>
  <si>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</si>
  <si>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</si>
  <si>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</si>
  <si>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</si>
  <si>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</si>
  <si>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</si>
  <si>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</si>
  <si>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</si>
  <si>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</si>
  <si>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</si>
  <si>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</si>
  <si>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</si>
  <si>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</si>
  <si>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</si>
  <si>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</si>
  <si>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</si>
  <si>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</si>
  <si>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</si>
  <si>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</si>
  <si>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</si>
  <si>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</si>
  <si>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</si>
  <si>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</si>
  <si>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</si>
  <si>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</si>
  <si>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</si>
  <si>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</si>
  <si>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</si>
  <si>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</si>
  <si>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</si>
  <si>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</si>
  <si>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</si>
  <si>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</si>
  <si>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</si>
  <si>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</si>
  <si>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</si>
  <si>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</si>
  <si>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</si>
  <si>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</si>
  <si>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</si>
  <si>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</si>
  <si>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</si>
  <si>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</si>
  <si>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</si>
  <si>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</si>
  <si>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</si>
  <si>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</si>
  <si>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</si>
  <si>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</si>
  <si>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</si>
  <si>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</si>
  <si>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</si>
  <si>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</si>
  <si>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</si>
  <si>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</si>
  <si>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</si>
  <si>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</si>
  <si>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</si>
  <si>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</si>
  <si>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</si>
  <si>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</si>
  <si>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</si>
  <si>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</si>
  <si>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</si>
  <si>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</si>
  <si>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</si>
  <si>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</si>
  <si>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</si>
  <si>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</si>
  <si>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</si>
  <si>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</si>
  <si>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</si>
  <si>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</si>
  <si>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</si>
  <si>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</si>
  <si>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</si>
  <si>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</si>
  <si>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</si>
  <si>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</si>
  <si>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</si>
  <si>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</si>
  <si>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</si>
  <si>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</si>
  <si>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</si>
  <si>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</si>
  <si>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</si>
  <si>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</si>
  <si>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</si>
  <si>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</si>
  <si>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</si>
  <si>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</si>
  <si>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</si>
  <si>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</si>
  <si>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</si>
  <si>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</si>
  <si>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</si>
  <si>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</si>
  <si>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</si>
  <si>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</si>
  <si>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</si>
  <si>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</si>
  <si>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</si>
  <si>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</si>
  <si>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</si>
  <si>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</si>
  <si>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</si>
  <si>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</si>
  <si>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</si>
  <si>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</si>
  <si>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</si>
  <si>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</si>
  <si>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</si>
  <si>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</si>
  <si>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</si>
  <si>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</si>
  <si>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</si>
  <si>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</si>
  <si>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</si>
  <si>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</si>
  <si>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</si>
  <si>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</si>
  <si>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</si>
  <si>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</si>
  <si>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</si>
  <si>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</si>
  <si>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</si>
  <si>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</si>
  <si>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</si>
  <si>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</si>
  <si>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</si>
  <si>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</si>
  <si>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</si>
  <si>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</si>
  <si>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</si>
  <si>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</si>
  <si>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</si>
  <si>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</si>
  <si>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</si>
  <si>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</si>
  <si>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</si>
  <si>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</si>
  <si>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</si>
  <si>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</si>
  <si>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</si>
  <si>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</si>
  <si>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</si>
  <si>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</si>
  <si>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</si>
  <si>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</si>
  <si>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</si>
  <si>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</si>
  <si>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</si>
  <si>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</si>
  <si>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</si>
  <si>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</si>
  <si>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</si>
  <si>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</si>
  <si>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</si>
  <si>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</si>
  <si>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</si>
  <si>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</si>
  <si>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</si>
  <si>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</si>
  <si>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</si>
  <si>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</si>
  <si>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</si>
  <si>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</si>
  <si>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</si>
  <si>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</si>
  <si>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</si>
  <si>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</si>
  <si>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</si>
  <si>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</si>
  <si>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</si>
  <si>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</si>
  <si>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</si>
  <si>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</si>
  <si>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</si>
  <si>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</si>
  <si>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</si>
  <si>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</si>
  <si>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</si>
  <si>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</si>
  <si>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</si>
  <si>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</si>
  <si>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</si>
  <si>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</si>
  <si>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</si>
  <si>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</si>
  <si>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</si>
  <si>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</si>
  <si>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</si>
  <si>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</si>
  <si>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</si>
  <si>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</si>
  <si>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</si>
  <si>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</si>
  <si>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</si>
  <si>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</si>
  <si>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</si>
  <si>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</si>
  <si>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</si>
  <si>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</si>
  <si>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</si>
  <si>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</si>
  <si>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</si>
  <si>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</si>
  <si>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</si>
  <si>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</si>
  <si>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</si>
  <si>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</si>
  <si>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</si>
  <si>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</si>
  <si>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</si>
  <si>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</si>
  <si>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</si>
  <si>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</si>
  <si>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</si>
  <si>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</si>
  <si>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</si>
  <si>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</si>
  <si>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</si>
  <si>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</si>
  <si>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</si>
  <si>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</si>
  <si>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</si>
  <si>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</si>
  <si>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</si>
  <si>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</si>
  <si>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</si>
  <si>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</si>
  <si>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</si>
  <si>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</si>
  <si>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</si>
  <si>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</si>
  <si>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</si>
  <si>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</si>
  <si>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</si>
  <si>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</si>
  <si>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</si>
  <si>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</si>
  <si>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</si>
  <si>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</si>
  <si>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</si>
  <si>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</si>
  <si>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</si>
  <si>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</si>
  <si>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</si>
  <si>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</si>
  <si>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</si>
  <si>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</si>
  <si>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</si>
  <si>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</si>
  <si>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</si>
  <si>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</si>
  <si>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</si>
  <si>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</si>
  <si>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</si>
  <si>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</si>
  <si>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</si>
  <si>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</si>
  <si>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</si>
  <si>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</si>
  <si>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</si>
  <si>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</si>
  <si>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</si>
  <si>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</si>
  <si>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</si>
  <si>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</si>
  <si>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</si>
  <si>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</si>
  <si>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</si>
  <si>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</si>
  <si>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</si>
  <si>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</si>
  <si>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</si>
  <si>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</si>
  <si>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</si>
  <si>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</si>
  <si>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</si>
  <si>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</si>
  <si>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</si>
  <si>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</si>
  <si>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</si>
  <si>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</si>
  <si>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</si>
  <si>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</si>
  <si>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</si>
  <si>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</si>
  <si>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</si>
  <si>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</si>
  <si>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</si>
  <si>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</si>
  <si>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</si>
  <si>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</si>
  <si>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</si>
  <si>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</si>
  <si>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</si>
  <si>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</si>
  <si>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</si>
  <si>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</si>
  <si>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</si>
  <si>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</si>
  <si>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</si>
  <si>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</si>
  <si>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</si>
  <si>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</si>
  <si>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</si>
  <si>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</si>
  <si>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</si>
  <si>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</si>
  <si>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</si>
  <si>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</si>
  <si>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</si>
  <si>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</si>
  <si>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</si>
  <si>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</si>
  <si>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</si>
  <si>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</si>
  <si>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</si>
  <si>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</si>
  <si>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</si>
  <si>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</si>
  <si>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</si>
  <si>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</si>
  <si>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</si>
  <si>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</si>
  <si>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</si>
  <si>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</si>
  <si>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</si>
  <si>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</si>
  <si>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</si>
  <si>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</si>
  <si>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</si>
  <si>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</si>
  <si>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</si>
  <si>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</si>
  <si>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</si>
  <si>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</si>
  <si>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</si>
  <si>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</si>
  <si>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</si>
  <si>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</si>
  <si>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</si>
  <si>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</si>
  <si>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</si>
  <si>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</si>
  <si>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</si>
  <si>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</si>
  <si>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</si>
  <si>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</si>
  <si>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</si>
  <si>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</si>
  <si>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</si>
  <si>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</si>
  <si>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</si>
  <si>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</si>
  <si>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</si>
  <si>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</si>
  <si>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</si>
  <si>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</si>
  <si>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</si>
  <si>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</si>
  <si>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</si>
  <si>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</si>
  <si>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</si>
  <si>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</si>
  <si>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</si>
  <si>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</si>
  <si>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</si>
  <si>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</si>
  <si>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</si>
  <si>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</si>
  <si>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</si>
  <si>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</si>
  <si>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</si>
  <si>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</si>
  <si>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</si>
  <si>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</si>
  <si>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</si>
  <si>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</si>
  <si>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</si>
  <si>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</si>
  <si>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</si>
  <si>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</si>
  <si>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</si>
  <si>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</si>
  <si>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</si>
  <si>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</si>
  <si>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</si>
  <si>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</si>
  <si>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</si>
  <si>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</si>
  <si>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</si>
  <si>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</si>
  <si>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</si>
  <si>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</si>
  <si>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</si>
  <si>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</si>
  <si>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</si>
  <si>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</si>
  <si>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</si>
  <si>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</si>
  <si>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</si>
  <si>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</si>
  <si>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</si>
  <si>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</si>
  <si>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</si>
  <si>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</si>
  <si>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</si>
  <si>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</si>
  <si>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</si>
  <si>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</si>
  <si>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</si>
  <si>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</si>
  <si>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</si>
  <si>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</si>
  <si>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</si>
  <si>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</si>
  <si>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</si>
  <si>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</si>
  <si>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</si>
  <si>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</si>
  <si>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</si>
  <si>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</si>
  <si>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</si>
  <si>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</si>
  <si>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</si>
  <si>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</si>
  <si>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</si>
  <si>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</si>
  <si>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</si>
  <si>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</si>
  <si>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</si>
  <si>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</si>
  <si>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</si>
  <si>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</si>
  <si>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</si>
  <si>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</si>
  <si>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</si>
  <si>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</si>
  <si>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</si>
  <si>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</si>
  <si>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</si>
  <si>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</si>
  <si>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</si>
  <si>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</si>
  <si>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</si>
  <si>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</si>
  <si>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</si>
  <si>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</si>
  <si>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</si>
  <si>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</si>
  <si>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</si>
  <si>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</si>
  <si>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</si>
  <si>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</si>
  <si>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</si>
  <si>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</si>
  <si>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</si>
  <si>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</si>
  <si>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</si>
  <si>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</si>
  <si>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</si>
  <si>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</si>
  <si>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</si>
  <si>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</si>
  <si>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</si>
  <si>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</si>
  <si>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</si>
  <si>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</si>
  <si>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</si>
  <si>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</si>
  <si>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</si>
  <si>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</si>
  <si>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</si>
  <si>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</si>
  <si>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</si>
  <si>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</si>
  <si>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</si>
  <si>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</si>
  <si>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</si>
  <si>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</si>
  <si>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</si>
  <si>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</si>
  <si>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</si>
  <si>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</si>
  <si>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</si>
  <si>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</si>
  <si>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</si>
  <si>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</si>
  <si>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</si>
  <si>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</si>
  <si>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</si>
  <si>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</si>
  <si>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</si>
  <si>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</si>
  <si>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</si>
  <si>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</si>
  <si>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</si>
  <si>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</si>
  <si>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</si>
  <si>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</si>
  <si>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</si>
  <si>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</si>
  <si>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</si>
  <si>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</si>
  <si>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</si>
  <si>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</si>
  <si>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</si>
  <si>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</si>
  <si>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</si>
  <si>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</si>
  <si>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</si>
  <si>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</si>
  <si>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</si>
  <si>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</si>
  <si>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</si>
  <si>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</si>
  <si>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</si>
  <si>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</si>
  <si>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</si>
  <si>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</si>
  <si>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</si>
  <si>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</si>
  <si>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</si>
  <si>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</si>
  <si>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</si>
  <si>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</si>
  <si>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</si>
  <si>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</si>
  <si>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</si>
  <si>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</si>
  <si>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</si>
  <si>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</si>
  <si>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</si>
  <si>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</si>
  <si>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</si>
  <si>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</si>
  <si>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</si>
  <si>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</si>
  <si>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</si>
  <si>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</si>
  <si>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</si>
  <si>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</si>
  <si>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</si>
  <si>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</si>
  <si>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</si>
  <si>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</si>
  <si>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</si>
  <si>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</si>
  <si>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</si>
  <si>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</si>
  <si>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</si>
  <si>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</si>
  <si>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</si>
  <si>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</si>
  <si>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</si>
  <si>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</si>
  <si>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</si>
  <si>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</si>
  <si>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</si>
  <si>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</si>
  <si>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</si>
  <si>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</si>
  <si>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</si>
  <si>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</si>
  <si>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</si>
  <si>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</si>
  <si>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</si>
  <si>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</si>
  <si>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</si>
  <si>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</si>
  <si>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</si>
  <si>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</si>
  <si>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</si>
  <si>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</si>
  <si>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</si>
  <si>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</si>
  <si>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</si>
  <si>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</si>
  <si>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</si>
  <si>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</si>
  <si>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</si>
  <si>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</si>
  <si>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</si>
  <si>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</si>
  <si>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</si>
  <si>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</si>
  <si>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</si>
  <si>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</si>
  <si>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</si>
  <si>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</si>
  <si>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</si>
  <si>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</si>
  <si>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</si>
  <si>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</si>
  <si>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</si>
  <si>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</si>
  <si>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</si>
  <si>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</si>
  <si>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</si>
  <si>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</si>
  <si>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</si>
  <si>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</si>
  <si>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</si>
  <si>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</si>
  <si>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</si>
  <si>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</si>
  <si>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</si>
  <si>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</si>
  <si>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</si>
  <si>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</si>
  <si>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</si>
  <si>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</si>
  <si>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</si>
  <si>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</si>
  <si>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</si>
  <si>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</si>
  <si>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</si>
  <si>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</si>
  <si>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</si>
  <si>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</si>
  <si>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</si>
  <si>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</si>
  <si>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</si>
  <si>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</si>
  <si>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</si>
  <si>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</si>
  <si>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</si>
  <si>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</si>
  <si>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</si>
  <si>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</si>
  <si>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</si>
  <si>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</si>
  <si>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</si>
  <si>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</si>
  <si>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</si>
  <si>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</si>
  <si>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</si>
  <si>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</si>
  <si>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</si>
  <si>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</si>
  <si>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</si>
  <si>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</si>
  <si>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</si>
  <si>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</si>
  <si>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</si>
  <si>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</si>
  <si>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</si>
  <si>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</si>
  <si>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</si>
  <si>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</si>
  <si>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</si>
  <si>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</si>
  <si>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</si>
  <si>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</si>
  <si>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</si>
  <si>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</si>
  <si>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</si>
  <si>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</si>
  <si>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</si>
  <si>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</si>
  <si>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</si>
  <si>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</si>
  <si>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</si>
  <si>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</si>
  <si>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</si>
  <si>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</si>
  <si>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</si>
  <si>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</si>
  <si>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</si>
  <si>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</si>
  <si>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</si>
  <si>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</si>
  <si>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</si>
  <si>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</si>
  <si>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</si>
  <si>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</si>
  <si>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</si>
  <si>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</si>
  <si>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</si>
  <si>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</si>
  <si>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</si>
  <si>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</si>
  <si>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</si>
  <si>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</si>
  <si>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</si>
  <si>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</si>
  <si>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</si>
  <si>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</si>
  <si>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</si>
  <si>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</si>
  <si>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</si>
  <si>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</si>
  <si>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</si>
  <si>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</si>
  <si>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</si>
  <si>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</si>
  <si>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</si>
  <si>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</si>
  <si>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</si>
  <si>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</si>
  <si>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</si>
  <si>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</si>
  <si>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</si>
  <si>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</si>
  <si>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</si>
  <si>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</si>
  <si>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</si>
  <si>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</si>
  <si>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</si>
  <si>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</si>
  <si>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</si>
  <si>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>Alpha Inc</t>
  </si>
  <si>
    <t>Delta Logistics</t>
  </si>
  <si>
    <t>Gamma Co</t>
  </si>
  <si>
    <t>Beta Supplies</t>
  </si>
  <si>
    <t>Epsilon Group</t>
  </si>
  <si>
    <t>Actual_Lead_Time</t>
  </si>
  <si>
    <t>Delay_Days</t>
  </si>
  <si>
    <t>Standard_Lead_Time</t>
  </si>
  <si>
    <t>Average of Actual_Lead_Time</t>
  </si>
  <si>
    <t>(Multiple Items)</t>
  </si>
  <si>
    <t>Status</t>
  </si>
  <si>
    <t>Error: Date interchanged (Order vs Delivered)</t>
  </si>
  <si>
    <t>OTIF_Status</t>
  </si>
  <si>
    <t>OTIF_Indicator</t>
  </si>
  <si>
    <t>Total_Line_Spend</t>
  </si>
  <si>
    <t>Negotiated_Total</t>
  </si>
  <si>
    <t>Savings_Amount</t>
  </si>
  <si>
    <t>Risk_Classification</t>
  </si>
  <si>
    <t>OTIF</t>
  </si>
  <si>
    <t>Low Risk</t>
  </si>
  <si>
    <t>Non-OTIF</t>
  </si>
  <si>
    <t>High Risk</t>
  </si>
  <si>
    <t>Medium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</si>
</sst>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1" formatCode="0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4.71089490741" createdVersion="8" refreshedVersion="8" minRefreshableVersion="3" recordCount="777" xr:uid="{476CBC37-F5DF-45CD-9EEF-40543F2452A2}">
  <cacheSource type="worksheet">
    <worksheetSource name="Table1"/>
  </cacheSource>
  <cacheFields count="14">
    <cacheField name="PO_ID" numFmtId="0">
      <sharedItems/>
    </cacheField>
    <cacheField name="Supplier" numFmtId="0">
      <sharedItems count="5">
        <s v="Alpha Inc"/>
        <s v="Delta Logistics"/>
        <s v="Gamma Co"/>
        <s v="Beta Supplies"/>
        <s v="Epsilon Group"/>
      </sharedItems>
    </cacheField>
    <cacheField name="Order_Date" numFmtId="14">
      <sharedItems containsSemiMixedTypes="0" containsNonDate="0" containsDate="1" containsString="0" minDate="2022-01-01T00:00:00" maxDate="2024-01-02T00:00:00"/>
    </cacheField>
    <cacheField name="Delivery_Date" numFmtId="0">
      <sharedItems containsNonDate="0" containsDate="1" containsString="0" containsBlank="1" minDate="2022-01-06T00:00:00" maxDate="2024-01-13T00:00:00"/>
    </cacheField>
    <cacheField name="Item_Category" numFmtId="0">
      <sharedItems/>
    </cacheField>
    <cacheField name="Order_Status" numFmtId="0">
      <sharedItems/>
    </cacheField>
    <cacheField name="Quantity" numFmtId="0">
      <sharedItems containsSemiMixedTypes="0" containsString="0" containsNumber="1" containsInteger="1" minValue="51" maxValue="5000"/>
    </cacheField>
    <cacheField name="Unit_Price" numFmtId="0">
      <sharedItems containsSemiMixedTypes="0" containsString="0" containsNumber="1" minValue="10.84" maxValue="109.17"/>
    </cacheField>
    <cacheField name="Negotiated_Price" numFmtId="0">
      <sharedItems containsSemiMixedTypes="0" containsString="0" containsNumber="1" minValue="9.27" maxValue="107.39"/>
    </cacheField>
    <cacheField name="Defective_Units" numFmtId="0">
      <sharedItems containsString="0" containsBlank="1" containsNumber="1" containsInteger="1" minValue="0" maxValue="321"/>
    </cacheField>
    <cacheField name="Compliance" numFmtId="0">
      <sharedItems/>
    </cacheField>
    <cacheField name="Actual_Lead_Time" numFmtId="0">
      <sharedItems containsSemiMixedTypes="0" containsString="0" containsNumber="1" containsInteger="1" minValue="-45292" maxValue="20" count="101">
        <n v="8"/>
        <n v="10"/>
        <n v="20"/>
        <n v="19"/>
        <n v="12"/>
        <n v="11"/>
        <n v="14"/>
        <n v="4"/>
        <n v="15"/>
        <n v="17"/>
        <n v="-44594"/>
        <n v="18"/>
        <n v="3"/>
        <n v="13"/>
        <n v="16"/>
        <n v="6"/>
        <n v="9"/>
        <n v="-45165"/>
        <n v="1"/>
        <n v="-44906"/>
        <n v="7"/>
        <n v="-44914"/>
        <n v="-45032"/>
        <n v="-44689"/>
        <n v="2"/>
        <n v="-45205"/>
        <n v="5"/>
        <n v="-44800"/>
        <n v="-44728"/>
        <n v="-44776"/>
        <n v="-44812"/>
        <n v="-45217"/>
        <n v="-45263"/>
        <n v="-5"/>
        <n v="-44796"/>
        <n v="-44884"/>
        <n v="-44967"/>
        <n v="-44708"/>
        <n v="-45041"/>
        <n v="-45128"/>
        <n v="-44910"/>
        <n v="-44676"/>
        <n v="-44876"/>
        <n v="-44808"/>
        <n v="-45102"/>
        <n v="-44778"/>
        <n v="-45292"/>
        <n v="-45227"/>
        <n v="-45024"/>
        <n v="-45164"/>
        <n v="-44622"/>
        <n v="-44631"/>
        <n v="-44634"/>
        <n v="-44847"/>
        <n v="-44658"/>
        <n v="-45003"/>
        <n v="-44909"/>
        <n v="-44816"/>
        <n v="-45021"/>
        <n v="-44749"/>
        <n v="-45115"/>
        <n v="-44950"/>
        <n v="-45050"/>
        <n v="-45235"/>
        <n v="-45198"/>
        <n v="-44668"/>
        <n v="-44695"/>
        <n v="-44727"/>
        <n v="-45284"/>
        <n v="-44598"/>
        <n v="-44935"/>
        <n v="-44743"/>
        <n v="-44902"/>
        <n v="-45247"/>
        <n v="-45043"/>
        <n v="-44586"/>
        <n v="-45257"/>
        <n v="-44590"/>
        <n v="-44763"/>
        <n v="-44883"/>
        <n v="-44873"/>
        <n v="-44780"/>
        <n v="-44735"/>
        <n v="-44852"/>
        <n v="-44905"/>
        <n v="-45028"/>
        <n v="-44724"/>
        <n v="-45012"/>
        <n v="-44854"/>
        <n v="-44582"/>
        <n v="-44961"/>
        <n v="-45121"/>
        <n v="-44692"/>
        <n v="-45240"/>
        <n v="-44791"/>
        <n v="-44593"/>
        <n v="-44718"/>
        <n v="-45046"/>
        <n v="-44679"/>
        <n v="-45151"/>
        <n v="-44765"/>
      </sharedItems>
    </cacheField>
    <cacheField name="Standard_Lead_Time" numFmtId="0">
      <sharedItems containsNonDate="0" containsString="0" containsBlank="1"/>
    </cacheField>
    <cacheField name="Delay_Days" numFmtId="0">
      <sharedItems containsSemiMixedTypes="0" containsString="0" containsNumber="1" containsInteger="1" minValue="0" maxValue="45292" count="82">
        <n v="0"/>
        <n v="44594"/>
        <n v="45165"/>
        <n v="44906"/>
        <n v="44914"/>
        <n v="45032"/>
        <n v="44689"/>
        <n v="45205"/>
        <n v="44800"/>
        <n v="44728"/>
        <n v="44776"/>
        <n v="44812"/>
        <n v="45217"/>
        <n v="45263"/>
        <n v="5"/>
        <n v="44796"/>
        <n v="44884"/>
        <n v="44967"/>
        <n v="44708"/>
        <n v="45041"/>
        <n v="45128"/>
        <n v="44910"/>
        <n v="44676"/>
        <n v="44876"/>
        <n v="44808"/>
        <n v="45102"/>
        <n v="44778"/>
        <n v="45292"/>
        <n v="45227"/>
        <n v="45024"/>
        <n v="45164"/>
        <n v="44622"/>
        <n v="44631"/>
        <n v="44634"/>
        <n v="44847"/>
        <n v="44658"/>
        <n v="45003"/>
        <n v="44909"/>
        <n v="44816"/>
        <n v="45021"/>
        <n v="44749"/>
        <n v="45115"/>
        <n v="44950"/>
        <n v="45050"/>
        <n v="45235"/>
        <n v="45198"/>
        <n v="44668"/>
        <n v="44695"/>
        <n v="44727"/>
        <n v="45284"/>
        <n v="44598"/>
        <n v="44935"/>
        <n v="44743"/>
        <n v="44902"/>
        <n v="45247"/>
        <n v="45043"/>
        <n v="44586"/>
        <n v="45257"/>
        <n v="44590"/>
        <n v="44763"/>
        <n v="44883"/>
        <n v="44873"/>
        <n v="44780"/>
        <n v="44735"/>
        <n v="44852"/>
        <n v="44905"/>
        <n v="45028"/>
        <n v="44724"/>
        <n v="45012"/>
        <n v="44854"/>
        <n v="44582"/>
        <n v="44961"/>
        <n v="45121"/>
        <n v="44692"/>
        <n v="45240"/>
        <n v="44791"/>
        <n v="44593"/>
        <n v="44718"/>
        <n v="45046"/>
        <n v="44679"/>
        <n v="45151"/>
        <n v="4476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7">
  <r>
    <s v="PO-00001"/>
    <x v="0"/>
    <d v="2023-10-17T00:00:00"/>
    <d v="2023-10-25T00:00:00"/>
    <s v="Office Supplies"/>
    <s v="Cancelled"/>
    <n v="1176"/>
    <n v="20.13"/>
    <n v="17.809999999999999"/>
    <m/>
    <s v="Yes"/>
    <x v="0"/>
    <m/>
    <x v="0"/>
  </r>
  <r>
    <s v="PO-00002"/>
    <x v="1"/>
    <d v="2022-04-25T00:00:00"/>
    <d v="2022-05-05T00:00:00"/>
    <s v="Office Supplies"/>
    <s v="Delivered"/>
    <n v="1509"/>
    <n v="39.32"/>
    <n v="37.340000000000003"/>
    <n v="235"/>
    <s v="Yes"/>
    <x v="1"/>
    <m/>
    <x v="0"/>
  </r>
  <r>
    <s v="PO-00003"/>
    <x v="2"/>
    <d v="2022-01-26T00:00:00"/>
    <d v="2022-02-15T00:00:00"/>
    <s v="MRO"/>
    <s v="Delivered"/>
    <n v="910"/>
    <n v="95.51"/>
    <n v="92.26"/>
    <n v="41"/>
    <s v="Yes"/>
    <x v="2"/>
    <m/>
    <x v="0"/>
  </r>
  <r>
    <s v="PO-00004"/>
    <x v="3"/>
    <d v="2022-10-09T00:00:00"/>
    <d v="2022-10-28T00:00:00"/>
    <s v="Packaging"/>
    <s v="Delivered"/>
    <n v="1344"/>
    <n v="99.85"/>
    <n v="95.52"/>
    <n v="112"/>
    <s v="Yes"/>
    <x v="3"/>
    <m/>
    <x v="0"/>
  </r>
  <r>
    <s v="PO-00005"/>
    <x v="1"/>
    <d v="2022-09-08T00:00:00"/>
    <d v="2022-09-20T00:00:00"/>
    <s v="Raw Materials"/>
    <s v="Delivered"/>
    <n v="1180"/>
    <n v="64.069999999999993"/>
    <n v="60.53"/>
    <n v="171"/>
    <s v="No"/>
    <x v="4"/>
    <m/>
    <x v="0"/>
  </r>
  <r>
    <s v="PO-00006"/>
    <x v="4"/>
    <d v="2022-08-17T00:00:00"/>
    <d v="2022-08-29T00:00:00"/>
    <s v="MRO"/>
    <s v="Delivered"/>
    <n v="1145"/>
    <n v="69.209999999999994"/>
    <n v="63.57"/>
    <n v="39"/>
    <s v="Yes"/>
    <x v="4"/>
    <m/>
    <x v="0"/>
  </r>
  <r>
    <s v="PO-00007"/>
    <x v="2"/>
    <d v="2022-05-23T00:00:00"/>
    <d v="2022-06-03T00:00:00"/>
    <s v="MRO"/>
    <s v="Delivered"/>
    <n v="1774"/>
    <n v="51.37"/>
    <n v="47.82"/>
    <n v="96"/>
    <s v="No"/>
    <x v="5"/>
    <m/>
    <x v="0"/>
  </r>
  <r>
    <s v="PO-00008"/>
    <x v="0"/>
    <d v="2022-04-15T00:00:00"/>
    <d v="2022-04-29T00:00:00"/>
    <s v="MRO"/>
    <s v="Delivered"/>
    <n v="1094"/>
    <n v="36.93"/>
    <n v="32.78"/>
    <n v="22"/>
    <s v="Yes"/>
    <x v="6"/>
    <m/>
    <x v="0"/>
  </r>
  <r>
    <s v="PO-00009"/>
    <x v="2"/>
    <d v="2023-11-24T00:00:00"/>
    <d v="2023-11-28T00:00:00"/>
    <s v="Raw Materials"/>
    <s v="Partially Delivered"/>
    <n v="1688"/>
    <n v="43.93"/>
    <n v="39.89"/>
    <n v="89"/>
    <s v="Yes"/>
    <x v="7"/>
    <m/>
    <x v="0"/>
  </r>
  <r>
    <s v="PO-00010"/>
    <x v="2"/>
    <d v="2023-07-13T00:00:00"/>
    <d v="2023-07-25T00:00:00"/>
    <s v="Raw Materials"/>
    <s v="Pending"/>
    <n v="171"/>
    <n v="76.87"/>
    <n v="70.2"/>
    <n v="8"/>
    <s v="Yes"/>
    <x v="4"/>
    <m/>
    <x v="0"/>
  </r>
  <r>
    <s v="PO-00011"/>
    <x v="4"/>
    <d v="2022-03-31T00:00:00"/>
    <d v="2022-04-15T00:00:00"/>
    <s v="Raw Materials"/>
    <s v="Delivered"/>
    <n v="5000"/>
    <n v="78.489999999999995"/>
    <n v="73.680000000000007"/>
    <n v="18"/>
    <s v="Yes"/>
    <x v="8"/>
    <m/>
    <x v="0"/>
  </r>
  <r>
    <s v="PO-00012"/>
    <x v="3"/>
    <d v="2023-08-28T00:00:00"/>
    <d v="2023-09-11T00:00:00"/>
    <s v="Raw Materials"/>
    <s v="Delivered"/>
    <n v="5000"/>
    <n v="88.96"/>
    <n v="86.58"/>
    <n v="115"/>
    <s v="Yes"/>
    <x v="6"/>
    <m/>
    <x v="0"/>
  </r>
  <r>
    <s v="PO-00013"/>
    <x v="3"/>
    <d v="2023-03-09T00:00:00"/>
    <d v="2023-03-26T00:00:00"/>
    <s v="Electronics"/>
    <s v="Pending"/>
    <n v="5000"/>
    <n v="86.74"/>
    <n v="74.86"/>
    <n v="51"/>
    <s v="Yes"/>
    <x v="9"/>
    <m/>
    <x v="0"/>
  </r>
  <r>
    <s v="PO-00014"/>
    <x v="3"/>
    <d v="2022-02-02T00:00:00"/>
    <m/>
    <s v="MRO"/>
    <s v="Delivered"/>
    <n v="5000"/>
    <n v="18.3"/>
    <n v="16.88"/>
    <m/>
    <s v="Yes"/>
    <x v="10"/>
    <m/>
    <x v="1"/>
  </r>
  <r>
    <s v="PO-00015"/>
    <x v="1"/>
    <d v="2022-01-31T00:00:00"/>
    <d v="2022-02-18T00:00:00"/>
    <s v="Electronics"/>
    <s v="Pending"/>
    <n v="5000"/>
    <n v="54.5"/>
    <n v="48.45"/>
    <n v="22"/>
    <s v="Yes"/>
    <x v="11"/>
    <m/>
    <x v="0"/>
  </r>
  <r>
    <s v="PO-00016"/>
    <x v="3"/>
    <d v="2022-04-06T00:00:00"/>
    <d v="2022-04-21T00:00:00"/>
    <s v="Packaging"/>
    <s v="Delivered"/>
    <n v="5000"/>
    <n v="15.41"/>
    <n v="15.12"/>
    <m/>
    <s v="Yes"/>
    <x v="8"/>
    <m/>
    <x v="0"/>
  </r>
  <r>
    <s v="PO-00017"/>
    <x v="1"/>
    <d v="2022-08-12T00:00:00"/>
    <d v="2022-08-31T00:00:00"/>
    <s v="MRO"/>
    <s v="Delivered"/>
    <n v="1173"/>
    <n v="61.54"/>
    <n v="55.49"/>
    <n v="172"/>
    <s v="No"/>
    <x v="3"/>
    <m/>
    <x v="0"/>
  </r>
  <r>
    <s v="PO-00018"/>
    <x v="4"/>
    <d v="2022-08-27T00:00:00"/>
    <d v="2022-09-04T00:00:00"/>
    <s v="Raw Materials"/>
    <s v="Delivered"/>
    <n v="921"/>
    <n v="51.48"/>
    <n v="50.61"/>
    <m/>
    <s v="Yes"/>
    <x v="0"/>
    <m/>
    <x v="0"/>
  </r>
  <r>
    <s v="PO-00019"/>
    <x v="2"/>
    <d v="2023-06-02T00:00:00"/>
    <d v="2023-06-05T00:00:00"/>
    <s v="Raw Materials"/>
    <s v="Partially Delivered"/>
    <n v="1737"/>
    <n v="97.53"/>
    <n v="87.37"/>
    <n v="79"/>
    <s v="Yes"/>
    <x v="12"/>
    <m/>
    <x v="0"/>
  </r>
  <r>
    <s v="PO-00020"/>
    <x v="1"/>
    <d v="2023-09-09T00:00:00"/>
    <d v="2023-09-24T00:00:00"/>
    <s v="Raw Materials"/>
    <s v="Delivered"/>
    <n v="180"/>
    <n v="45.74"/>
    <n v="38.89"/>
    <m/>
    <s v="No"/>
    <x v="8"/>
    <m/>
    <x v="0"/>
  </r>
  <r>
    <s v="PO-00021"/>
    <x v="4"/>
    <d v="2022-01-28T00:00:00"/>
    <d v="2022-02-12T00:00:00"/>
    <s v="Electronics"/>
    <s v="Cancelled"/>
    <n v="1735"/>
    <n v="20.54"/>
    <n v="19.690000000000001"/>
    <n v="49"/>
    <s v="Yes"/>
    <x v="8"/>
    <m/>
    <x v="0"/>
  </r>
  <r>
    <s v="PO-00022"/>
    <x v="1"/>
    <d v="2023-07-29T00:00:00"/>
    <d v="2023-08-11T00:00:00"/>
    <s v="Raw Materials"/>
    <s v="Delivered"/>
    <n v="1382"/>
    <n v="24.93"/>
    <n v="23.75"/>
    <m/>
    <s v="Yes"/>
    <x v="13"/>
    <m/>
    <x v="0"/>
  </r>
  <r>
    <s v="PO-00023"/>
    <x v="4"/>
    <d v="2022-07-23T00:00:00"/>
    <d v="2022-08-08T00:00:00"/>
    <s v="MRO"/>
    <s v="Delivered"/>
    <n v="819"/>
    <n v="80.89"/>
    <n v="77.03"/>
    <n v="29"/>
    <s v="Yes"/>
    <x v="14"/>
    <m/>
    <x v="0"/>
  </r>
  <r>
    <s v="PO-00024"/>
    <x v="3"/>
    <d v="2023-10-28T00:00:00"/>
    <d v="2023-11-03T00:00:00"/>
    <s v="Office Supplies"/>
    <s v="Partially Delivered"/>
    <n v="393"/>
    <n v="72.53"/>
    <n v="66.31"/>
    <n v="42"/>
    <s v="No"/>
    <x v="15"/>
    <m/>
    <x v="0"/>
  </r>
  <r>
    <s v="PO-00025"/>
    <x v="3"/>
    <d v="2023-12-20T00:00:00"/>
    <d v="2024-01-01T00:00:00"/>
    <s v="MRO"/>
    <s v="Delivered"/>
    <n v="1565"/>
    <n v="21.3"/>
    <n v="20.09"/>
    <n v="161"/>
    <s v="Yes"/>
    <x v="4"/>
    <m/>
    <x v="0"/>
  </r>
  <r>
    <s v="PO-00026"/>
    <x v="4"/>
    <d v="2023-07-13T00:00:00"/>
    <d v="2023-07-24T00:00:00"/>
    <s v="Packaging"/>
    <s v="Delivered"/>
    <n v="1487"/>
    <n v="19.149999999999999"/>
    <n v="17.239999999999998"/>
    <m/>
    <s v="Yes"/>
    <x v="5"/>
    <m/>
    <x v="0"/>
  </r>
  <r>
    <s v="PO-00027"/>
    <x v="0"/>
    <d v="2023-03-06T00:00:00"/>
    <d v="2023-03-26T00:00:00"/>
    <s v="MRO"/>
    <s v="Delivered"/>
    <n v="855"/>
    <n v="78.2"/>
    <n v="67.16"/>
    <n v="17"/>
    <s v="Yes"/>
    <x v="2"/>
    <m/>
    <x v="0"/>
  </r>
  <r>
    <s v="PO-00028"/>
    <x v="4"/>
    <d v="2022-08-14T00:00:00"/>
    <d v="2022-08-23T00:00:00"/>
    <s v="Raw Materials"/>
    <s v="Delivered"/>
    <n v="435"/>
    <n v="17.13"/>
    <n v="15.84"/>
    <n v="8"/>
    <s v="Yes"/>
    <x v="16"/>
    <m/>
    <x v="0"/>
  </r>
  <r>
    <s v="PO-00029"/>
    <x v="1"/>
    <d v="2023-04-05T00:00:00"/>
    <d v="2023-04-22T00:00:00"/>
    <s v="MRO"/>
    <s v="Delivered"/>
    <n v="1265"/>
    <n v="90.26"/>
    <n v="79.47"/>
    <n v="187"/>
    <s v="Yes"/>
    <x v="9"/>
    <m/>
    <x v="0"/>
  </r>
  <r>
    <s v="PO-00030"/>
    <x v="4"/>
    <d v="2023-08-27T00:00:00"/>
    <m/>
    <s v="MRO"/>
    <s v="Delivered"/>
    <n v="1005"/>
    <n v="80.55"/>
    <n v="73.31"/>
    <n v="30"/>
    <s v="Yes"/>
    <x v="17"/>
    <m/>
    <x v="2"/>
  </r>
  <r>
    <s v="PO-00031"/>
    <x v="2"/>
    <d v="2022-10-12T00:00:00"/>
    <d v="2022-10-26T00:00:00"/>
    <s v="Electronics"/>
    <s v="Delivered"/>
    <n v="326"/>
    <n v="18.100000000000001"/>
    <n v="15.92"/>
    <m/>
    <s v="No"/>
    <x v="6"/>
    <m/>
    <x v="0"/>
  </r>
  <r>
    <s v="PO-00032"/>
    <x v="0"/>
    <d v="2022-01-07T00:00:00"/>
    <d v="2022-01-15T00:00:00"/>
    <s v="Office Supplies"/>
    <s v="Delivered"/>
    <n v="1234"/>
    <n v="17.64"/>
    <n v="15.66"/>
    <n v="26"/>
    <s v="Yes"/>
    <x v="0"/>
    <m/>
    <x v="0"/>
  </r>
  <r>
    <s v="PO-00033"/>
    <x v="4"/>
    <d v="2022-06-13T00:00:00"/>
    <d v="2022-06-29T00:00:00"/>
    <s v="MRO"/>
    <s v="Delivered"/>
    <n v="509"/>
    <n v="101.27"/>
    <n v="97.82"/>
    <n v="19"/>
    <s v="Yes"/>
    <x v="14"/>
    <m/>
    <x v="0"/>
  </r>
  <r>
    <s v="PO-00034"/>
    <x v="0"/>
    <d v="2023-12-16T00:00:00"/>
    <d v="2023-12-17T00:00:00"/>
    <s v="Packaging"/>
    <s v="Delivered"/>
    <n v="1387"/>
    <n v="48.71"/>
    <n v="43.71"/>
    <n v="27"/>
    <s v="Yes"/>
    <x v="18"/>
    <m/>
    <x v="0"/>
  </r>
  <r>
    <s v="PO-00035"/>
    <x v="0"/>
    <d v="2023-03-09T00:00:00"/>
    <d v="2023-03-17T00:00:00"/>
    <s v="MRO"/>
    <s v="Delivered"/>
    <n v="71"/>
    <n v="46.39"/>
    <n v="43.18"/>
    <n v="0"/>
    <s v="Yes"/>
    <x v="0"/>
    <m/>
    <x v="0"/>
  </r>
  <r>
    <s v="PO-00036"/>
    <x v="4"/>
    <d v="2022-12-15T00:00:00"/>
    <d v="2022-12-23T00:00:00"/>
    <s v="Office Supplies"/>
    <s v="Delivered"/>
    <n v="302"/>
    <n v="87.73"/>
    <n v="81.52"/>
    <n v="9"/>
    <s v="Yes"/>
    <x v="0"/>
    <m/>
    <x v="0"/>
  </r>
  <r>
    <s v="PO-00037"/>
    <x v="4"/>
    <d v="2022-10-12T00:00:00"/>
    <d v="2022-10-31T00:00:00"/>
    <s v="Office Supplies"/>
    <s v="Pending"/>
    <n v="797"/>
    <n v="99.54"/>
    <n v="91.37"/>
    <n v="18"/>
    <s v="Yes"/>
    <x v="3"/>
    <m/>
    <x v="0"/>
  </r>
  <r>
    <s v="PO-00038"/>
    <x v="3"/>
    <d v="2022-06-09T00:00:00"/>
    <d v="2022-06-27T00:00:00"/>
    <s v="Office Supplies"/>
    <s v="Pending"/>
    <n v="906"/>
    <n v="101.21"/>
    <n v="90.9"/>
    <n v="94"/>
    <s v="Yes"/>
    <x v="11"/>
    <m/>
    <x v="0"/>
  </r>
  <r>
    <s v="PO-00039"/>
    <x v="4"/>
    <d v="2022-08-09T00:00:00"/>
    <d v="2022-08-23T00:00:00"/>
    <s v="Office Supplies"/>
    <s v="Delivered"/>
    <n v="1634"/>
    <n v="80.53"/>
    <n v="76.150000000000006"/>
    <n v="50"/>
    <s v="Yes"/>
    <x v="6"/>
    <m/>
    <x v="0"/>
  </r>
  <r>
    <s v="PO-00040"/>
    <x v="4"/>
    <d v="2022-12-11T00:00:00"/>
    <m/>
    <s v="Office Supplies"/>
    <s v="Delivered"/>
    <n v="524"/>
    <n v="46.28"/>
    <n v="39.65"/>
    <n v="14"/>
    <s v="Yes"/>
    <x v="19"/>
    <m/>
    <x v="3"/>
  </r>
  <r>
    <s v="PO-00041"/>
    <x v="3"/>
    <d v="2022-04-15T00:00:00"/>
    <d v="2022-04-27T00:00:00"/>
    <s v="Electronics"/>
    <s v="Delivered"/>
    <n v="1132"/>
    <n v="17.78"/>
    <n v="15.36"/>
    <n v="96"/>
    <s v="Yes"/>
    <x v="4"/>
    <m/>
    <x v="0"/>
  </r>
  <r>
    <s v="PO-00042"/>
    <x v="3"/>
    <d v="2022-04-05T00:00:00"/>
    <d v="2022-04-14T00:00:00"/>
    <s v="Office Supplies"/>
    <s v="Delivered"/>
    <n v="560"/>
    <n v="81.14"/>
    <n v="77.87"/>
    <n v="34"/>
    <s v="No"/>
    <x v="16"/>
    <m/>
    <x v="0"/>
  </r>
  <r>
    <s v="PO-00043"/>
    <x v="2"/>
    <d v="2023-01-25T00:00:00"/>
    <d v="2023-02-02T00:00:00"/>
    <s v="Electronics"/>
    <s v="Delivered"/>
    <n v="1755"/>
    <n v="63.87"/>
    <n v="58.4"/>
    <n v="85"/>
    <s v="Yes"/>
    <x v="0"/>
    <m/>
    <x v="0"/>
  </r>
  <r>
    <s v="PO-00044"/>
    <x v="4"/>
    <d v="2022-04-10T00:00:00"/>
    <d v="2022-04-17T00:00:00"/>
    <s v="MRO"/>
    <s v="Delivered"/>
    <n v="1549"/>
    <n v="48.9"/>
    <n v="42.42"/>
    <n v="48"/>
    <s v="Yes"/>
    <x v="20"/>
    <m/>
    <x v="0"/>
  </r>
  <r>
    <s v="PO-00045"/>
    <x v="1"/>
    <d v="2023-01-03T00:00:00"/>
    <d v="2023-01-21T00:00:00"/>
    <s v="MRO"/>
    <s v="Delivered"/>
    <n v="749"/>
    <n v="97.07"/>
    <n v="94.16"/>
    <n v="123"/>
    <s v="Yes"/>
    <x v="11"/>
    <m/>
    <x v="0"/>
  </r>
  <r>
    <s v="PO-00046"/>
    <x v="0"/>
    <d v="2022-12-19T00:00:00"/>
    <m/>
    <s v="Electronics"/>
    <s v="Delivered"/>
    <n v="1025"/>
    <n v="21.11"/>
    <n v="19.25"/>
    <n v="15"/>
    <s v="Yes"/>
    <x v="21"/>
    <m/>
    <x v="4"/>
  </r>
  <r>
    <s v="PO-00047"/>
    <x v="3"/>
    <d v="2023-09-11T00:00:00"/>
    <d v="2023-09-18T00:00:00"/>
    <s v="Raw Materials"/>
    <s v="Delivered"/>
    <n v="1856"/>
    <n v="59.77"/>
    <n v="50.81"/>
    <n v="191"/>
    <s v="Yes"/>
    <x v="20"/>
    <m/>
    <x v="0"/>
  </r>
  <r>
    <s v="PO-00048"/>
    <x v="4"/>
    <d v="2022-09-28T00:00:00"/>
    <d v="2022-10-14T00:00:00"/>
    <s v="Office Supplies"/>
    <s v="Delivered"/>
    <n v="239"/>
    <n v="11.46"/>
    <n v="11.28"/>
    <n v="4"/>
    <s v="Yes"/>
    <x v="14"/>
    <m/>
    <x v="0"/>
  </r>
  <r>
    <s v="PO-00049"/>
    <x v="1"/>
    <d v="2022-02-14T00:00:00"/>
    <d v="2022-03-05T00:00:00"/>
    <s v="Office Supplies"/>
    <s v="Pending"/>
    <n v="1007"/>
    <n v="52.44"/>
    <n v="46.06"/>
    <n v="167"/>
    <s v="Yes"/>
    <x v="3"/>
    <m/>
    <x v="0"/>
  </r>
  <r>
    <s v="PO-00050"/>
    <x v="0"/>
    <d v="2023-04-16T00:00:00"/>
    <m/>
    <s v="MRO"/>
    <s v="Pending"/>
    <n v="736"/>
    <n v="16.2"/>
    <n v="15.33"/>
    <n v="18"/>
    <s v="Yes"/>
    <x v="22"/>
    <m/>
    <x v="5"/>
  </r>
  <r>
    <s v="PO-00051"/>
    <x v="4"/>
    <d v="2023-07-04T00:00:00"/>
    <d v="2023-07-14T00:00:00"/>
    <s v="Electronics"/>
    <s v="Delivered"/>
    <n v="1007"/>
    <n v="22.56"/>
    <n v="19.59"/>
    <m/>
    <s v="Yes"/>
    <x v="1"/>
    <m/>
    <x v="0"/>
  </r>
  <r>
    <s v="PO-00052"/>
    <x v="1"/>
    <d v="2022-05-08T00:00:00"/>
    <m/>
    <s v="Office Supplies"/>
    <s v="Delivered"/>
    <n v="612"/>
    <n v="20.99"/>
    <n v="19.75"/>
    <n v="102"/>
    <s v="Yes"/>
    <x v="23"/>
    <m/>
    <x v="6"/>
  </r>
  <r>
    <s v="PO-00053"/>
    <x v="0"/>
    <d v="2023-01-23T00:00:00"/>
    <d v="2023-02-02T00:00:00"/>
    <s v="MRO"/>
    <s v="Pending"/>
    <n v="1949"/>
    <n v="72.53"/>
    <n v="63.26"/>
    <n v="48"/>
    <s v="No"/>
    <x v="1"/>
    <m/>
    <x v="0"/>
  </r>
  <r>
    <s v="PO-00054"/>
    <x v="1"/>
    <d v="2022-03-22T00:00:00"/>
    <d v="2022-03-28T00:00:00"/>
    <s v="Office Supplies"/>
    <s v="Cancelled"/>
    <n v="1640"/>
    <n v="77.92"/>
    <n v="76.41"/>
    <n v="262"/>
    <s v="No"/>
    <x v="15"/>
    <m/>
    <x v="0"/>
  </r>
  <r>
    <s v="PO-00055"/>
    <x v="3"/>
    <d v="2023-07-20T00:00:00"/>
    <d v="2023-08-07T00:00:00"/>
    <s v="Electronics"/>
    <s v="Delivered"/>
    <n v="1317"/>
    <n v="68.13"/>
    <n v="60.52"/>
    <n v="136"/>
    <s v="Yes"/>
    <x v="11"/>
    <m/>
    <x v="0"/>
  </r>
  <r>
    <s v="PO-00056"/>
    <x v="4"/>
    <d v="2022-10-28T00:00:00"/>
    <d v="2022-10-30T00:00:00"/>
    <s v="Raw Materials"/>
    <s v="Delivered"/>
    <n v="881"/>
    <n v="100.94"/>
    <n v="95.05"/>
    <n v="30"/>
    <s v="Yes"/>
    <x v="24"/>
    <m/>
    <x v="0"/>
  </r>
  <r>
    <s v="PO-00057"/>
    <x v="1"/>
    <d v="2023-10-06T00:00:00"/>
    <m/>
    <s v="Packaging"/>
    <s v="Delivered"/>
    <n v="1578"/>
    <n v="48.33"/>
    <n v="42.77"/>
    <n v="206"/>
    <s v="Yes"/>
    <x v="25"/>
    <m/>
    <x v="7"/>
  </r>
  <r>
    <s v="PO-00058"/>
    <x v="1"/>
    <d v="2023-09-26T00:00:00"/>
    <d v="2023-10-01T00:00:00"/>
    <s v="MRO"/>
    <s v="Delivered"/>
    <n v="1204"/>
    <n v="39.29"/>
    <n v="35.44"/>
    <m/>
    <s v="Yes"/>
    <x v="26"/>
    <m/>
    <x v="0"/>
  </r>
  <r>
    <s v="PO-00059"/>
    <x v="4"/>
    <d v="2023-01-06T00:00:00"/>
    <d v="2023-01-22T00:00:00"/>
    <s v="MRO"/>
    <s v="Pending"/>
    <n v="1558"/>
    <n v="93.46"/>
    <n v="91.27"/>
    <n v="39"/>
    <s v="Yes"/>
    <x v="14"/>
    <m/>
    <x v="0"/>
  </r>
  <r>
    <s v="PO-00060"/>
    <x v="0"/>
    <d v="2023-08-15T00:00:00"/>
    <d v="2023-08-16T00:00:00"/>
    <s v="Packaging"/>
    <s v="Delivered"/>
    <n v="1892"/>
    <n v="32.99"/>
    <n v="28.81"/>
    <n v="35"/>
    <s v="Yes"/>
    <x v="18"/>
    <m/>
    <x v="0"/>
  </r>
  <r>
    <s v="PO-00061"/>
    <x v="4"/>
    <d v="2022-07-16T00:00:00"/>
    <d v="2022-08-01T00:00:00"/>
    <s v="Packaging"/>
    <s v="Delivered"/>
    <n v="696"/>
    <n v="99.59"/>
    <n v="90.18"/>
    <n v="25"/>
    <s v="Yes"/>
    <x v="14"/>
    <m/>
    <x v="0"/>
  </r>
  <r>
    <s v="PO-00062"/>
    <x v="1"/>
    <d v="2023-12-23T00:00:00"/>
    <d v="2024-01-03T00:00:00"/>
    <s v="MRO"/>
    <s v="Partially Delivered"/>
    <n v="70"/>
    <n v="12.37"/>
    <n v="11.04"/>
    <n v="10"/>
    <s v="Yes"/>
    <x v="5"/>
    <m/>
    <x v="0"/>
  </r>
  <r>
    <s v="PO-00063"/>
    <x v="2"/>
    <d v="2022-03-13T00:00:00"/>
    <d v="2022-03-15T00:00:00"/>
    <s v="Raw Materials"/>
    <s v="Delivered"/>
    <n v="890"/>
    <n v="98.26"/>
    <n v="93.14"/>
    <n v="49"/>
    <s v="Yes"/>
    <x v="24"/>
    <m/>
    <x v="0"/>
  </r>
  <r>
    <s v="PO-00064"/>
    <x v="0"/>
    <d v="2022-02-16T00:00:00"/>
    <d v="2022-03-04T00:00:00"/>
    <s v="MRO"/>
    <s v="Delivered"/>
    <n v="216"/>
    <n v="13.95"/>
    <n v="12.31"/>
    <n v="5"/>
    <s v="Yes"/>
    <x v="14"/>
    <m/>
    <x v="0"/>
  </r>
  <r>
    <s v="PO-00065"/>
    <x v="1"/>
    <d v="2023-11-09T00:00:00"/>
    <d v="2023-11-12T00:00:00"/>
    <s v="Packaging"/>
    <s v="Delivered"/>
    <n v="1347"/>
    <n v="100.13"/>
    <n v="94.3"/>
    <n v="200"/>
    <s v="Yes"/>
    <x v="12"/>
    <m/>
    <x v="0"/>
  </r>
  <r>
    <s v="PO-00066"/>
    <x v="2"/>
    <d v="2022-08-22T00:00:00"/>
    <d v="2022-08-25T00:00:00"/>
    <s v="Office Supplies"/>
    <s v="Partially Delivered"/>
    <n v="437"/>
    <n v="59.51"/>
    <n v="56.45"/>
    <n v="25"/>
    <s v="No"/>
    <x v="12"/>
    <m/>
    <x v="0"/>
  </r>
  <r>
    <s v="PO-00067"/>
    <x v="0"/>
    <d v="2022-10-24T00:00:00"/>
    <d v="2022-10-26T00:00:00"/>
    <s v="Electronics"/>
    <s v="Delivered"/>
    <n v="650"/>
    <n v="103.84"/>
    <n v="88.28"/>
    <n v="12"/>
    <s v="Yes"/>
    <x v="24"/>
    <m/>
    <x v="0"/>
  </r>
  <r>
    <s v="PO-00068"/>
    <x v="3"/>
    <d v="2022-03-23T00:00:00"/>
    <d v="2022-04-11T00:00:00"/>
    <s v="Office Supplies"/>
    <s v="Delivered"/>
    <n v="365"/>
    <n v="16.809999999999999"/>
    <n v="15.41"/>
    <n v="38"/>
    <s v="Yes"/>
    <x v="3"/>
    <m/>
    <x v="0"/>
  </r>
  <r>
    <s v="PO-00069"/>
    <x v="4"/>
    <d v="2022-08-27T00:00:00"/>
    <m/>
    <s v="Raw Materials"/>
    <s v="Cancelled"/>
    <n v="63"/>
    <n v="61.94"/>
    <n v="53.8"/>
    <m/>
    <s v="Yes"/>
    <x v="27"/>
    <m/>
    <x v="8"/>
  </r>
  <r>
    <s v="PO-00070"/>
    <x v="0"/>
    <d v="2022-04-14T00:00:00"/>
    <d v="2022-04-22T00:00:00"/>
    <s v="MRO"/>
    <s v="Delivered"/>
    <n v="291"/>
    <n v="98.7"/>
    <n v="87.02"/>
    <n v="9"/>
    <s v="Yes"/>
    <x v="0"/>
    <m/>
    <x v="0"/>
  </r>
  <r>
    <s v="PO-00071"/>
    <x v="0"/>
    <d v="2023-01-25T00:00:00"/>
    <d v="2023-02-08T00:00:00"/>
    <s v="MRO"/>
    <s v="Cancelled"/>
    <n v="826"/>
    <n v="60.5"/>
    <n v="57.18"/>
    <n v="18"/>
    <s v="Yes"/>
    <x v="6"/>
    <m/>
    <x v="0"/>
  </r>
  <r>
    <s v="PO-00072"/>
    <x v="1"/>
    <d v="2022-10-12T00:00:00"/>
    <d v="2022-11-01T00:00:00"/>
    <s v="Electronics"/>
    <s v="Pending"/>
    <n v="1419"/>
    <n v="69.64"/>
    <n v="59.28"/>
    <n v="194"/>
    <s v="Yes"/>
    <x v="2"/>
    <m/>
    <x v="0"/>
  </r>
  <r>
    <s v="PO-00073"/>
    <x v="2"/>
    <d v="2023-04-10T00:00:00"/>
    <d v="2023-04-27T00:00:00"/>
    <s v="Office Supplies"/>
    <s v="Delivered"/>
    <n v="614"/>
    <n v="78.06"/>
    <n v="73.95"/>
    <n v="40"/>
    <s v="Yes"/>
    <x v="9"/>
    <m/>
    <x v="0"/>
  </r>
  <r>
    <s v="PO-00074"/>
    <x v="0"/>
    <d v="2023-10-13T00:00:00"/>
    <d v="2023-10-28T00:00:00"/>
    <s v="Electronics"/>
    <s v="Delivered"/>
    <n v="947"/>
    <n v="56.25"/>
    <n v="54.25"/>
    <n v="19"/>
    <s v="Yes"/>
    <x v="8"/>
    <m/>
    <x v="0"/>
  </r>
  <r>
    <s v="PO-00075"/>
    <x v="4"/>
    <d v="2023-01-09T00:00:00"/>
    <d v="2023-01-28T00:00:00"/>
    <s v="Raw Materials"/>
    <s v="Delivered"/>
    <n v="1413"/>
    <n v="70.47"/>
    <n v="69.650000000000006"/>
    <m/>
    <s v="Yes"/>
    <x v="3"/>
    <m/>
    <x v="0"/>
  </r>
  <r>
    <s v="PO-00076"/>
    <x v="0"/>
    <d v="2022-06-16T00:00:00"/>
    <m/>
    <s v="Office Supplies"/>
    <s v="Partially Delivered"/>
    <n v="141"/>
    <n v="64.150000000000006"/>
    <n v="58.32"/>
    <m/>
    <s v="Yes"/>
    <x v="28"/>
    <m/>
    <x v="9"/>
  </r>
  <r>
    <s v="PO-00077"/>
    <x v="0"/>
    <d v="2023-01-15T00:00:00"/>
    <d v="2023-02-04T00:00:00"/>
    <s v="Office Supplies"/>
    <s v="Delivered"/>
    <n v="1440"/>
    <n v="96.57"/>
    <n v="83.87"/>
    <n v="36"/>
    <s v="Yes"/>
    <x v="2"/>
    <m/>
    <x v="0"/>
  </r>
  <r>
    <s v="PO-00078"/>
    <x v="1"/>
    <d v="2022-12-30T00:00:00"/>
    <d v="2023-01-03T00:00:00"/>
    <s v="Raw Materials"/>
    <s v="Delivered"/>
    <n v="1005"/>
    <n v="14.87"/>
    <n v="12.79"/>
    <m/>
    <s v="No"/>
    <x v="7"/>
    <m/>
    <x v="0"/>
  </r>
  <r>
    <s v="PO-00079"/>
    <x v="0"/>
    <d v="2022-08-03T00:00:00"/>
    <m/>
    <s v="MRO"/>
    <s v="Delivered"/>
    <n v="1528"/>
    <n v="36.520000000000003"/>
    <n v="33"/>
    <n v="31"/>
    <s v="No"/>
    <x v="29"/>
    <m/>
    <x v="10"/>
  </r>
  <r>
    <s v="PO-00080"/>
    <x v="2"/>
    <d v="2023-11-18T00:00:00"/>
    <d v="2023-11-25T00:00:00"/>
    <s v="MRO"/>
    <s v="Delivered"/>
    <n v="1501"/>
    <n v="106.05"/>
    <n v="100.99"/>
    <n v="77"/>
    <s v="No"/>
    <x v="20"/>
    <m/>
    <x v="0"/>
  </r>
  <r>
    <s v="PO-00081"/>
    <x v="1"/>
    <d v="2022-10-01T00:00:00"/>
    <d v="2022-10-04T00:00:00"/>
    <s v="Packaging"/>
    <s v="Delivered"/>
    <n v="558"/>
    <n v="94.18"/>
    <n v="81.400000000000006"/>
    <m/>
    <s v="No"/>
    <x v="12"/>
    <m/>
    <x v="0"/>
  </r>
  <r>
    <s v="PO-00082"/>
    <x v="3"/>
    <d v="2023-12-20T00:00:00"/>
    <d v="2023-12-26T00:00:00"/>
    <s v="MRO"/>
    <s v="Delivered"/>
    <n v="825"/>
    <n v="56.88"/>
    <n v="50.84"/>
    <m/>
    <s v="Yes"/>
    <x v="15"/>
    <m/>
    <x v="0"/>
  </r>
  <r>
    <s v="PO-00083"/>
    <x v="3"/>
    <d v="2023-12-01T00:00:00"/>
    <d v="2023-12-07T00:00:00"/>
    <s v="Electronics"/>
    <s v="Cancelled"/>
    <n v="84"/>
    <n v="73.38"/>
    <n v="71.42"/>
    <n v="9"/>
    <s v="Yes"/>
    <x v="15"/>
    <m/>
    <x v="0"/>
  </r>
  <r>
    <s v="PO-00084"/>
    <x v="1"/>
    <d v="2023-10-26T00:00:00"/>
    <d v="2023-11-10T00:00:00"/>
    <s v="Raw Materials"/>
    <s v="Delivered"/>
    <n v="255"/>
    <n v="38.64"/>
    <n v="33.590000000000003"/>
    <n v="27"/>
    <s v="No"/>
    <x v="8"/>
    <m/>
    <x v="0"/>
  </r>
  <r>
    <s v="PO-00085"/>
    <x v="2"/>
    <d v="2022-03-15T00:00:00"/>
    <d v="2022-03-31T00:00:00"/>
    <s v="MRO"/>
    <s v="Delivered"/>
    <n v="1154"/>
    <n v="27.2"/>
    <n v="26.07"/>
    <n v="58"/>
    <s v="Yes"/>
    <x v="14"/>
    <m/>
    <x v="0"/>
  </r>
  <r>
    <s v="PO-00086"/>
    <x v="1"/>
    <d v="2023-09-16T00:00:00"/>
    <d v="2023-09-24T00:00:00"/>
    <s v="Office Supplies"/>
    <s v="Delivered"/>
    <n v="1635"/>
    <n v="56.91"/>
    <n v="54.37"/>
    <n v="262"/>
    <s v="No"/>
    <x v="0"/>
    <m/>
    <x v="0"/>
  </r>
  <r>
    <s v="PO-00087"/>
    <x v="1"/>
    <d v="2023-10-13T00:00:00"/>
    <d v="2023-10-23T00:00:00"/>
    <s v="Raw Materials"/>
    <s v="Delivered"/>
    <n v="1945"/>
    <n v="46.19"/>
    <n v="40.119999999999997"/>
    <n v="278"/>
    <s v="No"/>
    <x v="1"/>
    <m/>
    <x v="0"/>
  </r>
  <r>
    <s v="PO-00088"/>
    <x v="1"/>
    <d v="2022-06-25T00:00:00"/>
    <d v="2022-07-10T00:00:00"/>
    <s v="MRO"/>
    <s v="Partially Delivered"/>
    <n v="1461"/>
    <n v="64.09"/>
    <n v="63.39"/>
    <n v="228"/>
    <s v="No"/>
    <x v="8"/>
    <m/>
    <x v="0"/>
  </r>
  <r>
    <s v="PO-00089"/>
    <x v="1"/>
    <d v="2023-07-01T00:00:00"/>
    <d v="2023-07-09T00:00:00"/>
    <s v="Electronics"/>
    <s v="Delivered"/>
    <n v="1075"/>
    <n v="18.53"/>
    <n v="16.12"/>
    <n v="147"/>
    <s v="Yes"/>
    <x v="0"/>
    <m/>
    <x v="0"/>
  </r>
  <r>
    <s v="PO-00090"/>
    <x v="0"/>
    <d v="2022-09-08T00:00:00"/>
    <m/>
    <s v="Packaging"/>
    <s v="Delivered"/>
    <n v="1071"/>
    <n v="101.6"/>
    <n v="93.91"/>
    <n v="25"/>
    <s v="Yes"/>
    <x v="30"/>
    <m/>
    <x v="11"/>
  </r>
  <r>
    <s v="PO-00091"/>
    <x v="4"/>
    <d v="2022-06-17T00:00:00"/>
    <d v="2022-07-06T00:00:00"/>
    <s v="Packaging"/>
    <s v="Pending"/>
    <n v="1463"/>
    <n v="101.23"/>
    <n v="86.17"/>
    <n v="43"/>
    <s v="Yes"/>
    <x v="3"/>
    <m/>
    <x v="0"/>
  </r>
  <r>
    <s v="PO-00092"/>
    <x v="3"/>
    <d v="2023-04-19T00:00:00"/>
    <d v="2023-04-26T00:00:00"/>
    <s v="Raw Materials"/>
    <s v="Delivered"/>
    <n v="615"/>
    <n v="78.3"/>
    <n v="73.680000000000007"/>
    <n v="69"/>
    <s v="Yes"/>
    <x v="20"/>
    <m/>
    <x v="0"/>
  </r>
  <r>
    <s v="PO-00093"/>
    <x v="2"/>
    <d v="2023-01-24T00:00:00"/>
    <d v="2023-02-11T00:00:00"/>
    <s v="Electronics"/>
    <s v="Delivered"/>
    <n v="1179"/>
    <n v="61.74"/>
    <n v="56.28"/>
    <m/>
    <s v="Yes"/>
    <x v="11"/>
    <m/>
    <x v="0"/>
  </r>
  <r>
    <s v="PO-00094"/>
    <x v="0"/>
    <d v="2022-10-04T00:00:00"/>
    <d v="2022-10-09T00:00:00"/>
    <s v="Electronics"/>
    <s v="Partially Delivered"/>
    <n v="1845"/>
    <n v="39.56"/>
    <n v="37.630000000000003"/>
    <n v="45"/>
    <s v="Yes"/>
    <x v="26"/>
    <m/>
    <x v="0"/>
  </r>
  <r>
    <s v="PO-00095"/>
    <x v="3"/>
    <d v="2023-10-18T00:00:00"/>
    <m/>
    <s v="Electronics"/>
    <s v="Cancelled"/>
    <n v="1895"/>
    <n v="91.98"/>
    <n v="86.27"/>
    <n v="170"/>
    <s v="Yes"/>
    <x v="31"/>
    <m/>
    <x v="12"/>
  </r>
  <r>
    <s v="PO-00096"/>
    <x v="4"/>
    <d v="2023-12-06T00:00:00"/>
    <d v="2023-12-09T00:00:00"/>
    <s v="MRO"/>
    <s v="Partially Delivered"/>
    <n v="1550"/>
    <n v="79.86"/>
    <n v="69.569999999999993"/>
    <n v="32"/>
    <s v="No"/>
    <x v="12"/>
    <m/>
    <x v="0"/>
  </r>
  <r>
    <s v="PO-00097"/>
    <x v="1"/>
    <d v="2023-07-25T00:00:00"/>
    <d v="2023-08-04T00:00:00"/>
    <s v="Packaging"/>
    <s v="Delivered"/>
    <n v="752"/>
    <n v="26.85"/>
    <n v="24.37"/>
    <m/>
    <s v="No"/>
    <x v="1"/>
    <m/>
    <x v="0"/>
  </r>
  <r>
    <s v="PO-00098"/>
    <x v="4"/>
    <d v="2022-08-13T00:00:00"/>
    <d v="2022-09-01T00:00:00"/>
    <s v="Electronics"/>
    <s v="Delivered"/>
    <n v="451"/>
    <n v="95.2"/>
    <n v="90.07"/>
    <n v="21"/>
    <s v="Yes"/>
    <x v="3"/>
    <m/>
    <x v="0"/>
  </r>
  <r>
    <s v="PO-00099"/>
    <x v="3"/>
    <d v="2023-12-03T00:00:00"/>
    <m/>
    <s v="Office Supplies"/>
    <s v="Delivered"/>
    <n v="779"/>
    <n v="93.69"/>
    <n v="90.92"/>
    <n v="66"/>
    <s v="Yes"/>
    <x v="32"/>
    <m/>
    <x v="13"/>
  </r>
  <r>
    <s v="PO-00100"/>
    <x v="3"/>
    <d v="2022-11-29T00:00:00"/>
    <d v="2022-12-14T00:00:00"/>
    <s v="MRO"/>
    <s v="Pending"/>
    <n v="1629"/>
    <n v="100.26"/>
    <n v="86.44"/>
    <n v="187"/>
    <s v="No"/>
    <x v="8"/>
    <m/>
    <x v="0"/>
  </r>
  <r>
    <s v="PO-00101"/>
    <x v="0"/>
    <d v="2022-02-27T00:00:00"/>
    <d v="2022-02-22T00:00:00"/>
    <s v="Office Supplies"/>
    <s v="Delivered"/>
    <n v="211"/>
    <n v="75.69"/>
    <n v="65.400000000000006"/>
    <n v="2"/>
    <s v="Yes"/>
    <x v="33"/>
    <m/>
    <x v="14"/>
  </r>
  <r>
    <s v="PO-00102"/>
    <x v="0"/>
    <d v="2022-08-23T00:00:00"/>
    <m/>
    <s v="Office Supplies"/>
    <s v="Delivered"/>
    <n v="251"/>
    <n v="67.489999999999995"/>
    <n v="64.48"/>
    <n v="2"/>
    <s v="Yes"/>
    <x v="34"/>
    <m/>
    <x v="15"/>
  </r>
  <r>
    <s v="PO-00103"/>
    <x v="2"/>
    <d v="2022-02-02T00:00:00"/>
    <d v="2022-02-18T00:00:00"/>
    <s v="Raw Materials"/>
    <s v="Delivered"/>
    <n v="1045"/>
    <n v="47.88"/>
    <n v="44.65"/>
    <n v="69"/>
    <s v="Yes"/>
    <x v="14"/>
    <m/>
    <x v="0"/>
  </r>
  <r>
    <s v="PO-00104"/>
    <x v="1"/>
    <d v="2022-11-20T00:00:00"/>
    <d v="2022-12-10T00:00:00"/>
    <s v="MRO"/>
    <s v="Delivered"/>
    <n v="319"/>
    <n v="98.64"/>
    <n v="89.15"/>
    <n v="57"/>
    <s v="Yes"/>
    <x v="2"/>
    <m/>
    <x v="0"/>
  </r>
  <r>
    <s v="PO-00105"/>
    <x v="4"/>
    <d v="2023-02-15T00:00:00"/>
    <d v="2023-03-01T00:00:00"/>
    <s v="Office Supplies"/>
    <s v="Partially Delivered"/>
    <n v="1936"/>
    <n v="93.66"/>
    <n v="92.24"/>
    <n v="58"/>
    <s v="Yes"/>
    <x v="6"/>
    <m/>
    <x v="0"/>
  </r>
  <r>
    <s v="PO-00106"/>
    <x v="1"/>
    <d v="2022-10-02T00:00:00"/>
    <d v="2022-10-22T00:00:00"/>
    <s v="MRO"/>
    <s v="Cancelled"/>
    <n v="865"/>
    <n v="14.7"/>
    <n v="13.14"/>
    <n v="135"/>
    <s v="No"/>
    <x v="2"/>
    <m/>
    <x v="0"/>
  </r>
  <r>
    <s v="PO-00107"/>
    <x v="4"/>
    <d v="2022-03-09T00:00:00"/>
    <d v="2022-03-12T00:00:00"/>
    <s v="Electronics"/>
    <s v="Delivered"/>
    <n v="1344"/>
    <n v="12.5"/>
    <n v="10.87"/>
    <n v="44"/>
    <s v="Yes"/>
    <x v="12"/>
    <m/>
    <x v="0"/>
  </r>
  <r>
    <s v="PO-00108"/>
    <x v="1"/>
    <d v="2022-08-05T00:00:00"/>
    <d v="2022-08-24T00:00:00"/>
    <s v="Raw Materials"/>
    <s v="Pending"/>
    <n v="505"/>
    <n v="45.42"/>
    <n v="40.369999999999997"/>
    <n v="62"/>
    <s v="Yes"/>
    <x v="3"/>
    <m/>
    <x v="0"/>
  </r>
  <r>
    <s v="PO-00109"/>
    <x v="3"/>
    <d v="2023-08-04T00:00:00"/>
    <d v="2023-08-05T00:00:00"/>
    <s v="Packaging"/>
    <s v="Delivered"/>
    <n v="1535"/>
    <n v="90.83"/>
    <n v="78.28"/>
    <n v="151"/>
    <s v="No"/>
    <x v="18"/>
    <m/>
    <x v="0"/>
  </r>
  <r>
    <s v="PO-00110"/>
    <x v="3"/>
    <d v="2022-11-19T00:00:00"/>
    <m/>
    <s v="Office Supplies"/>
    <s v="Delivered"/>
    <n v="1800"/>
    <n v="103.8"/>
    <n v="96.27"/>
    <n v="166"/>
    <s v="Yes"/>
    <x v="35"/>
    <m/>
    <x v="16"/>
  </r>
  <r>
    <s v="PO-00111"/>
    <x v="1"/>
    <d v="2022-08-06T00:00:00"/>
    <d v="2022-08-15T00:00:00"/>
    <s v="Raw Materials"/>
    <s v="Pending"/>
    <n v="1325"/>
    <n v="24.36"/>
    <n v="22.75"/>
    <n v="206"/>
    <s v="Yes"/>
    <x v="16"/>
    <m/>
    <x v="0"/>
  </r>
  <r>
    <s v="PO-00112"/>
    <x v="2"/>
    <d v="2023-11-03T00:00:00"/>
    <d v="2023-11-09T00:00:00"/>
    <s v="Raw Materials"/>
    <s v="Delivered"/>
    <n v="1066"/>
    <n v="70.45"/>
    <n v="65.88"/>
    <n v="56"/>
    <s v="No"/>
    <x v="15"/>
    <m/>
    <x v="0"/>
  </r>
  <r>
    <s v="PO-00113"/>
    <x v="3"/>
    <d v="2023-05-27T00:00:00"/>
    <d v="2023-06-11T00:00:00"/>
    <s v="Raw Materials"/>
    <s v="Delivered"/>
    <n v="1775"/>
    <n v="47.82"/>
    <n v="45.86"/>
    <n v="180"/>
    <s v="Yes"/>
    <x v="8"/>
    <m/>
    <x v="0"/>
  </r>
  <r>
    <s v="PO-00114"/>
    <x v="2"/>
    <d v="2023-02-10T00:00:00"/>
    <m/>
    <s v="Raw Materials"/>
    <s v="Partially Delivered"/>
    <n v="345"/>
    <n v="103.62"/>
    <n v="98.09"/>
    <n v="25"/>
    <s v="No"/>
    <x v="36"/>
    <m/>
    <x v="17"/>
  </r>
  <r>
    <s v="PO-00115"/>
    <x v="3"/>
    <d v="2023-10-21T00:00:00"/>
    <d v="2023-11-09T00:00:00"/>
    <s v="Electronics"/>
    <s v="Delivered"/>
    <n v="1798"/>
    <n v="94.8"/>
    <n v="91.83"/>
    <m/>
    <s v="Yes"/>
    <x v="3"/>
    <m/>
    <x v="0"/>
  </r>
  <r>
    <s v="PO-00116"/>
    <x v="0"/>
    <d v="2023-04-15T00:00:00"/>
    <d v="2023-05-01T00:00:00"/>
    <s v="MRO"/>
    <s v="Delivered"/>
    <n v="769"/>
    <n v="91.86"/>
    <n v="86.55"/>
    <n v="17"/>
    <s v="Yes"/>
    <x v="14"/>
    <m/>
    <x v="0"/>
  </r>
  <r>
    <s v="PO-00117"/>
    <x v="0"/>
    <d v="2022-05-27T00:00:00"/>
    <m/>
    <s v="Packaging"/>
    <s v="Delivered"/>
    <n v="1822"/>
    <n v="53.23"/>
    <n v="47.49"/>
    <n v="39"/>
    <s v="Yes"/>
    <x v="37"/>
    <m/>
    <x v="18"/>
  </r>
  <r>
    <s v="PO-00118"/>
    <x v="1"/>
    <d v="2022-09-29T00:00:00"/>
    <d v="2022-10-13T00:00:00"/>
    <s v="Packaging"/>
    <s v="Delivered"/>
    <n v="387"/>
    <n v="49.23"/>
    <n v="45.41"/>
    <n v="61"/>
    <s v="Yes"/>
    <x v="6"/>
    <m/>
    <x v="0"/>
  </r>
  <r>
    <s v="PO-00119"/>
    <x v="4"/>
    <d v="2022-05-23T00:00:00"/>
    <d v="2022-05-27T00:00:00"/>
    <s v="MRO"/>
    <s v="Delivered"/>
    <n v="928"/>
    <n v="35.299999999999997"/>
    <n v="32.520000000000003"/>
    <n v="26"/>
    <s v="Yes"/>
    <x v="7"/>
    <m/>
    <x v="0"/>
  </r>
  <r>
    <s v="PO-00120"/>
    <x v="0"/>
    <d v="2022-09-10T00:00:00"/>
    <d v="2022-09-21T00:00:00"/>
    <s v="Packaging"/>
    <s v="Partially Delivered"/>
    <n v="1126"/>
    <n v="15.68"/>
    <n v="14.97"/>
    <n v="27"/>
    <s v="Yes"/>
    <x v="5"/>
    <m/>
    <x v="0"/>
  </r>
  <r>
    <s v="PO-00121"/>
    <x v="3"/>
    <d v="2023-07-29T00:00:00"/>
    <d v="2023-08-14T00:00:00"/>
    <s v="Raw Materials"/>
    <s v="Cancelled"/>
    <n v="841"/>
    <n v="95.73"/>
    <n v="85.33"/>
    <n v="81"/>
    <s v="Yes"/>
    <x v="14"/>
    <m/>
    <x v="0"/>
  </r>
  <r>
    <s v="PO-00122"/>
    <x v="3"/>
    <d v="2023-07-06T00:00:00"/>
    <d v="2023-07-19T00:00:00"/>
    <s v="Electronics"/>
    <s v="Delivered"/>
    <n v="1995"/>
    <n v="90.65"/>
    <n v="77.75"/>
    <n v="206"/>
    <s v="Yes"/>
    <x v="13"/>
    <m/>
    <x v="0"/>
  </r>
  <r>
    <s v="PO-00123"/>
    <x v="0"/>
    <d v="2022-09-27T00:00:00"/>
    <d v="2022-10-15T00:00:00"/>
    <s v="Raw Materials"/>
    <s v="Delivered"/>
    <n v="266"/>
    <n v="103.97"/>
    <n v="101.44"/>
    <n v="6"/>
    <s v="Yes"/>
    <x v="11"/>
    <m/>
    <x v="0"/>
  </r>
  <r>
    <s v="PO-00124"/>
    <x v="0"/>
    <d v="2023-08-22T00:00:00"/>
    <d v="2023-08-25T00:00:00"/>
    <s v="Raw Materials"/>
    <s v="Cancelled"/>
    <n v="813"/>
    <n v="109.17"/>
    <n v="107.39"/>
    <n v="14"/>
    <s v="Yes"/>
    <x v="12"/>
    <m/>
    <x v="0"/>
  </r>
  <r>
    <s v="PO-00125"/>
    <x v="4"/>
    <d v="2023-03-15T00:00:00"/>
    <d v="2023-03-26T00:00:00"/>
    <s v="Electronics"/>
    <s v="Delivered"/>
    <n v="237"/>
    <n v="64.19"/>
    <n v="59.01"/>
    <n v="7"/>
    <s v="Yes"/>
    <x v="5"/>
    <m/>
    <x v="0"/>
  </r>
  <r>
    <s v="PO-00126"/>
    <x v="0"/>
    <d v="2023-08-21T00:00:00"/>
    <d v="2023-09-03T00:00:00"/>
    <s v="Office Supplies"/>
    <s v="Cancelled"/>
    <n v="429"/>
    <n v="86.73"/>
    <n v="75.09"/>
    <n v="9"/>
    <s v="Yes"/>
    <x v="13"/>
    <m/>
    <x v="0"/>
  </r>
  <r>
    <s v="PO-00127"/>
    <x v="1"/>
    <d v="2023-02-13T00:00:00"/>
    <d v="2023-02-14T00:00:00"/>
    <s v="Packaging"/>
    <s v="Delivered"/>
    <n v="542"/>
    <n v="101.21"/>
    <n v="93.11"/>
    <n v="78"/>
    <s v="No"/>
    <x v="18"/>
    <m/>
    <x v="0"/>
  </r>
  <r>
    <s v="PO-00128"/>
    <x v="4"/>
    <d v="2023-01-06T00:00:00"/>
    <d v="2023-01-24T00:00:00"/>
    <s v="Electronics"/>
    <s v="Delivered"/>
    <n v="1114"/>
    <n v="91.66"/>
    <n v="85.53"/>
    <n v="35"/>
    <s v="Yes"/>
    <x v="11"/>
    <m/>
    <x v="0"/>
  </r>
  <r>
    <s v="PO-00129"/>
    <x v="0"/>
    <d v="2022-08-13T00:00:00"/>
    <d v="2022-08-15T00:00:00"/>
    <s v="MRO"/>
    <s v="Delivered"/>
    <n v="1230"/>
    <n v="33.39"/>
    <n v="30.85"/>
    <n v="26"/>
    <s v="Yes"/>
    <x v="24"/>
    <m/>
    <x v="0"/>
  </r>
  <r>
    <s v="PO-00130"/>
    <x v="3"/>
    <d v="2022-05-22T00:00:00"/>
    <d v="2022-06-03T00:00:00"/>
    <s v="MRO"/>
    <s v="Delivered"/>
    <n v="64"/>
    <n v="51.56"/>
    <n v="50.88"/>
    <n v="5"/>
    <s v="Yes"/>
    <x v="4"/>
    <m/>
    <x v="0"/>
  </r>
  <r>
    <s v="PO-00131"/>
    <x v="0"/>
    <d v="2023-06-06T00:00:00"/>
    <d v="2023-06-22T00:00:00"/>
    <s v="MRO"/>
    <s v="Delivered"/>
    <n v="1886"/>
    <n v="23.46"/>
    <n v="23.18"/>
    <m/>
    <s v="Yes"/>
    <x v="14"/>
    <m/>
    <x v="0"/>
  </r>
  <r>
    <s v="PO-00132"/>
    <x v="1"/>
    <d v="2023-05-21T00:00:00"/>
    <d v="2023-05-23T00:00:00"/>
    <s v="Office Supplies"/>
    <s v="Delivered"/>
    <n v="114"/>
    <n v="103.53"/>
    <n v="101.54"/>
    <n v="14"/>
    <s v="Yes"/>
    <x v="24"/>
    <m/>
    <x v="0"/>
  </r>
  <r>
    <s v="PO-00133"/>
    <x v="1"/>
    <d v="2022-04-04T00:00:00"/>
    <d v="2022-04-22T00:00:00"/>
    <s v="Electronics"/>
    <s v="Cancelled"/>
    <n v="1930"/>
    <n v="65.52"/>
    <n v="56.9"/>
    <n v="282"/>
    <s v="Yes"/>
    <x v="11"/>
    <m/>
    <x v="0"/>
  </r>
  <r>
    <s v="PO-00134"/>
    <x v="3"/>
    <d v="2022-02-18T00:00:00"/>
    <d v="2022-02-28T00:00:00"/>
    <s v="Office Supplies"/>
    <s v="Pending"/>
    <n v="1912"/>
    <n v="30.73"/>
    <n v="29.82"/>
    <n v="191"/>
    <s v="Yes"/>
    <x v="1"/>
    <m/>
    <x v="0"/>
  </r>
  <r>
    <s v="PO-00135"/>
    <x v="4"/>
    <d v="2022-04-23T00:00:00"/>
    <d v="2022-05-09T00:00:00"/>
    <s v="MRO"/>
    <s v="Delivered"/>
    <n v="570"/>
    <n v="71.510000000000005"/>
    <n v="66.47"/>
    <m/>
    <s v="Yes"/>
    <x v="14"/>
    <m/>
    <x v="0"/>
  </r>
  <r>
    <s v="PO-00136"/>
    <x v="3"/>
    <d v="2022-06-06T00:00:00"/>
    <d v="2022-06-26T00:00:00"/>
    <s v="Raw Materials"/>
    <s v="Delivered"/>
    <n v="1417"/>
    <n v="67.27"/>
    <n v="60.62"/>
    <m/>
    <s v="Yes"/>
    <x v="2"/>
    <m/>
    <x v="0"/>
  </r>
  <r>
    <s v="PO-00137"/>
    <x v="0"/>
    <d v="2023-10-05T00:00:00"/>
    <d v="2023-10-11T00:00:00"/>
    <s v="Raw Materials"/>
    <s v="Delivered"/>
    <n v="1202"/>
    <n v="46.67"/>
    <n v="44.13"/>
    <n v="21"/>
    <s v="No"/>
    <x v="15"/>
    <m/>
    <x v="0"/>
  </r>
  <r>
    <s v="PO-00138"/>
    <x v="3"/>
    <d v="2022-06-13T00:00:00"/>
    <d v="2022-06-14T00:00:00"/>
    <s v="Office Supplies"/>
    <s v="Delivered"/>
    <n v="697"/>
    <n v="20.73"/>
    <n v="19.829999999999998"/>
    <n v="78"/>
    <s v="No"/>
    <x v="18"/>
    <m/>
    <x v="0"/>
  </r>
  <r>
    <s v="PO-00139"/>
    <x v="4"/>
    <d v="2023-11-28T00:00:00"/>
    <d v="2023-12-01T00:00:00"/>
    <s v="MRO"/>
    <s v="Delivered"/>
    <n v="1545"/>
    <n v="78.19"/>
    <n v="76.91"/>
    <n v="42"/>
    <s v="Yes"/>
    <x v="12"/>
    <m/>
    <x v="0"/>
  </r>
  <r>
    <s v="PO-00140"/>
    <x v="2"/>
    <d v="2023-03-09T00:00:00"/>
    <d v="2023-03-13T00:00:00"/>
    <s v="MRO"/>
    <s v="Partially Delivered"/>
    <n v="1136"/>
    <n v="60.81"/>
    <n v="58.25"/>
    <n v="62"/>
    <s v="Yes"/>
    <x v="7"/>
    <m/>
    <x v="0"/>
  </r>
  <r>
    <s v="PO-00141"/>
    <x v="3"/>
    <d v="2023-09-03T00:00:00"/>
    <d v="2023-09-07T00:00:00"/>
    <s v="MRO"/>
    <s v="Delivered"/>
    <n v="1212"/>
    <n v="87.46"/>
    <n v="74.55"/>
    <n v="118"/>
    <s v="No"/>
    <x v="7"/>
    <m/>
    <x v="0"/>
  </r>
  <r>
    <s v="PO-00142"/>
    <x v="4"/>
    <d v="2022-03-07T00:00:00"/>
    <d v="2022-03-12T00:00:00"/>
    <s v="MRO"/>
    <s v="Delivered"/>
    <n v="1572"/>
    <n v="57.38"/>
    <n v="49.32"/>
    <n v="40"/>
    <s v="Yes"/>
    <x v="26"/>
    <m/>
    <x v="0"/>
  </r>
  <r>
    <s v="PO-00143"/>
    <x v="2"/>
    <d v="2023-01-30T00:00:00"/>
    <d v="2023-02-09T00:00:00"/>
    <s v="Electronics"/>
    <s v="Delivered"/>
    <n v="642"/>
    <n v="91.9"/>
    <n v="81.489999999999995"/>
    <n v="26"/>
    <s v="Yes"/>
    <x v="1"/>
    <m/>
    <x v="0"/>
  </r>
  <r>
    <s v="PO-00144"/>
    <x v="4"/>
    <d v="2023-01-26T00:00:00"/>
    <d v="2023-02-04T00:00:00"/>
    <s v="Office Supplies"/>
    <s v="Delivered"/>
    <n v="441"/>
    <n v="63.25"/>
    <n v="54.12"/>
    <n v="16"/>
    <s v="Yes"/>
    <x v="16"/>
    <m/>
    <x v="0"/>
  </r>
  <r>
    <s v="PO-00145"/>
    <x v="4"/>
    <d v="2023-09-03T00:00:00"/>
    <d v="2023-09-19T00:00:00"/>
    <s v="Office Supplies"/>
    <s v="Delivered"/>
    <n v="1748"/>
    <n v="66.53"/>
    <n v="57.11"/>
    <m/>
    <s v="Yes"/>
    <x v="14"/>
    <m/>
    <x v="0"/>
  </r>
  <r>
    <s v="PO-00146"/>
    <x v="2"/>
    <d v="2023-04-25T00:00:00"/>
    <m/>
    <s v="Electronics"/>
    <s v="Pending"/>
    <n v="468"/>
    <n v="95.57"/>
    <n v="91.8"/>
    <n v="24"/>
    <s v="Yes"/>
    <x v="38"/>
    <m/>
    <x v="19"/>
  </r>
  <r>
    <s v="PO-00147"/>
    <x v="3"/>
    <d v="2023-06-26T00:00:00"/>
    <d v="2023-07-14T00:00:00"/>
    <s v="Raw Materials"/>
    <s v="Delivered"/>
    <n v="338"/>
    <n v="50.25"/>
    <n v="46.28"/>
    <n v="49"/>
    <s v="No"/>
    <x v="11"/>
    <m/>
    <x v="0"/>
  </r>
  <r>
    <s v="PO-00148"/>
    <x v="2"/>
    <d v="2022-09-15T00:00:00"/>
    <d v="2022-09-22T00:00:00"/>
    <s v="Office Supplies"/>
    <s v="Delivered"/>
    <n v="428"/>
    <n v="22.94"/>
    <n v="21.52"/>
    <n v="26"/>
    <s v="Yes"/>
    <x v="20"/>
    <m/>
    <x v="0"/>
  </r>
  <r>
    <s v="PO-00149"/>
    <x v="3"/>
    <d v="2023-07-21T00:00:00"/>
    <m/>
    <s v="Packaging"/>
    <s v="Delivered"/>
    <n v="1846"/>
    <n v="13.72"/>
    <n v="12.62"/>
    <n v="216"/>
    <s v="Yes"/>
    <x v="39"/>
    <m/>
    <x v="20"/>
  </r>
  <r>
    <s v="PO-00150"/>
    <x v="4"/>
    <d v="2022-01-12T00:00:00"/>
    <d v="2022-01-17T00:00:00"/>
    <s v="Office Supplies"/>
    <s v="Delivered"/>
    <n v="1563"/>
    <n v="77.959999999999994"/>
    <n v="70.8"/>
    <n v="41"/>
    <s v="Yes"/>
    <x v="26"/>
    <m/>
    <x v="0"/>
  </r>
  <r>
    <s v="PO-00151"/>
    <x v="3"/>
    <d v="2023-11-28T00:00:00"/>
    <d v="2023-12-07T00:00:00"/>
    <s v="Office Supplies"/>
    <s v="Delivered"/>
    <n v="280"/>
    <n v="73.069999999999993"/>
    <n v="69.290000000000006"/>
    <n v="30"/>
    <s v="Yes"/>
    <x v="16"/>
    <m/>
    <x v="0"/>
  </r>
  <r>
    <s v="PO-00152"/>
    <x v="1"/>
    <d v="2022-04-28T00:00:00"/>
    <d v="2022-05-12T00:00:00"/>
    <s v="Raw Materials"/>
    <s v="Delivered"/>
    <n v="1067"/>
    <n v="74.47"/>
    <n v="64.16"/>
    <m/>
    <s v="No"/>
    <x v="6"/>
    <m/>
    <x v="0"/>
  </r>
  <r>
    <s v="PO-00153"/>
    <x v="2"/>
    <d v="2023-11-30T00:00:00"/>
    <d v="2023-12-17T00:00:00"/>
    <s v="Electronics"/>
    <s v="Pending"/>
    <n v="90"/>
    <n v="32.380000000000003"/>
    <n v="29.96"/>
    <n v="7"/>
    <s v="Yes"/>
    <x v="9"/>
    <m/>
    <x v="0"/>
  </r>
  <r>
    <s v="PO-00154"/>
    <x v="2"/>
    <d v="2023-07-04T00:00:00"/>
    <d v="2023-07-05T00:00:00"/>
    <s v="Raw Materials"/>
    <s v="Delivered"/>
    <n v="1101"/>
    <n v="24.28"/>
    <n v="22.73"/>
    <n v="59"/>
    <s v="No"/>
    <x v="18"/>
    <m/>
    <x v="0"/>
  </r>
  <r>
    <s v="PO-00155"/>
    <x v="0"/>
    <d v="2022-10-01T00:00:00"/>
    <d v="2022-10-11T00:00:00"/>
    <s v="Raw Materials"/>
    <s v="Delivered"/>
    <n v="184"/>
    <n v="11.82"/>
    <n v="10.51"/>
    <n v="4"/>
    <s v="Yes"/>
    <x v="1"/>
    <m/>
    <x v="0"/>
  </r>
  <r>
    <s v="PO-00156"/>
    <x v="4"/>
    <d v="2023-10-19T00:00:00"/>
    <d v="2023-11-07T00:00:00"/>
    <s v="Electronics"/>
    <s v="Delivered"/>
    <n v="250"/>
    <n v="45.92"/>
    <n v="41.02"/>
    <n v="3"/>
    <s v="Yes"/>
    <x v="3"/>
    <m/>
    <x v="0"/>
  </r>
  <r>
    <s v="PO-00157"/>
    <x v="4"/>
    <d v="2022-12-15T00:00:00"/>
    <m/>
    <s v="Packaging"/>
    <s v="Cancelled"/>
    <n v="1913"/>
    <n v="66.56"/>
    <n v="61.34"/>
    <n v="61"/>
    <s v="Yes"/>
    <x v="40"/>
    <m/>
    <x v="21"/>
  </r>
  <r>
    <s v="PO-00158"/>
    <x v="3"/>
    <d v="2022-04-25T00:00:00"/>
    <d v="2022-04-30T00:00:00"/>
    <s v="Electronics"/>
    <s v="Delivered"/>
    <n v="829"/>
    <n v="45.98"/>
    <n v="40.39"/>
    <m/>
    <s v="Yes"/>
    <x v="26"/>
    <m/>
    <x v="0"/>
  </r>
  <r>
    <s v="PO-00159"/>
    <x v="1"/>
    <d v="2022-10-28T00:00:00"/>
    <d v="2022-11-13T00:00:00"/>
    <s v="Raw Materials"/>
    <s v="Delivered"/>
    <n v="979"/>
    <n v="51.59"/>
    <n v="49.69"/>
    <n v="148"/>
    <s v="Yes"/>
    <x v="14"/>
    <m/>
    <x v="0"/>
  </r>
  <r>
    <s v="PO-00160"/>
    <x v="4"/>
    <d v="2023-03-22T00:00:00"/>
    <d v="2023-04-09T00:00:00"/>
    <s v="Electronics"/>
    <s v="Partially Delivered"/>
    <n v="1106"/>
    <n v="97.77"/>
    <n v="90.45"/>
    <n v="31"/>
    <s v="Yes"/>
    <x v="11"/>
    <m/>
    <x v="0"/>
  </r>
  <r>
    <s v="PO-00161"/>
    <x v="1"/>
    <d v="2022-06-11T00:00:00"/>
    <d v="2022-06-24T00:00:00"/>
    <s v="Office Supplies"/>
    <s v="Pending"/>
    <n v="1121"/>
    <n v="42.38"/>
    <n v="38.340000000000003"/>
    <n v="152"/>
    <s v="Yes"/>
    <x v="13"/>
    <m/>
    <x v="0"/>
  </r>
  <r>
    <s v="PO-00162"/>
    <x v="0"/>
    <d v="2023-04-10T00:00:00"/>
    <d v="2023-04-21T00:00:00"/>
    <s v="Office Supplies"/>
    <s v="Delivered"/>
    <n v="552"/>
    <n v="60.48"/>
    <n v="56.78"/>
    <n v="10"/>
    <s v="Yes"/>
    <x v="5"/>
    <m/>
    <x v="0"/>
  </r>
  <r>
    <s v="PO-00163"/>
    <x v="2"/>
    <d v="2022-01-04T00:00:00"/>
    <d v="2022-01-12T00:00:00"/>
    <s v="Packaging"/>
    <s v="Delivered"/>
    <n v="456"/>
    <n v="80.53"/>
    <n v="77.86"/>
    <n v="26"/>
    <s v="Yes"/>
    <x v="0"/>
    <m/>
    <x v="0"/>
  </r>
  <r>
    <s v="PO-00164"/>
    <x v="1"/>
    <d v="2022-09-27T00:00:00"/>
    <d v="2022-10-05T00:00:00"/>
    <s v="Packaging"/>
    <s v="Delivered"/>
    <n v="1647"/>
    <n v="47.52"/>
    <n v="44.92"/>
    <m/>
    <s v="Yes"/>
    <x v="0"/>
    <m/>
    <x v="0"/>
  </r>
  <r>
    <s v="PO-00165"/>
    <x v="4"/>
    <d v="2023-05-28T00:00:00"/>
    <d v="2023-06-11T00:00:00"/>
    <s v="Electronics"/>
    <s v="Pending"/>
    <n v="1801"/>
    <n v="71.27"/>
    <n v="61.24"/>
    <n v="43"/>
    <s v="Yes"/>
    <x v="6"/>
    <m/>
    <x v="0"/>
  </r>
  <r>
    <s v="PO-00166"/>
    <x v="2"/>
    <d v="2022-07-02T00:00:00"/>
    <d v="2022-07-18T00:00:00"/>
    <s v="Electronics"/>
    <s v="Delivered"/>
    <n v="854"/>
    <n v="90.24"/>
    <n v="85.53"/>
    <m/>
    <s v="Yes"/>
    <x v="14"/>
    <m/>
    <x v="0"/>
  </r>
  <r>
    <s v="PO-00167"/>
    <x v="1"/>
    <d v="2023-06-04T00:00:00"/>
    <d v="2023-06-17T00:00:00"/>
    <s v="Electronics"/>
    <s v="Delivered"/>
    <n v="148"/>
    <n v="103.57"/>
    <n v="98.62"/>
    <n v="23"/>
    <s v="No"/>
    <x v="13"/>
    <m/>
    <x v="0"/>
  </r>
  <r>
    <s v="PO-00168"/>
    <x v="1"/>
    <d v="2022-04-19T00:00:00"/>
    <d v="2022-04-24T00:00:00"/>
    <s v="MRO"/>
    <s v="Delivered"/>
    <n v="733"/>
    <n v="23.59"/>
    <n v="22.85"/>
    <n v="92"/>
    <s v="Yes"/>
    <x v="26"/>
    <m/>
    <x v="0"/>
  </r>
  <r>
    <s v="PO-00169"/>
    <x v="3"/>
    <d v="2023-10-03T00:00:00"/>
    <d v="2023-10-05T00:00:00"/>
    <s v="Raw Materials"/>
    <s v="Delivered"/>
    <n v="1945"/>
    <n v="103.2"/>
    <n v="88.56"/>
    <m/>
    <s v="Yes"/>
    <x v="24"/>
    <m/>
    <x v="0"/>
  </r>
  <r>
    <s v="PO-00170"/>
    <x v="2"/>
    <d v="2022-11-02T00:00:00"/>
    <d v="2022-11-21T00:00:00"/>
    <s v="Raw Materials"/>
    <s v="Delivered"/>
    <n v="775"/>
    <n v="57"/>
    <n v="49.14"/>
    <n v="48"/>
    <s v="Yes"/>
    <x v="3"/>
    <m/>
    <x v="0"/>
  </r>
  <r>
    <s v="PO-00171"/>
    <x v="1"/>
    <d v="2023-10-17T00:00:00"/>
    <d v="2023-10-21T00:00:00"/>
    <s v="Packaging"/>
    <s v="Delivered"/>
    <n v="1620"/>
    <n v="36.729999999999997"/>
    <n v="33.450000000000003"/>
    <n v="235"/>
    <s v="No"/>
    <x v="7"/>
    <m/>
    <x v="0"/>
  </r>
  <r>
    <s v="PO-00172"/>
    <x v="3"/>
    <d v="2023-06-04T00:00:00"/>
    <d v="2023-06-19T00:00:00"/>
    <s v="Office Supplies"/>
    <s v="Delivered"/>
    <n v="1010"/>
    <n v="55.68"/>
    <n v="50.86"/>
    <m/>
    <s v="Yes"/>
    <x v="8"/>
    <m/>
    <x v="0"/>
  </r>
  <r>
    <s v="PO-00173"/>
    <x v="4"/>
    <d v="2023-09-16T00:00:00"/>
    <d v="2023-10-01T00:00:00"/>
    <s v="Office Supplies"/>
    <s v="Delivered"/>
    <n v="1812"/>
    <n v="108.02"/>
    <n v="101.02"/>
    <n v="51"/>
    <s v="Yes"/>
    <x v="8"/>
    <m/>
    <x v="0"/>
  </r>
  <r>
    <s v="PO-00174"/>
    <x v="1"/>
    <d v="2022-07-23T00:00:00"/>
    <d v="2022-07-28T00:00:00"/>
    <s v="Office Supplies"/>
    <s v="Delivered"/>
    <n v="662"/>
    <n v="55.97"/>
    <n v="50"/>
    <n v="100"/>
    <s v="Yes"/>
    <x v="26"/>
    <m/>
    <x v="0"/>
  </r>
  <r>
    <s v="PO-00175"/>
    <x v="3"/>
    <d v="2022-06-06T00:00:00"/>
    <d v="2022-06-11T00:00:00"/>
    <s v="Office Supplies"/>
    <s v="Pending"/>
    <n v="1535"/>
    <n v="40.58"/>
    <n v="38.71"/>
    <n v="165"/>
    <s v="Yes"/>
    <x v="26"/>
    <m/>
    <x v="0"/>
  </r>
  <r>
    <s v="PO-00176"/>
    <x v="3"/>
    <d v="2023-01-18T00:00:00"/>
    <d v="2023-01-27T00:00:00"/>
    <s v="Raw Materials"/>
    <s v="Delivered"/>
    <n v="692"/>
    <n v="71.03"/>
    <n v="67.739999999999995"/>
    <n v="70"/>
    <s v="Yes"/>
    <x v="16"/>
    <m/>
    <x v="0"/>
  </r>
  <r>
    <s v="PO-00177"/>
    <x v="2"/>
    <d v="2022-06-15T00:00:00"/>
    <d v="2022-06-28T00:00:00"/>
    <s v="MRO"/>
    <s v="Delivered"/>
    <n v="1842"/>
    <n v="32.4"/>
    <n v="28.08"/>
    <n v="96"/>
    <s v="Yes"/>
    <x v="13"/>
    <m/>
    <x v="0"/>
  </r>
  <r>
    <s v="PO-00178"/>
    <x v="3"/>
    <d v="2023-07-07T00:00:00"/>
    <d v="2023-07-18T00:00:00"/>
    <s v="Office Supplies"/>
    <s v="Cancelled"/>
    <n v="1078"/>
    <n v="18.34"/>
    <n v="17.41"/>
    <n v="102"/>
    <s v="Yes"/>
    <x v="5"/>
    <m/>
    <x v="0"/>
  </r>
  <r>
    <s v="PO-00179"/>
    <x v="1"/>
    <d v="2023-06-28T00:00:00"/>
    <d v="2023-07-16T00:00:00"/>
    <s v="Packaging"/>
    <s v="Delivered"/>
    <n v="1291"/>
    <n v="23.44"/>
    <n v="22.23"/>
    <m/>
    <s v="Yes"/>
    <x v="11"/>
    <m/>
    <x v="0"/>
  </r>
  <r>
    <s v="PO-00180"/>
    <x v="0"/>
    <d v="2022-01-01T00:00:00"/>
    <d v="2022-01-12T00:00:00"/>
    <s v="Electronics"/>
    <s v="Delivered"/>
    <n v="552"/>
    <n v="21.52"/>
    <n v="18.79"/>
    <n v="13"/>
    <s v="Yes"/>
    <x v="5"/>
    <m/>
    <x v="0"/>
  </r>
  <r>
    <s v="PO-00181"/>
    <x v="4"/>
    <d v="2023-09-06T00:00:00"/>
    <d v="2023-09-22T00:00:00"/>
    <s v="Electronics"/>
    <s v="Delivered"/>
    <n v="816"/>
    <n v="26.04"/>
    <n v="25.61"/>
    <n v="28"/>
    <s v="Yes"/>
    <x v="14"/>
    <m/>
    <x v="0"/>
  </r>
  <r>
    <s v="PO-00182"/>
    <x v="1"/>
    <d v="2022-11-28T00:00:00"/>
    <d v="2022-11-30T00:00:00"/>
    <s v="Packaging"/>
    <s v="Delivered"/>
    <n v="447"/>
    <n v="23.62"/>
    <n v="21.81"/>
    <n v="50"/>
    <s v="Yes"/>
    <x v="24"/>
    <m/>
    <x v="0"/>
  </r>
  <r>
    <s v="PO-00183"/>
    <x v="1"/>
    <d v="2023-05-16T00:00:00"/>
    <d v="2023-05-24T00:00:00"/>
    <s v="Packaging"/>
    <s v="Partially Delivered"/>
    <n v="920"/>
    <n v="73.09"/>
    <n v="70.14"/>
    <m/>
    <s v="Yes"/>
    <x v="0"/>
    <m/>
    <x v="0"/>
  </r>
  <r>
    <s v="PO-00184"/>
    <x v="4"/>
    <d v="2022-01-20T00:00:00"/>
    <d v="2022-01-30T00:00:00"/>
    <s v="Packaging"/>
    <s v="Partially Delivered"/>
    <n v="844"/>
    <n v="26.37"/>
    <n v="25.08"/>
    <n v="38"/>
    <s v="Yes"/>
    <x v="1"/>
    <m/>
    <x v="0"/>
  </r>
  <r>
    <s v="PO-00185"/>
    <x v="4"/>
    <d v="2022-04-25T00:00:00"/>
    <m/>
    <s v="MRO"/>
    <s v="Delivered"/>
    <n v="442"/>
    <n v="41.73"/>
    <n v="36.450000000000003"/>
    <n v="15"/>
    <s v="Yes"/>
    <x v="41"/>
    <m/>
    <x v="22"/>
  </r>
  <r>
    <s v="PO-00186"/>
    <x v="3"/>
    <d v="2023-01-07T00:00:00"/>
    <d v="2023-01-21T00:00:00"/>
    <s v="Electronics"/>
    <s v="Cancelled"/>
    <n v="256"/>
    <n v="96.15"/>
    <n v="83.44"/>
    <n v="26"/>
    <s v="Yes"/>
    <x v="6"/>
    <m/>
    <x v="0"/>
  </r>
  <r>
    <s v="PO-00187"/>
    <x v="1"/>
    <d v="2022-11-11T00:00:00"/>
    <m/>
    <s v="MRO"/>
    <s v="Partially Delivered"/>
    <n v="1088"/>
    <n v="55.29"/>
    <n v="53.04"/>
    <n v="161"/>
    <s v="No"/>
    <x v="42"/>
    <m/>
    <x v="23"/>
  </r>
  <r>
    <s v="PO-00188"/>
    <x v="3"/>
    <d v="2022-09-03T00:00:00"/>
    <d v="2022-09-07T00:00:00"/>
    <s v="Office Supplies"/>
    <s v="Delivered"/>
    <n v="1931"/>
    <n v="72.88"/>
    <n v="64.69"/>
    <n v="187"/>
    <s v="Yes"/>
    <x v="7"/>
    <m/>
    <x v="0"/>
  </r>
  <r>
    <s v="PO-00189"/>
    <x v="2"/>
    <d v="2022-03-01T00:00:00"/>
    <d v="2022-03-11T00:00:00"/>
    <s v="Electronics"/>
    <s v="Delivered"/>
    <n v="1627"/>
    <n v="25.76"/>
    <n v="25.09"/>
    <n v="74"/>
    <s v="Yes"/>
    <x v="1"/>
    <m/>
    <x v="0"/>
  </r>
  <r>
    <s v="PO-00190"/>
    <x v="3"/>
    <d v="2022-09-04T00:00:00"/>
    <m/>
    <s v="Packaging"/>
    <s v="Delivered"/>
    <n v="941"/>
    <n v="28.4"/>
    <n v="27.21"/>
    <m/>
    <s v="No"/>
    <x v="43"/>
    <m/>
    <x v="24"/>
  </r>
  <r>
    <s v="PO-00191"/>
    <x v="2"/>
    <d v="2023-08-04T00:00:00"/>
    <d v="2023-08-06T00:00:00"/>
    <s v="MRO"/>
    <s v="Delivered"/>
    <n v="1534"/>
    <n v="14.98"/>
    <n v="12.79"/>
    <m/>
    <s v="Yes"/>
    <x v="24"/>
    <m/>
    <x v="0"/>
  </r>
  <r>
    <s v="PO-00192"/>
    <x v="0"/>
    <d v="2022-03-22T00:00:00"/>
    <d v="2022-04-03T00:00:00"/>
    <s v="Raw Materials"/>
    <s v="Delivered"/>
    <n v="1764"/>
    <n v="25.46"/>
    <n v="24.52"/>
    <n v="46"/>
    <s v="Yes"/>
    <x v="4"/>
    <m/>
    <x v="0"/>
  </r>
  <r>
    <s v="PO-00193"/>
    <x v="1"/>
    <d v="2022-03-29T00:00:00"/>
    <d v="2022-04-06T00:00:00"/>
    <s v="Electronics"/>
    <s v="Delivered"/>
    <n v="1648"/>
    <n v="35.42"/>
    <n v="31.46"/>
    <m/>
    <s v="No"/>
    <x v="0"/>
    <m/>
    <x v="0"/>
  </r>
  <r>
    <s v="PO-00194"/>
    <x v="2"/>
    <d v="2023-05-13T00:00:00"/>
    <d v="2023-06-01T00:00:00"/>
    <s v="Packaging"/>
    <s v="Delivered"/>
    <n v="913"/>
    <n v="28.01"/>
    <n v="24.06"/>
    <n v="53"/>
    <s v="Yes"/>
    <x v="3"/>
    <m/>
    <x v="0"/>
  </r>
  <r>
    <s v="PO-00195"/>
    <x v="0"/>
    <d v="2022-03-12T00:00:00"/>
    <d v="2022-03-18T00:00:00"/>
    <s v="Packaging"/>
    <s v="Cancelled"/>
    <n v="792"/>
    <n v="18.16"/>
    <n v="17.25"/>
    <n v="17"/>
    <s v="Yes"/>
    <x v="15"/>
    <m/>
    <x v="0"/>
  </r>
  <r>
    <s v="PO-00196"/>
    <x v="4"/>
    <d v="2023-06-30T00:00:00"/>
    <d v="2023-07-03T00:00:00"/>
    <s v="Office Supplies"/>
    <s v="Partially Delivered"/>
    <n v="1314"/>
    <n v="22.63"/>
    <n v="21.06"/>
    <n v="44"/>
    <s v="Yes"/>
    <x v="12"/>
    <m/>
    <x v="0"/>
  </r>
  <r>
    <s v="PO-00197"/>
    <x v="3"/>
    <d v="2022-05-09T00:00:00"/>
    <d v="2022-05-22T00:00:00"/>
    <s v="MRO"/>
    <s v="Delivered"/>
    <n v="613"/>
    <n v="52.5"/>
    <n v="45.19"/>
    <n v="70"/>
    <s v="Yes"/>
    <x v="13"/>
    <m/>
    <x v="0"/>
  </r>
  <r>
    <s v="PO-00198"/>
    <x v="0"/>
    <d v="2022-05-12T00:00:00"/>
    <d v="2022-05-20T00:00:00"/>
    <s v="Office Supplies"/>
    <s v="Delivered"/>
    <n v="1070"/>
    <n v="29.14"/>
    <n v="26.63"/>
    <n v="24"/>
    <s v="Yes"/>
    <x v="0"/>
    <m/>
    <x v="0"/>
  </r>
  <r>
    <s v="PO-00199"/>
    <x v="2"/>
    <d v="2023-11-07T00:00:00"/>
    <d v="2023-11-26T00:00:00"/>
    <s v="Raw Materials"/>
    <s v="Partially Delivered"/>
    <n v="145"/>
    <n v="47.49"/>
    <n v="42.76"/>
    <n v="6"/>
    <s v="Yes"/>
    <x v="3"/>
    <m/>
    <x v="0"/>
  </r>
  <r>
    <s v="PO-00200"/>
    <x v="1"/>
    <d v="2023-05-02T00:00:00"/>
    <d v="2023-05-17T00:00:00"/>
    <s v="Raw Materials"/>
    <s v="Delivered"/>
    <n v="1973"/>
    <n v="59.73"/>
    <n v="54.95"/>
    <n v="291"/>
    <s v="Yes"/>
    <x v="8"/>
    <m/>
    <x v="0"/>
  </r>
  <r>
    <s v="PO-00201"/>
    <x v="4"/>
    <d v="2023-07-17T00:00:00"/>
    <d v="2023-08-01T00:00:00"/>
    <s v="Office Supplies"/>
    <s v="Delivered"/>
    <n v="1807"/>
    <n v="78.63"/>
    <n v="73.08"/>
    <n v="100"/>
    <s v="Yes"/>
    <x v="8"/>
    <m/>
    <x v="0"/>
  </r>
  <r>
    <s v="PO-00202"/>
    <x v="4"/>
    <d v="2022-06-19T00:00:00"/>
    <d v="2022-06-20T00:00:00"/>
    <s v="Electronics"/>
    <s v="Delivered"/>
    <n v="534"/>
    <n v="13.88"/>
    <n v="12.51"/>
    <n v="100"/>
    <s v="Yes"/>
    <x v="18"/>
    <m/>
    <x v="0"/>
  </r>
  <r>
    <s v="PO-00203"/>
    <x v="0"/>
    <d v="2022-09-29T00:00:00"/>
    <d v="2022-10-14T00:00:00"/>
    <s v="Electronics"/>
    <s v="Delivered"/>
    <n v="1480"/>
    <n v="85.22"/>
    <n v="75.48"/>
    <n v="100"/>
    <s v="Yes"/>
    <x v="8"/>
    <m/>
    <x v="0"/>
  </r>
  <r>
    <s v="PO-00204"/>
    <x v="0"/>
    <d v="2023-06-25T00:00:00"/>
    <m/>
    <s v="Office Supplies"/>
    <s v="Delivered"/>
    <n v="280"/>
    <n v="72.16"/>
    <n v="62.38"/>
    <n v="100"/>
    <s v="Yes"/>
    <x v="44"/>
    <m/>
    <x v="25"/>
  </r>
  <r>
    <s v="PO-00205"/>
    <x v="3"/>
    <d v="2023-09-14T00:00:00"/>
    <d v="2023-09-20T00:00:00"/>
    <s v="Office Supplies"/>
    <s v="Cancelled"/>
    <n v="798"/>
    <n v="19.09"/>
    <n v="17.760000000000002"/>
    <n v="100"/>
    <s v="Yes"/>
    <x v="15"/>
    <m/>
    <x v="0"/>
  </r>
  <r>
    <s v="PO-00206"/>
    <x v="4"/>
    <d v="2023-03-10T00:00:00"/>
    <d v="2023-03-22T00:00:00"/>
    <s v="Electronics"/>
    <s v="Delivered"/>
    <n v="1728"/>
    <n v="94.83"/>
    <n v="90.2"/>
    <n v="100"/>
    <s v="Yes"/>
    <x v="4"/>
    <m/>
    <x v="0"/>
  </r>
  <r>
    <s v="PO-00207"/>
    <x v="4"/>
    <d v="2022-08-05T00:00:00"/>
    <m/>
    <s v="MRO"/>
    <s v="Delivered"/>
    <n v="1244"/>
    <n v="96.13"/>
    <n v="84.78"/>
    <n v="43"/>
    <s v="Yes"/>
    <x v="45"/>
    <m/>
    <x v="26"/>
  </r>
  <r>
    <s v="PO-00208"/>
    <x v="3"/>
    <d v="2023-07-07T00:00:00"/>
    <d v="2023-07-21T00:00:00"/>
    <s v="Office Supplies"/>
    <s v="Delivered"/>
    <n v="590"/>
    <n v="16.89"/>
    <n v="15.56"/>
    <n v="46"/>
    <s v="No"/>
    <x v="6"/>
    <m/>
    <x v="0"/>
  </r>
  <r>
    <s v="PO-00209"/>
    <x v="1"/>
    <d v="2023-12-08T00:00:00"/>
    <d v="2023-12-23T00:00:00"/>
    <s v="Packaging"/>
    <s v="Delivered"/>
    <n v="1109"/>
    <n v="38.93"/>
    <n v="33.33"/>
    <n v="152"/>
    <s v="Yes"/>
    <x v="8"/>
    <m/>
    <x v="0"/>
  </r>
  <r>
    <s v="PO-00210"/>
    <x v="3"/>
    <d v="2022-07-25T00:00:00"/>
    <d v="2022-08-01T00:00:00"/>
    <s v="MRO"/>
    <s v="Delivered"/>
    <n v="574"/>
    <n v="85.03"/>
    <n v="82.55"/>
    <n v="54"/>
    <s v="Yes"/>
    <x v="20"/>
    <m/>
    <x v="0"/>
  </r>
  <r>
    <s v="PO-00211"/>
    <x v="2"/>
    <d v="2024-01-01T00:00:00"/>
    <m/>
    <s v="Office Supplies"/>
    <s v="Delivered"/>
    <n v="1233"/>
    <n v="86.62"/>
    <n v="76.59"/>
    <n v="65"/>
    <s v="Yes"/>
    <x v="46"/>
    <m/>
    <x v="27"/>
  </r>
  <r>
    <s v="PO-00212"/>
    <x v="2"/>
    <d v="2022-11-16T00:00:00"/>
    <d v="2022-11-20T00:00:00"/>
    <s v="Packaging"/>
    <s v="Delivered"/>
    <n v="1912"/>
    <n v="27.94"/>
    <n v="25.59"/>
    <n v="83"/>
    <s v="No"/>
    <x v="7"/>
    <m/>
    <x v="0"/>
  </r>
  <r>
    <s v="PO-00213"/>
    <x v="0"/>
    <d v="2023-02-13T00:00:00"/>
    <d v="2023-03-04T00:00:00"/>
    <s v="Packaging"/>
    <s v="Delivered"/>
    <n v="1772"/>
    <n v="30.72"/>
    <n v="27.76"/>
    <n v="46"/>
    <s v="No"/>
    <x v="3"/>
    <m/>
    <x v="0"/>
  </r>
  <r>
    <s v="PO-00214"/>
    <x v="3"/>
    <d v="2023-11-19T00:00:00"/>
    <d v="2023-11-29T00:00:00"/>
    <s v="Office Supplies"/>
    <s v="Delivered"/>
    <n v="1316"/>
    <n v="48.11"/>
    <n v="41.9"/>
    <n v="135"/>
    <s v="Yes"/>
    <x v="1"/>
    <m/>
    <x v="0"/>
  </r>
  <r>
    <s v="PO-00215"/>
    <x v="3"/>
    <d v="2023-10-28T00:00:00"/>
    <m/>
    <s v="Office Supplies"/>
    <s v="Delivered"/>
    <n v="1159"/>
    <n v="59.24"/>
    <n v="58.08"/>
    <m/>
    <s v="Yes"/>
    <x v="47"/>
    <m/>
    <x v="28"/>
  </r>
  <r>
    <s v="PO-00216"/>
    <x v="0"/>
    <d v="2023-01-18T00:00:00"/>
    <d v="2023-01-31T00:00:00"/>
    <s v="Office Supplies"/>
    <s v="Delivered"/>
    <n v="1869"/>
    <n v="69.58"/>
    <n v="67.5"/>
    <n v="31"/>
    <s v="Yes"/>
    <x v="13"/>
    <m/>
    <x v="0"/>
  </r>
  <r>
    <s v="PO-00217"/>
    <x v="1"/>
    <d v="2023-03-25T00:00:00"/>
    <d v="2023-04-13T00:00:00"/>
    <s v="Packaging"/>
    <s v="Delivered"/>
    <n v="627"/>
    <n v="46.23"/>
    <n v="42.87"/>
    <m/>
    <s v="Yes"/>
    <x v="3"/>
    <m/>
    <x v="0"/>
  </r>
  <r>
    <s v="PO-00218"/>
    <x v="3"/>
    <d v="2023-06-14T00:00:00"/>
    <d v="2023-06-16T00:00:00"/>
    <s v="Raw Materials"/>
    <s v="Pending"/>
    <n v="731"/>
    <n v="56.02"/>
    <n v="54.78"/>
    <n v="70"/>
    <s v="No"/>
    <x v="24"/>
    <m/>
    <x v="0"/>
  </r>
  <r>
    <s v="PO-00219"/>
    <x v="4"/>
    <d v="2023-04-08T00:00:00"/>
    <m/>
    <s v="Office Supplies"/>
    <s v="Cancelled"/>
    <n v="606"/>
    <n v="83.07"/>
    <n v="79.22"/>
    <n v="16"/>
    <s v="Yes"/>
    <x v="48"/>
    <m/>
    <x v="29"/>
  </r>
  <r>
    <s v="PO-00220"/>
    <x v="3"/>
    <d v="2022-05-04T00:00:00"/>
    <d v="2022-05-14T00:00:00"/>
    <s v="Office Supplies"/>
    <s v="Delivered"/>
    <n v="1647"/>
    <n v="13.57"/>
    <n v="12.33"/>
    <n v="157"/>
    <s v="Yes"/>
    <x v="1"/>
    <m/>
    <x v="0"/>
  </r>
  <r>
    <s v="PO-00221"/>
    <x v="1"/>
    <d v="2022-09-11T00:00:00"/>
    <d v="2022-09-19T00:00:00"/>
    <s v="MRO"/>
    <s v="Delivered"/>
    <n v="1062"/>
    <n v="34.03"/>
    <n v="30.46"/>
    <m/>
    <s v="Yes"/>
    <x v="0"/>
    <m/>
    <x v="0"/>
  </r>
  <r>
    <s v="PO-00222"/>
    <x v="3"/>
    <d v="2022-08-19T00:00:00"/>
    <d v="2022-08-31T00:00:00"/>
    <s v="Office Supplies"/>
    <s v="Delivered"/>
    <n v="695"/>
    <n v="76.8"/>
    <n v="69.760000000000005"/>
    <m/>
    <s v="No"/>
    <x v="4"/>
    <m/>
    <x v="0"/>
  </r>
  <r>
    <s v="PO-00223"/>
    <x v="4"/>
    <d v="2022-03-07T00:00:00"/>
    <d v="2022-03-14T00:00:00"/>
    <s v="MRO"/>
    <s v="Delivered"/>
    <n v="845"/>
    <n v="91.47"/>
    <n v="86.97"/>
    <m/>
    <s v="Yes"/>
    <x v="20"/>
    <m/>
    <x v="0"/>
  </r>
  <r>
    <s v="PO-00224"/>
    <x v="2"/>
    <d v="2022-12-13T00:00:00"/>
    <d v="2022-12-18T00:00:00"/>
    <s v="MRO"/>
    <s v="Delivered"/>
    <n v="1101"/>
    <n v="59.13"/>
    <n v="52.51"/>
    <n v="54"/>
    <s v="Yes"/>
    <x v="26"/>
    <m/>
    <x v="0"/>
  </r>
  <r>
    <s v="PO-00225"/>
    <x v="2"/>
    <d v="2022-01-22T00:00:00"/>
    <d v="2022-01-24T00:00:00"/>
    <s v="Raw Materials"/>
    <s v="Delivered"/>
    <n v="1693"/>
    <n v="57.89"/>
    <n v="49.84"/>
    <n v="88"/>
    <s v="Yes"/>
    <x v="24"/>
    <m/>
    <x v="0"/>
  </r>
  <r>
    <s v="PO-00226"/>
    <x v="1"/>
    <d v="2023-08-26T00:00:00"/>
    <d v="2023-09-10T00:00:00"/>
    <s v="Office Supplies"/>
    <s v="Cancelled"/>
    <n v="1629"/>
    <n v="21.51"/>
    <n v="19.41"/>
    <n v="250"/>
    <s v="No"/>
    <x v="8"/>
    <m/>
    <x v="0"/>
  </r>
  <r>
    <s v="PO-00227"/>
    <x v="1"/>
    <d v="2023-07-22T00:00:00"/>
    <d v="2023-08-03T00:00:00"/>
    <s v="Raw Materials"/>
    <s v="Delivered"/>
    <n v="1413"/>
    <n v="54.79"/>
    <n v="50.42"/>
    <m/>
    <s v="Yes"/>
    <x v="4"/>
    <m/>
    <x v="0"/>
  </r>
  <r>
    <s v="PO-00228"/>
    <x v="4"/>
    <d v="2022-08-24T00:00:00"/>
    <d v="2022-08-27T00:00:00"/>
    <s v="Packaging"/>
    <s v="Delivered"/>
    <n v="1871"/>
    <n v="59.96"/>
    <n v="58.54"/>
    <n v="47"/>
    <s v="Yes"/>
    <x v="12"/>
    <m/>
    <x v="0"/>
  </r>
  <r>
    <s v="PO-00229"/>
    <x v="2"/>
    <d v="2023-08-26T00:00:00"/>
    <m/>
    <s v="Raw Materials"/>
    <s v="Delivered"/>
    <n v="1404"/>
    <n v="34.85"/>
    <n v="30.5"/>
    <n v="78"/>
    <s v="Yes"/>
    <x v="49"/>
    <m/>
    <x v="30"/>
  </r>
  <r>
    <s v="PO-00230"/>
    <x v="2"/>
    <d v="2022-08-14T00:00:00"/>
    <d v="2022-08-28T00:00:00"/>
    <s v="Electronics"/>
    <s v="Delivered"/>
    <n v="1713"/>
    <n v="35.43"/>
    <n v="34.11"/>
    <n v="74"/>
    <s v="Yes"/>
    <x v="6"/>
    <m/>
    <x v="0"/>
  </r>
  <r>
    <s v="PO-00231"/>
    <x v="2"/>
    <d v="2022-01-08T00:00:00"/>
    <d v="2022-01-13T00:00:00"/>
    <s v="Electronics"/>
    <s v="Delivered"/>
    <n v="1579"/>
    <n v="43.96"/>
    <n v="43.41"/>
    <n v="74"/>
    <s v="Yes"/>
    <x v="26"/>
    <m/>
    <x v="0"/>
  </r>
  <r>
    <s v="PO-00232"/>
    <x v="2"/>
    <d v="2022-03-14T00:00:00"/>
    <d v="2022-03-26T00:00:00"/>
    <s v="Electronics"/>
    <s v="Delivered"/>
    <n v="1421"/>
    <n v="11.92"/>
    <n v="11.72"/>
    <n v="76"/>
    <s v="Yes"/>
    <x v="4"/>
    <m/>
    <x v="0"/>
  </r>
  <r>
    <s v="PO-00233"/>
    <x v="4"/>
    <d v="2023-12-26T00:00:00"/>
    <d v="2024-01-04T00:00:00"/>
    <s v="MRO"/>
    <s v="Delivered"/>
    <n v="1546"/>
    <n v="43.47"/>
    <n v="37.369999999999997"/>
    <n v="53"/>
    <s v="Yes"/>
    <x v="16"/>
    <m/>
    <x v="0"/>
  </r>
  <r>
    <s v="PO-00234"/>
    <x v="1"/>
    <d v="2023-10-09T00:00:00"/>
    <d v="2023-10-18T00:00:00"/>
    <s v="Electronics"/>
    <s v="Delivered"/>
    <n v="1304"/>
    <n v="32.08"/>
    <n v="29.36"/>
    <m/>
    <s v="Yes"/>
    <x v="16"/>
    <m/>
    <x v="0"/>
  </r>
  <r>
    <s v="PO-00235"/>
    <x v="1"/>
    <d v="2022-03-02T00:00:00"/>
    <m/>
    <s v="Raw Materials"/>
    <s v="Delivered"/>
    <n v="239"/>
    <n v="39.869999999999997"/>
    <n v="35.47"/>
    <n v="32"/>
    <s v="Yes"/>
    <x v="50"/>
    <m/>
    <x v="31"/>
  </r>
  <r>
    <s v="PO-00236"/>
    <x v="0"/>
    <d v="2022-08-23T00:00:00"/>
    <m/>
    <s v="Office Supplies"/>
    <s v="Delivered"/>
    <n v="1298"/>
    <n v="21.51"/>
    <n v="20.83"/>
    <m/>
    <s v="Yes"/>
    <x v="34"/>
    <m/>
    <x v="15"/>
  </r>
  <r>
    <s v="PO-00237"/>
    <x v="1"/>
    <d v="2022-03-11T00:00:00"/>
    <m/>
    <s v="MRO"/>
    <s v="Delivered"/>
    <n v="1458"/>
    <n v="91.05"/>
    <n v="81.56"/>
    <n v="220"/>
    <s v="Yes"/>
    <x v="51"/>
    <m/>
    <x v="32"/>
  </r>
  <r>
    <s v="PO-00238"/>
    <x v="2"/>
    <d v="2022-02-02T00:00:00"/>
    <d v="2022-02-13T00:00:00"/>
    <s v="MRO"/>
    <s v="Delivered"/>
    <n v="1450"/>
    <n v="63.74"/>
    <n v="59.11"/>
    <n v="71"/>
    <s v="Yes"/>
    <x v="5"/>
    <m/>
    <x v="0"/>
  </r>
  <r>
    <s v="PO-00239"/>
    <x v="3"/>
    <d v="2022-12-05T00:00:00"/>
    <d v="2022-12-20T00:00:00"/>
    <s v="Electronics"/>
    <s v="Delivered"/>
    <n v="1356"/>
    <n v="75.03"/>
    <n v="63.86"/>
    <n v="131"/>
    <s v="Yes"/>
    <x v="8"/>
    <m/>
    <x v="0"/>
  </r>
  <r>
    <s v="PO-00240"/>
    <x v="2"/>
    <d v="2022-03-14T00:00:00"/>
    <m/>
    <s v="Packaging"/>
    <s v="Delivered"/>
    <n v="682"/>
    <n v="81.84"/>
    <n v="71.86"/>
    <n v="40"/>
    <s v="Yes"/>
    <x v="52"/>
    <m/>
    <x v="33"/>
  </r>
  <r>
    <s v="PO-00241"/>
    <x v="2"/>
    <d v="2023-06-11T00:00:00"/>
    <d v="2023-06-19T00:00:00"/>
    <s v="Packaging"/>
    <s v="Delivered"/>
    <n v="677"/>
    <n v="59.52"/>
    <n v="55.29"/>
    <n v="39"/>
    <s v="Yes"/>
    <x v="0"/>
    <m/>
    <x v="0"/>
  </r>
  <r>
    <s v="PO-00242"/>
    <x v="1"/>
    <d v="2022-09-01T00:00:00"/>
    <d v="2022-09-14T00:00:00"/>
    <s v="Office Supplies"/>
    <s v="Delivered"/>
    <n v="1022"/>
    <n v="18.54"/>
    <n v="16.55"/>
    <n v="150"/>
    <s v="Yes"/>
    <x v="13"/>
    <m/>
    <x v="0"/>
  </r>
  <r>
    <s v="PO-00243"/>
    <x v="0"/>
    <d v="2022-10-13T00:00:00"/>
    <m/>
    <s v="Raw Materials"/>
    <s v="Delivered"/>
    <n v="1818"/>
    <n v="60.96"/>
    <n v="57.13"/>
    <n v="41"/>
    <s v="Yes"/>
    <x v="53"/>
    <m/>
    <x v="34"/>
  </r>
  <r>
    <s v="PO-00244"/>
    <x v="4"/>
    <d v="2023-11-17T00:00:00"/>
    <d v="2023-11-29T00:00:00"/>
    <s v="Electronics"/>
    <s v="Delivered"/>
    <n v="1332"/>
    <n v="69.73"/>
    <n v="63.8"/>
    <n v="41"/>
    <s v="Yes"/>
    <x v="4"/>
    <m/>
    <x v="0"/>
  </r>
  <r>
    <s v="PO-00245"/>
    <x v="3"/>
    <d v="2023-05-13T00:00:00"/>
    <d v="2023-05-26T00:00:00"/>
    <s v="Raw Materials"/>
    <s v="Delivered"/>
    <n v="1432"/>
    <n v="83.26"/>
    <n v="77.67"/>
    <n v="174"/>
    <s v="Yes"/>
    <x v="13"/>
    <m/>
    <x v="0"/>
  </r>
  <r>
    <s v="PO-00246"/>
    <x v="3"/>
    <d v="2022-08-08T00:00:00"/>
    <d v="2022-08-26T00:00:00"/>
    <s v="Packaging"/>
    <s v="Pending"/>
    <n v="759"/>
    <n v="50.56"/>
    <n v="46.47"/>
    <n v="63"/>
    <s v="No"/>
    <x v="11"/>
    <m/>
    <x v="0"/>
  </r>
  <r>
    <s v="PO-00247"/>
    <x v="0"/>
    <d v="2023-07-07T00:00:00"/>
    <d v="2023-07-19T00:00:00"/>
    <s v="Packaging"/>
    <s v="Delivered"/>
    <n v="1529"/>
    <n v="23.42"/>
    <n v="22.44"/>
    <n v="30"/>
    <s v="Yes"/>
    <x v="4"/>
    <m/>
    <x v="0"/>
  </r>
  <r>
    <s v="PO-00248"/>
    <x v="2"/>
    <d v="2022-05-16T00:00:00"/>
    <d v="2022-05-25T00:00:00"/>
    <s v="Electronics"/>
    <s v="Delivered"/>
    <n v="1484"/>
    <n v="36.25"/>
    <n v="31.8"/>
    <n v="61"/>
    <s v="Yes"/>
    <x v="16"/>
    <m/>
    <x v="0"/>
  </r>
  <r>
    <s v="PO-00249"/>
    <x v="4"/>
    <d v="2023-08-08T00:00:00"/>
    <d v="2023-08-20T00:00:00"/>
    <s v="Packaging"/>
    <s v="Delivered"/>
    <n v="698"/>
    <n v="46.73"/>
    <n v="45.61"/>
    <n v="15"/>
    <s v="Yes"/>
    <x v="4"/>
    <m/>
    <x v="0"/>
  </r>
  <r>
    <s v="PO-00250"/>
    <x v="4"/>
    <d v="2023-08-14T00:00:00"/>
    <d v="2023-08-22T00:00:00"/>
    <s v="Packaging"/>
    <s v="Pending"/>
    <n v="367"/>
    <n v="74.61"/>
    <n v="71.36"/>
    <n v="13"/>
    <s v="Yes"/>
    <x v="0"/>
    <m/>
    <x v="0"/>
  </r>
  <r>
    <s v="PO-00251"/>
    <x v="4"/>
    <d v="2023-04-30T00:00:00"/>
    <d v="2023-05-20T00:00:00"/>
    <s v="Office Supplies"/>
    <s v="Partially Delivered"/>
    <n v="1750"/>
    <n v="65.97"/>
    <n v="58.34"/>
    <n v="50"/>
    <s v="Yes"/>
    <x v="2"/>
    <m/>
    <x v="0"/>
  </r>
  <r>
    <s v="PO-00252"/>
    <x v="1"/>
    <d v="2022-09-06T00:00:00"/>
    <d v="2022-09-24T00:00:00"/>
    <s v="Office Supplies"/>
    <s v="Partially Delivered"/>
    <n v="1298"/>
    <n v="43.73"/>
    <n v="37.21"/>
    <m/>
    <s v="No"/>
    <x v="11"/>
    <m/>
    <x v="0"/>
  </r>
  <r>
    <s v="PO-00253"/>
    <x v="2"/>
    <d v="2023-04-30T00:00:00"/>
    <d v="2023-05-20T00:00:00"/>
    <s v="Packaging"/>
    <s v="Delivered"/>
    <n v="1892"/>
    <n v="106.2"/>
    <n v="96.37"/>
    <n v="93"/>
    <s v="Yes"/>
    <x v="2"/>
    <m/>
    <x v="0"/>
  </r>
  <r>
    <s v="PO-00254"/>
    <x v="3"/>
    <d v="2023-02-21T00:00:00"/>
    <d v="2023-02-24T00:00:00"/>
    <s v="Electronics"/>
    <s v="Delivered"/>
    <n v="1307"/>
    <n v="68.709999999999994"/>
    <n v="60.64"/>
    <n v="141"/>
    <s v="Yes"/>
    <x v="12"/>
    <m/>
    <x v="0"/>
  </r>
  <r>
    <s v="PO-00255"/>
    <x v="3"/>
    <d v="2022-07-14T00:00:00"/>
    <d v="2022-07-29T00:00:00"/>
    <s v="Electronics"/>
    <s v="Delivered"/>
    <n v="733"/>
    <n v="32.29"/>
    <n v="29.01"/>
    <n v="78"/>
    <s v="Yes"/>
    <x v="8"/>
    <m/>
    <x v="0"/>
  </r>
  <r>
    <s v="PO-00256"/>
    <x v="2"/>
    <d v="2022-04-07T00:00:00"/>
    <m/>
    <s v="Packaging"/>
    <s v="Delivered"/>
    <n v="713"/>
    <n v="19.45"/>
    <n v="18.82"/>
    <n v="31"/>
    <s v="Yes"/>
    <x v="54"/>
    <m/>
    <x v="35"/>
  </r>
  <r>
    <s v="PO-00257"/>
    <x v="3"/>
    <d v="2022-04-10T00:00:00"/>
    <d v="2022-04-24T00:00:00"/>
    <s v="Packaging"/>
    <s v="Delivered"/>
    <n v="1900"/>
    <n v="24.11"/>
    <n v="23.45"/>
    <n v="188"/>
    <s v="Yes"/>
    <x v="6"/>
    <m/>
    <x v="0"/>
  </r>
  <r>
    <s v="PO-00258"/>
    <x v="1"/>
    <d v="2023-11-06T00:00:00"/>
    <d v="2023-11-08T00:00:00"/>
    <s v="MRO"/>
    <s v="Cancelled"/>
    <n v="1447"/>
    <n v="35.67"/>
    <n v="35.07"/>
    <n v="224"/>
    <s v="No"/>
    <x v="24"/>
    <m/>
    <x v="0"/>
  </r>
  <r>
    <s v="PO-00259"/>
    <x v="4"/>
    <d v="2023-03-18T00:00:00"/>
    <m/>
    <s v="Office Supplies"/>
    <s v="Delivered"/>
    <n v="1745"/>
    <n v="26.17"/>
    <n v="22.25"/>
    <n v="55"/>
    <s v="Yes"/>
    <x v="55"/>
    <m/>
    <x v="36"/>
  </r>
  <r>
    <s v="PO-00260"/>
    <x v="3"/>
    <d v="2022-12-29T00:00:00"/>
    <d v="2023-01-14T00:00:00"/>
    <s v="Office Supplies"/>
    <s v="Delivered"/>
    <n v="1681"/>
    <n v="28.26"/>
    <n v="26.62"/>
    <n v="143"/>
    <s v="Yes"/>
    <x v="14"/>
    <m/>
    <x v="0"/>
  </r>
  <r>
    <s v="PO-00261"/>
    <x v="1"/>
    <d v="2023-03-10T00:00:00"/>
    <d v="2023-03-18T00:00:00"/>
    <s v="Electronics"/>
    <s v="Delivered"/>
    <n v="1545"/>
    <n v="38.15"/>
    <n v="36.96"/>
    <n v="214"/>
    <s v="Yes"/>
    <x v="0"/>
    <m/>
    <x v="0"/>
  </r>
  <r>
    <s v="PO-00262"/>
    <x v="4"/>
    <d v="2023-02-25T00:00:00"/>
    <d v="2023-03-02T00:00:00"/>
    <s v="Raw Materials"/>
    <s v="Delivered"/>
    <n v="1306"/>
    <n v="27.27"/>
    <n v="25.96"/>
    <n v="39"/>
    <s v="Yes"/>
    <x v="26"/>
    <m/>
    <x v="0"/>
  </r>
  <r>
    <s v="PO-00263"/>
    <x v="2"/>
    <d v="2023-04-24T00:00:00"/>
    <d v="2023-05-06T00:00:00"/>
    <s v="Raw Materials"/>
    <s v="Delivered"/>
    <n v="1765"/>
    <n v="97.51"/>
    <n v="84.3"/>
    <n v="65"/>
    <s v="Yes"/>
    <x v="4"/>
    <m/>
    <x v="0"/>
  </r>
  <r>
    <s v="PO-00264"/>
    <x v="2"/>
    <d v="2022-02-25T00:00:00"/>
    <d v="2022-03-15T00:00:00"/>
    <s v="Packaging"/>
    <s v="Cancelled"/>
    <n v="1186"/>
    <n v="17.309999999999999"/>
    <n v="16"/>
    <n v="64"/>
    <s v="Yes"/>
    <x v="11"/>
    <m/>
    <x v="0"/>
  </r>
  <r>
    <s v="PO-00265"/>
    <x v="1"/>
    <d v="2023-11-21T00:00:00"/>
    <d v="2023-11-26T00:00:00"/>
    <s v="Packaging"/>
    <s v="Delivered"/>
    <n v="1903"/>
    <n v="63.5"/>
    <n v="56.09"/>
    <n v="254"/>
    <s v="Yes"/>
    <x v="26"/>
    <m/>
    <x v="0"/>
  </r>
  <r>
    <s v="PO-00266"/>
    <x v="1"/>
    <d v="2023-11-01T00:00:00"/>
    <d v="2023-11-05T00:00:00"/>
    <s v="MRO"/>
    <s v="Delivered"/>
    <n v="1570"/>
    <n v="52.1"/>
    <n v="47.87"/>
    <m/>
    <s v="No"/>
    <x v="7"/>
    <m/>
    <x v="0"/>
  </r>
  <r>
    <s v="PO-00267"/>
    <x v="1"/>
    <d v="2023-10-24T00:00:00"/>
    <d v="2023-11-13T00:00:00"/>
    <s v="MRO"/>
    <s v="Delivered"/>
    <n v="491"/>
    <n v="108.75"/>
    <n v="93.35"/>
    <m/>
    <s v="No"/>
    <x v="2"/>
    <m/>
    <x v="0"/>
  </r>
  <r>
    <s v="PO-00268"/>
    <x v="3"/>
    <d v="2022-04-11T00:00:00"/>
    <d v="2022-04-20T00:00:00"/>
    <s v="Electronics"/>
    <s v="Partially Delivered"/>
    <n v="613"/>
    <n v="20.38"/>
    <n v="20.170000000000002"/>
    <n v="58"/>
    <s v="Yes"/>
    <x v="16"/>
    <m/>
    <x v="0"/>
  </r>
  <r>
    <s v="PO-00269"/>
    <x v="2"/>
    <d v="2022-03-04T00:00:00"/>
    <d v="2022-03-16T00:00:00"/>
    <s v="Raw Materials"/>
    <s v="Partially Delivered"/>
    <n v="1341"/>
    <n v="46.27"/>
    <n v="43.94"/>
    <n v="63"/>
    <s v="Yes"/>
    <x v="4"/>
    <m/>
    <x v="0"/>
  </r>
  <r>
    <s v="PO-00270"/>
    <x v="3"/>
    <d v="2023-02-17T00:00:00"/>
    <d v="2023-03-04T00:00:00"/>
    <s v="MRO"/>
    <s v="Partially Delivered"/>
    <n v="1583"/>
    <n v="103.57"/>
    <n v="89.38"/>
    <n v="164"/>
    <s v="Yes"/>
    <x v="8"/>
    <m/>
    <x v="0"/>
  </r>
  <r>
    <s v="PO-00271"/>
    <x v="3"/>
    <d v="2022-12-14T00:00:00"/>
    <m/>
    <s v="Raw Materials"/>
    <s v="Cancelled"/>
    <n v="1880"/>
    <n v="92.73"/>
    <n v="90.78"/>
    <n v="173"/>
    <s v="Yes"/>
    <x v="56"/>
    <m/>
    <x v="37"/>
  </r>
  <r>
    <s v="PO-00272"/>
    <x v="4"/>
    <d v="2022-04-22T00:00:00"/>
    <d v="2022-04-26T00:00:00"/>
    <s v="MRO"/>
    <s v="Delivered"/>
    <n v="1459"/>
    <n v="84.79"/>
    <n v="82.72"/>
    <n v="47"/>
    <s v="Yes"/>
    <x v="7"/>
    <m/>
    <x v="0"/>
  </r>
  <r>
    <s v="PO-00273"/>
    <x v="1"/>
    <d v="2022-09-12T00:00:00"/>
    <m/>
    <s v="Office Supplies"/>
    <s v="Delivered"/>
    <n v="1460"/>
    <n v="34.54"/>
    <n v="31.87"/>
    <n v="208"/>
    <s v="No"/>
    <x v="57"/>
    <m/>
    <x v="38"/>
  </r>
  <r>
    <s v="PO-00274"/>
    <x v="3"/>
    <d v="2022-07-16T00:00:00"/>
    <d v="2022-07-28T00:00:00"/>
    <s v="Packaging"/>
    <s v="Partially Delivered"/>
    <n v="1186"/>
    <n v="26.14"/>
    <n v="24.78"/>
    <n v="112"/>
    <s v="Yes"/>
    <x v="4"/>
    <m/>
    <x v="0"/>
  </r>
  <r>
    <s v="PO-00275"/>
    <x v="4"/>
    <d v="2022-07-14T00:00:00"/>
    <d v="2022-07-23T00:00:00"/>
    <s v="MRO"/>
    <s v="Pending"/>
    <n v="1686"/>
    <n v="72.28"/>
    <n v="65.209999999999994"/>
    <n v="53"/>
    <s v="Yes"/>
    <x v="16"/>
    <m/>
    <x v="0"/>
  </r>
  <r>
    <s v="PO-00276"/>
    <x v="0"/>
    <d v="2023-07-04T00:00:00"/>
    <d v="2023-07-08T00:00:00"/>
    <s v="MRO"/>
    <s v="Delivered"/>
    <n v="1698"/>
    <n v="102.07"/>
    <n v="100.69"/>
    <n v="28"/>
    <s v="Yes"/>
    <x v="7"/>
    <m/>
    <x v="0"/>
  </r>
  <r>
    <s v="PO-00277"/>
    <x v="4"/>
    <d v="2023-04-05T00:00:00"/>
    <m/>
    <s v="Electronics"/>
    <s v="Delivered"/>
    <n v="1001"/>
    <n v="64.62"/>
    <n v="55.7"/>
    <n v="32"/>
    <s v="Yes"/>
    <x v="58"/>
    <m/>
    <x v="39"/>
  </r>
  <r>
    <s v="PO-00278"/>
    <x v="0"/>
    <d v="2022-05-24T00:00:00"/>
    <d v="2022-05-27T00:00:00"/>
    <s v="Office Supplies"/>
    <s v="Delivered"/>
    <n v="1154"/>
    <n v="62.67"/>
    <n v="54.11"/>
    <n v="25"/>
    <s v="Yes"/>
    <x v="12"/>
    <m/>
    <x v="0"/>
  </r>
  <r>
    <s v="PO-00279"/>
    <x v="0"/>
    <d v="2023-03-09T00:00:00"/>
    <d v="2023-03-29T00:00:00"/>
    <s v="Packaging"/>
    <s v="Cancelled"/>
    <n v="748"/>
    <n v="37.659999999999997"/>
    <n v="32.71"/>
    <m/>
    <s v="No"/>
    <x v="2"/>
    <m/>
    <x v="0"/>
  </r>
  <r>
    <s v="PO-00280"/>
    <x v="0"/>
    <d v="2022-07-07T00:00:00"/>
    <m/>
    <s v="Office Supplies"/>
    <s v="Delivered"/>
    <n v="162"/>
    <n v="81.63"/>
    <n v="78.760000000000005"/>
    <n v="2"/>
    <s v="Yes"/>
    <x v="59"/>
    <m/>
    <x v="40"/>
  </r>
  <r>
    <s v="PO-00281"/>
    <x v="0"/>
    <d v="2022-10-13T00:00:00"/>
    <d v="2022-10-24T00:00:00"/>
    <s v="Packaging"/>
    <s v="Delivered"/>
    <n v="51"/>
    <n v="28.04"/>
    <n v="24.13"/>
    <n v="0"/>
    <s v="Yes"/>
    <x v="5"/>
    <m/>
    <x v="0"/>
  </r>
  <r>
    <s v="PO-00282"/>
    <x v="1"/>
    <d v="2023-04-19T00:00:00"/>
    <d v="2023-04-24T00:00:00"/>
    <s v="Office Supplies"/>
    <s v="Delivered"/>
    <n v="691"/>
    <n v="42.07"/>
    <n v="39.1"/>
    <n v="106"/>
    <s v="Yes"/>
    <x v="26"/>
    <m/>
    <x v="0"/>
  </r>
  <r>
    <s v="PO-00283"/>
    <x v="3"/>
    <d v="2022-09-13T00:00:00"/>
    <d v="2022-09-20T00:00:00"/>
    <s v="Office Supplies"/>
    <s v="Delivered"/>
    <n v="269"/>
    <n v="50.22"/>
    <n v="45.75"/>
    <n v="32"/>
    <s v="No"/>
    <x v="20"/>
    <m/>
    <x v="0"/>
  </r>
  <r>
    <s v="PO-00284"/>
    <x v="3"/>
    <d v="2022-03-19T00:00:00"/>
    <d v="2022-04-06T00:00:00"/>
    <s v="Electronics"/>
    <s v="Pending"/>
    <n v="1639"/>
    <n v="56.24"/>
    <n v="55.4"/>
    <n v="147"/>
    <s v="Yes"/>
    <x v="11"/>
    <m/>
    <x v="0"/>
  </r>
  <r>
    <s v="PO-00285"/>
    <x v="0"/>
    <d v="2023-03-30T00:00:00"/>
    <d v="2023-04-06T00:00:00"/>
    <s v="Raw Materials"/>
    <s v="Delivered"/>
    <n v="904"/>
    <n v="34.04"/>
    <n v="30.06"/>
    <n v="26"/>
    <s v="Yes"/>
    <x v="20"/>
    <m/>
    <x v="0"/>
  </r>
  <r>
    <s v="PO-00286"/>
    <x v="3"/>
    <d v="2023-07-18T00:00:00"/>
    <d v="2023-07-26T00:00:00"/>
    <s v="Office Supplies"/>
    <s v="Delivered"/>
    <n v="1809"/>
    <n v="22.17"/>
    <n v="19.649999999999999"/>
    <m/>
    <s v="Yes"/>
    <x v="0"/>
    <m/>
    <x v="0"/>
  </r>
  <r>
    <s v="PO-00287"/>
    <x v="0"/>
    <d v="2022-04-11T00:00:00"/>
    <d v="2022-04-16T00:00:00"/>
    <s v="Packaging"/>
    <s v="Delivered"/>
    <n v="1298"/>
    <n v="65.930000000000007"/>
    <n v="58.95"/>
    <m/>
    <s v="Yes"/>
    <x v="26"/>
    <m/>
    <x v="0"/>
  </r>
  <r>
    <s v="PO-00288"/>
    <x v="3"/>
    <d v="2022-02-21T00:00:00"/>
    <d v="2022-03-13T00:00:00"/>
    <s v="Packaging"/>
    <s v="Delivered"/>
    <n v="434"/>
    <n v="36.159999999999997"/>
    <n v="34.79"/>
    <n v="41"/>
    <s v="Yes"/>
    <x v="2"/>
    <m/>
    <x v="0"/>
  </r>
  <r>
    <s v="PO-00289"/>
    <x v="4"/>
    <d v="2023-10-30T00:00:00"/>
    <d v="2023-11-04T00:00:00"/>
    <s v="Electronics"/>
    <s v="Delivered"/>
    <n v="1476"/>
    <n v="68.849999999999994"/>
    <n v="65.28"/>
    <n v="43"/>
    <s v="Yes"/>
    <x v="26"/>
    <m/>
    <x v="0"/>
  </r>
  <r>
    <s v="PO-00290"/>
    <x v="1"/>
    <d v="2023-07-08T00:00:00"/>
    <m/>
    <s v="Raw Materials"/>
    <s v="Partially Delivered"/>
    <n v="1711"/>
    <n v="26.04"/>
    <n v="24.81"/>
    <n v="290"/>
    <s v="Yes"/>
    <x v="60"/>
    <m/>
    <x v="41"/>
  </r>
  <r>
    <s v="PO-00291"/>
    <x v="2"/>
    <d v="2022-01-16T00:00:00"/>
    <d v="2022-01-22T00:00:00"/>
    <s v="Packaging"/>
    <s v="Delivered"/>
    <n v="1203"/>
    <n v="53.3"/>
    <n v="47.68"/>
    <n v="49"/>
    <s v="Yes"/>
    <x v="15"/>
    <m/>
    <x v="0"/>
  </r>
  <r>
    <s v="PO-00292"/>
    <x v="0"/>
    <d v="2022-04-06T00:00:00"/>
    <d v="2022-04-07T00:00:00"/>
    <s v="Electronics"/>
    <s v="Delivered"/>
    <n v="1126"/>
    <n v="58.8"/>
    <n v="52.22"/>
    <m/>
    <s v="Yes"/>
    <x v="18"/>
    <m/>
    <x v="0"/>
  </r>
  <r>
    <s v="PO-00293"/>
    <x v="4"/>
    <d v="2022-08-31T00:00:00"/>
    <d v="2022-09-12T00:00:00"/>
    <s v="Packaging"/>
    <s v="Delivered"/>
    <n v="1757"/>
    <n v="15.18"/>
    <n v="13.06"/>
    <n v="63"/>
    <s v="Yes"/>
    <x v="4"/>
    <m/>
    <x v="0"/>
  </r>
  <r>
    <s v="PO-00294"/>
    <x v="4"/>
    <d v="2022-06-20T00:00:00"/>
    <d v="2022-06-28T00:00:00"/>
    <s v="MRO"/>
    <s v="Delivered"/>
    <n v="779"/>
    <n v="41.3"/>
    <n v="36.28"/>
    <n v="20"/>
    <s v="Yes"/>
    <x v="0"/>
    <m/>
    <x v="0"/>
  </r>
  <r>
    <s v="PO-00295"/>
    <x v="1"/>
    <d v="2023-02-21T00:00:00"/>
    <d v="2023-02-22T00:00:00"/>
    <s v="Office Supplies"/>
    <s v="Delivered"/>
    <n v="1745"/>
    <n v="23.53"/>
    <n v="22.57"/>
    <n v="282"/>
    <s v="No"/>
    <x v="18"/>
    <m/>
    <x v="0"/>
  </r>
  <r>
    <s v="PO-00296"/>
    <x v="1"/>
    <d v="2023-05-13T00:00:00"/>
    <d v="2023-05-15T00:00:00"/>
    <s v="Raw Materials"/>
    <s v="Delivered"/>
    <n v="1783"/>
    <n v="16.96"/>
    <n v="15.8"/>
    <n v="295"/>
    <s v="Yes"/>
    <x v="24"/>
    <m/>
    <x v="0"/>
  </r>
  <r>
    <s v="PO-00297"/>
    <x v="0"/>
    <d v="2023-05-08T00:00:00"/>
    <d v="2023-05-22T00:00:00"/>
    <s v="Office Supplies"/>
    <s v="Partially Delivered"/>
    <n v="1489"/>
    <n v="107.02"/>
    <n v="93.3"/>
    <m/>
    <s v="Yes"/>
    <x v="6"/>
    <m/>
    <x v="0"/>
  </r>
  <r>
    <s v="PO-00298"/>
    <x v="0"/>
    <d v="2022-08-07T00:00:00"/>
    <d v="2022-08-10T00:00:00"/>
    <s v="Office Supplies"/>
    <s v="Delivered"/>
    <n v="296"/>
    <n v="40.380000000000003"/>
    <n v="35.25"/>
    <m/>
    <s v="Yes"/>
    <x v="12"/>
    <m/>
    <x v="0"/>
  </r>
  <r>
    <s v="PO-00299"/>
    <x v="4"/>
    <d v="2023-02-15T00:00:00"/>
    <d v="2023-02-27T00:00:00"/>
    <s v="MRO"/>
    <s v="Delivered"/>
    <n v="885"/>
    <n v="88.28"/>
    <n v="80.8"/>
    <n v="31"/>
    <s v="Yes"/>
    <x v="4"/>
    <m/>
    <x v="0"/>
  </r>
  <r>
    <s v="PO-00300"/>
    <x v="4"/>
    <d v="2022-03-02T00:00:00"/>
    <d v="2022-03-06T00:00:00"/>
    <s v="Raw Materials"/>
    <s v="Pending"/>
    <n v="1512"/>
    <n v="33.25"/>
    <n v="30.15"/>
    <n v="53"/>
    <s v="Yes"/>
    <x v="7"/>
    <m/>
    <x v="0"/>
  </r>
  <r>
    <s v="PO-00301"/>
    <x v="1"/>
    <d v="2022-06-18T00:00:00"/>
    <d v="2022-06-26T00:00:00"/>
    <s v="Office Supplies"/>
    <s v="Delivered"/>
    <n v="252"/>
    <n v="73.12"/>
    <n v="67.64"/>
    <m/>
    <s v="No"/>
    <x v="0"/>
    <m/>
    <x v="0"/>
  </r>
  <r>
    <s v="PO-00302"/>
    <x v="0"/>
    <d v="2023-01-24T00:00:00"/>
    <m/>
    <s v="Electronics"/>
    <s v="Cancelled"/>
    <n v="1257"/>
    <n v="83.13"/>
    <n v="81.89"/>
    <n v="30"/>
    <s v="Yes"/>
    <x v="61"/>
    <m/>
    <x v="42"/>
  </r>
  <r>
    <s v="PO-00303"/>
    <x v="0"/>
    <d v="2022-01-03T00:00:00"/>
    <d v="2022-01-20T00:00:00"/>
    <s v="Packaging"/>
    <s v="Delivered"/>
    <n v="172"/>
    <n v="63.61"/>
    <n v="55.92"/>
    <n v="4"/>
    <s v="Yes"/>
    <x v="9"/>
    <m/>
    <x v="0"/>
  </r>
  <r>
    <s v="PO-00304"/>
    <x v="4"/>
    <d v="2023-02-04T00:00:00"/>
    <d v="2023-02-05T00:00:00"/>
    <s v="Packaging"/>
    <s v="Pending"/>
    <n v="450"/>
    <n v="55.85"/>
    <n v="49.88"/>
    <n v="9"/>
    <s v="Yes"/>
    <x v="18"/>
    <m/>
    <x v="0"/>
  </r>
  <r>
    <s v="PO-00305"/>
    <x v="2"/>
    <d v="2022-09-29T00:00:00"/>
    <d v="2022-10-15T00:00:00"/>
    <s v="Electronics"/>
    <s v="Delivered"/>
    <n v="816"/>
    <n v="48.95"/>
    <n v="43.42"/>
    <n v="45"/>
    <s v="Yes"/>
    <x v="14"/>
    <m/>
    <x v="0"/>
  </r>
  <r>
    <s v="PO-00306"/>
    <x v="4"/>
    <d v="2023-04-11T00:00:00"/>
    <d v="2023-04-25T00:00:00"/>
    <s v="Packaging"/>
    <s v="Delivered"/>
    <n v="343"/>
    <n v="44.5"/>
    <n v="38.57"/>
    <n v="7"/>
    <s v="Yes"/>
    <x v="6"/>
    <m/>
    <x v="0"/>
  </r>
  <r>
    <s v="PO-00307"/>
    <x v="2"/>
    <d v="2022-10-20T00:00:00"/>
    <d v="2022-11-05T00:00:00"/>
    <s v="MRO"/>
    <s v="Delivered"/>
    <n v="329"/>
    <n v="97.87"/>
    <n v="85.35"/>
    <n v="21"/>
    <s v="No"/>
    <x v="14"/>
    <m/>
    <x v="0"/>
  </r>
  <r>
    <s v="PO-00308"/>
    <x v="0"/>
    <d v="2023-03-10T00:00:00"/>
    <d v="2023-03-25T00:00:00"/>
    <s v="Electronics"/>
    <s v="Delivered"/>
    <n v="1910"/>
    <n v="90.69"/>
    <n v="85.8"/>
    <m/>
    <s v="Yes"/>
    <x v="8"/>
    <m/>
    <x v="0"/>
  </r>
  <r>
    <s v="PO-00309"/>
    <x v="4"/>
    <d v="2023-12-15T00:00:00"/>
    <d v="2023-12-18T00:00:00"/>
    <s v="MRO"/>
    <s v="Delivered"/>
    <n v="933"/>
    <n v="107.99"/>
    <n v="104.29"/>
    <n v="29"/>
    <s v="Yes"/>
    <x v="12"/>
    <m/>
    <x v="0"/>
  </r>
  <r>
    <s v="PO-00310"/>
    <x v="1"/>
    <d v="2023-07-24T00:00:00"/>
    <d v="2023-07-29T00:00:00"/>
    <s v="Raw Materials"/>
    <s v="Delivered"/>
    <n v="1683"/>
    <n v="23.09"/>
    <n v="21.88"/>
    <n v="253"/>
    <s v="Yes"/>
    <x v="26"/>
    <m/>
    <x v="0"/>
  </r>
  <r>
    <s v="PO-00311"/>
    <x v="3"/>
    <d v="2023-11-09T00:00:00"/>
    <d v="2023-11-18T00:00:00"/>
    <s v="Packaging"/>
    <s v="Pending"/>
    <n v="247"/>
    <n v="84.11"/>
    <n v="71.97"/>
    <m/>
    <s v="Yes"/>
    <x v="16"/>
    <m/>
    <x v="0"/>
  </r>
  <r>
    <s v="PO-00312"/>
    <x v="0"/>
    <d v="2023-05-14T00:00:00"/>
    <d v="2023-06-02T00:00:00"/>
    <s v="MRO"/>
    <s v="Delivered"/>
    <n v="1031"/>
    <n v="102.01"/>
    <n v="98.65"/>
    <m/>
    <s v="Yes"/>
    <x v="3"/>
    <m/>
    <x v="0"/>
  </r>
  <r>
    <s v="PO-00313"/>
    <x v="0"/>
    <d v="2022-06-08T00:00:00"/>
    <d v="2022-06-19T00:00:00"/>
    <s v="Packaging"/>
    <s v="Delivered"/>
    <n v="1980"/>
    <n v="26.97"/>
    <n v="24.16"/>
    <n v="41"/>
    <s v="Yes"/>
    <x v="5"/>
    <m/>
    <x v="0"/>
  </r>
  <r>
    <s v="PO-00314"/>
    <x v="4"/>
    <d v="2022-07-14T00:00:00"/>
    <d v="2022-08-03T00:00:00"/>
    <s v="Raw Materials"/>
    <s v="Delivered"/>
    <n v="1584"/>
    <n v="16.46"/>
    <n v="14.2"/>
    <n v="57"/>
    <s v="Yes"/>
    <x v="2"/>
    <m/>
    <x v="0"/>
  </r>
  <r>
    <s v="PO-00315"/>
    <x v="3"/>
    <d v="2022-10-31T00:00:00"/>
    <d v="2022-11-15T00:00:00"/>
    <s v="Office Supplies"/>
    <s v="Delivered"/>
    <n v="801"/>
    <n v="80.150000000000006"/>
    <n v="70.91"/>
    <m/>
    <s v="Yes"/>
    <x v="8"/>
    <m/>
    <x v="0"/>
  </r>
  <r>
    <s v="PO-00316"/>
    <x v="3"/>
    <d v="2022-08-11T00:00:00"/>
    <d v="2022-08-25T00:00:00"/>
    <s v="Packaging"/>
    <s v="Delivered"/>
    <n v="193"/>
    <n v="63.86"/>
    <n v="57.46"/>
    <m/>
    <s v="Yes"/>
    <x v="6"/>
    <m/>
    <x v="0"/>
  </r>
  <r>
    <s v="PO-00317"/>
    <x v="3"/>
    <d v="2022-03-01T00:00:00"/>
    <d v="2022-03-05T00:00:00"/>
    <s v="Raw Materials"/>
    <s v="Delivered"/>
    <n v="658"/>
    <n v="86.62"/>
    <n v="79.849999999999994"/>
    <n v="72"/>
    <s v="Yes"/>
    <x v="7"/>
    <m/>
    <x v="0"/>
  </r>
  <r>
    <s v="PO-00318"/>
    <x v="4"/>
    <d v="2023-08-17T00:00:00"/>
    <d v="2023-09-04T00:00:00"/>
    <s v="Electronics"/>
    <s v="Delivered"/>
    <n v="1274"/>
    <n v="24.72"/>
    <n v="23.36"/>
    <n v="37"/>
    <s v="Yes"/>
    <x v="11"/>
    <m/>
    <x v="0"/>
  </r>
  <r>
    <s v="PO-00319"/>
    <x v="4"/>
    <d v="2023-07-10T00:00:00"/>
    <d v="2023-07-17T00:00:00"/>
    <s v="Packaging"/>
    <s v="Partially Delivered"/>
    <n v="1197"/>
    <n v="88.92"/>
    <n v="78.819999999999993"/>
    <n v="31"/>
    <s v="Yes"/>
    <x v="20"/>
    <m/>
    <x v="0"/>
  </r>
  <r>
    <s v="PO-00320"/>
    <x v="2"/>
    <d v="2022-03-04T00:00:00"/>
    <d v="2022-03-12T00:00:00"/>
    <s v="Electronics"/>
    <s v="Delivered"/>
    <n v="236"/>
    <n v="28.43"/>
    <n v="28.11"/>
    <n v="11"/>
    <s v="Yes"/>
    <x v="0"/>
    <m/>
    <x v="0"/>
  </r>
  <r>
    <s v="PO-00321"/>
    <x v="2"/>
    <d v="2022-11-18T00:00:00"/>
    <d v="2022-12-03T00:00:00"/>
    <s v="Raw Materials"/>
    <s v="Partially Delivered"/>
    <n v="1399"/>
    <n v="25.97"/>
    <n v="22.19"/>
    <n v="62"/>
    <s v="Yes"/>
    <x v="8"/>
    <m/>
    <x v="0"/>
  </r>
  <r>
    <s v="PO-00322"/>
    <x v="2"/>
    <d v="2022-02-28T00:00:00"/>
    <d v="2022-03-04T00:00:00"/>
    <s v="Electronics"/>
    <s v="Delivered"/>
    <n v="513"/>
    <n v="24.91"/>
    <n v="22.58"/>
    <n v="29"/>
    <s v="Yes"/>
    <x v="7"/>
    <m/>
    <x v="0"/>
  </r>
  <r>
    <s v="PO-00323"/>
    <x v="1"/>
    <d v="2022-02-21T00:00:00"/>
    <d v="2022-03-04T00:00:00"/>
    <s v="MRO"/>
    <s v="Delivered"/>
    <n v="1422"/>
    <n v="83.73"/>
    <n v="76.47"/>
    <n v="198"/>
    <s v="Yes"/>
    <x v="5"/>
    <m/>
    <x v="0"/>
  </r>
  <r>
    <s v="PO-00324"/>
    <x v="0"/>
    <d v="2023-08-22T00:00:00"/>
    <d v="2023-09-03T00:00:00"/>
    <s v="Office Supplies"/>
    <s v="Delivered"/>
    <n v="1844"/>
    <n v="76.510000000000005"/>
    <n v="73.05"/>
    <m/>
    <s v="Yes"/>
    <x v="4"/>
    <m/>
    <x v="0"/>
  </r>
  <r>
    <s v="PO-00325"/>
    <x v="2"/>
    <d v="2023-05-04T00:00:00"/>
    <m/>
    <s v="Electronics"/>
    <s v="Delivered"/>
    <n v="709"/>
    <n v="61.64"/>
    <n v="54.55"/>
    <n v="41"/>
    <s v="Yes"/>
    <x v="62"/>
    <m/>
    <x v="43"/>
  </r>
  <r>
    <s v="PO-00326"/>
    <x v="1"/>
    <d v="2023-05-30T00:00:00"/>
    <d v="2023-06-15T00:00:00"/>
    <s v="MRO"/>
    <s v="Delivered"/>
    <n v="813"/>
    <n v="45.68"/>
    <n v="41.78"/>
    <m/>
    <s v="No"/>
    <x v="14"/>
    <m/>
    <x v="0"/>
  </r>
  <r>
    <s v="PO-00327"/>
    <x v="1"/>
    <d v="2023-06-28T00:00:00"/>
    <d v="2023-07-01T00:00:00"/>
    <s v="Office Supplies"/>
    <s v="Delivered"/>
    <n v="1004"/>
    <n v="96.51"/>
    <n v="92.9"/>
    <n v="146"/>
    <s v="No"/>
    <x v="12"/>
    <m/>
    <x v="0"/>
  </r>
  <r>
    <s v="PO-00328"/>
    <x v="4"/>
    <d v="2022-06-11T00:00:00"/>
    <d v="2022-06-15T00:00:00"/>
    <s v="Raw Materials"/>
    <s v="Delivered"/>
    <n v="452"/>
    <n v="46.45"/>
    <n v="40.39"/>
    <n v="9"/>
    <s v="Yes"/>
    <x v="7"/>
    <m/>
    <x v="0"/>
  </r>
  <r>
    <s v="PO-00329"/>
    <x v="3"/>
    <d v="2022-02-28T00:00:00"/>
    <d v="2022-03-12T00:00:00"/>
    <s v="Raw Materials"/>
    <s v="Pending"/>
    <n v="1419"/>
    <n v="83.91"/>
    <n v="71.459999999999994"/>
    <n v="137"/>
    <s v="Yes"/>
    <x v="4"/>
    <m/>
    <x v="0"/>
  </r>
  <r>
    <s v="PO-00330"/>
    <x v="3"/>
    <d v="2023-06-05T00:00:00"/>
    <d v="2023-06-23T00:00:00"/>
    <s v="Packaging"/>
    <s v="Delivered"/>
    <n v="1584"/>
    <n v="53.73"/>
    <n v="51.92"/>
    <n v="167"/>
    <s v="No"/>
    <x v="11"/>
    <m/>
    <x v="0"/>
  </r>
  <r>
    <s v="PO-00331"/>
    <x v="2"/>
    <d v="2022-03-24T00:00:00"/>
    <d v="2022-04-11T00:00:00"/>
    <s v="MRO"/>
    <s v="Pending"/>
    <n v="196"/>
    <n v="44.36"/>
    <n v="43.81"/>
    <n v="6"/>
    <s v="Yes"/>
    <x v="11"/>
    <m/>
    <x v="0"/>
  </r>
  <r>
    <s v="PO-00332"/>
    <x v="0"/>
    <d v="2022-07-10T00:00:00"/>
    <d v="2022-07-14T00:00:00"/>
    <s v="Office Supplies"/>
    <s v="Delivered"/>
    <n v="1221"/>
    <n v="53.19"/>
    <n v="46.18"/>
    <n v="29"/>
    <s v="Yes"/>
    <x v="7"/>
    <m/>
    <x v="0"/>
  </r>
  <r>
    <s v="PO-00333"/>
    <x v="0"/>
    <d v="2022-03-12T00:00:00"/>
    <d v="2022-03-26T00:00:00"/>
    <s v="Packaging"/>
    <s v="Delivered"/>
    <n v="913"/>
    <n v="37.5"/>
    <n v="36.200000000000003"/>
    <m/>
    <s v="Yes"/>
    <x v="6"/>
    <m/>
    <x v="0"/>
  </r>
  <r>
    <s v="PO-00334"/>
    <x v="0"/>
    <d v="2023-09-02T00:00:00"/>
    <d v="2023-09-04T00:00:00"/>
    <s v="Packaging"/>
    <s v="Delivered"/>
    <n v="1784"/>
    <n v="85.01"/>
    <n v="76.69"/>
    <n v="37"/>
    <s v="Yes"/>
    <x v="24"/>
    <m/>
    <x v="0"/>
  </r>
  <r>
    <s v="PO-00335"/>
    <x v="1"/>
    <d v="2022-03-11T00:00:00"/>
    <m/>
    <s v="Raw Materials"/>
    <s v="Delivered"/>
    <n v="1893"/>
    <n v="55.8"/>
    <n v="52.35"/>
    <m/>
    <s v="Yes"/>
    <x v="51"/>
    <m/>
    <x v="32"/>
  </r>
  <r>
    <s v="PO-00336"/>
    <x v="1"/>
    <d v="2023-11-23T00:00:00"/>
    <d v="2023-12-05T00:00:00"/>
    <s v="Electronics"/>
    <s v="Pending"/>
    <n v="538"/>
    <n v="34.299999999999997"/>
    <n v="32.25"/>
    <n v="84"/>
    <s v="No"/>
    <x v="4"/>
    <m/>
    <x v="0"/>
  </r>
  <r>
    <s v="PO-00337"/>
    <x v="1"/>
    <d v="2022-08-29T00:00:00"/>
    <d v="2022-09-15T00:00:00"/>
    <s v="Office Supplies"/>
    <s v="Pending"/>
    <n v="978"/>
    <n v="94.15"/>
    <n v="87.7"/>
    <n v="149"/>
    <s v="No"/>
    <x v="9"/>
    <m/>
    <x v="0"/>
  </r>
  <r>
    <s v="PO-00338"/>
    <x v="4"/>
    <d v="2023-02-18T00:00:00"/>
    <d v="2023-03-06T00:00:00"/>
    <s v="Raw Materials"/>
    <s v="Cancelled"/>
    <n v="1713"/>
    <n v="47.45"/>
    <n v="42.05"/>
    <n v="53"/>
    <s v="Yes"/>
    <x v="14"/>
    <m/>
    <x v="0"/>
  </r>
  <r>
    <s v="PO-00339"/>
    <x v="1"/>
    <d v="2022-05-03T00:00:00"/>
    <d v="2022-05-07T00:00:00"/>
    <s v="Raw Materials"/>
    <s v="Pending"/>
    <n v="600"/>
    <n v="60.1"/>
    <n v="57.92"/>
    <n v="95"/>
    <s v="No"/>
    <x v="7"/>
    <m/>
    <x v="0"/>
  </r>
  <r>
    <s v="PO-00340"/>
    <x v="0"/>
    <d v="2023-08-07T00:00:00"/>
    <d v="2023-08-25T00:00:00"/>
    <s v="Electronics"/>
    <s v="Pending"/>
    <n v="387"/>
    <n v="100.28"/>
    <n v="85.54"/>
    <n v="5"/>
    <s v="Yes"/>
    <x v="11"/>
    <m/>
    <x v="0"/>
  </r>
  <r>
    <s v="PO-00341"/>
    <x v="0"/>
    <d v="2022-09-10T00:00:00"/>
    <d v="2022-09-19T00:00:00"/>
    <s v="MRO"/>
    <s v="Pending"/>
    <n v="921"/>
    <n v="68.83"/>
    <n v="59.13"/>
    <n v="22"/>
    <s v="Yes"/>
    <x v="16"/>
    <m/>
    <x v="0"/>
  </r>
  <r>
    <s v="PO-00342"/>
    <x v="3"/>
    <d v="2023-08-16T00:00:00"/>
    <d v="2023-08-30T00:00:00"/>
    <s v="MRO"/>
    <s v="Delivered"/>
    <n v="690"/>
    <n v="22.47"/>
    <n v="21.94"/>
    <n v="77"/>
    <s v="Yes"/>
    <x v="6"/>
    <m/>
    <x v="0"/>
  </r>
  <r>
    <s v="PO-00343"/>
    <x v="0"/>
    <d v="2023-09-01T00:00:00"/>
    <d v="2023-09-21T00:00:00"/>
    <s v="Office Supplies"/>
    <s v="Cancelled"/>
    <n v="1852"/>
    <n v="104.04"/>
    <n v="94.89"/>
    <n v="36"/>
    <s v="Yes"/>
    <x v="2"/>
    <m/>
    <x v="0"/>
  </r>
  <r>
    <s v="PO-00344"/>
    <x v="1"/>
    <d v="2022-02-10T00:00:00"/>
    <d v="2022-02-28T00:00:00"/>
    <s v="Electronics"/>
    <s v="Delivered"/>
    <n v="522"/>
    <n v="66.83"/>
    <n v="58.01"/>
    <n v="74"/>
    <s v="Yes"/>
    <x v="11"/>
    <m/>
    <x v="0"/>
  </r>
  <r>
    <s v="PO-00345"/>
    <x v="1"/>
    <d v="2023-09-27T00:00:00"/>
    <d v="2023-10-06T00:00:00"/>
    <s v="Electronics"/>
    <s v="Delivered"/>
    <n v="200"/>
    <n v="44.16"/>
    <n v="43.13"/>
    <n v="21"/>
    <s v="Yes"/>
    <x v="16"/>
    <m/>
    <x v="0"/>
  </r>
  <r>
    <s v="PO-00346"/>
    <x v="2"/>
    <d v="2022-03-25T00:00:00"/>
    <d v="2022-04-03T00:00:00"/>
    <s v="Packaging"/>
    <s v="Delivered"/>
    <n v="1488"/>
    <n v="22.76"/>
    <n v="21.99"/>
    <m/>
    <s v="Yes"/>
    <x v="16"/>
    <m/>
    <x v="0"/>
  </r>
  <r>
    <s v="PO-00347"/>
    <x v="4"/>
    <d v="2023-03-06T00:00:00"/>
    <d v="2023-03-16T00:00:00"/>
    <s v="Electronics"/>
    <s v="Delivered"/>
    <n v="1371"/>
    <n v="87.16"/>
    <n v="78.13"/>
    <n v="43"/>
    <s v="Yes"/>
    <x v="1"/>
    <m/>
    <x v="0"/>
  </r>
  <r>
    <s v="PO-00348"/>
    <x v="0"/>
    <d v="2023-11-05T00:00:00"/>
    <m/>
    <s v="Office Supplies"/>
    <s v="Delivered"/>
    <n v="1684"/>
    <n v="73.05"/>
    <n v="62.53"/>
    <m/>
    <s v="Yes"/>
    <x v="63"/>
    <m/>
    <x v="44"/>
  </r>
  <r>
    <s v="PO-00349"/>
    <x v="4"/>
    <d v="2023-08-21T00:00:00"/>
    <d v="2023-08-27T00:00:00"/>
    <s v="Electronics"/>
    <s v="Delivered"/>
    <n v="312"/>
    <n v="63.52"/>
    <n v="58.09"/>
    <m/>
    <s v="Yes"/>
    <x v="15"/>
    <m/>
    <x v="0"/>
  </r>
  <r>
    <s v="PO-00350"/>
    <x v="0"/>
    <d v="2023-08-02T00:00:00"/>
    <d v="2023-08-21T00:00:00"/>
    <s v="Packaging"/>
    <s v="Cancelled"/>
    <n v="1837"/>
    <n v="99.04"/>
    <n v="86.51"/>
    <n v="39"/>
    <s v="Yes"/>
    <x v="3"/>
    <m/>
    <x v="0"/>
  </r>
  <r>
    <s v="PO-00351"/>
    <x v="3"/>
    <d v="2023-06-20T00:00:00"/>
    <d v="2023-06-23T00:00:00"/>
    <s v="MRO"/>
    <s v="Delivered"/>
    <n v="193"/>
    <n v="87.86"/>
    <n v="81.739999999999995"/>
    <n v="21"/>
    <s v="Yes"/>
    <x v="12"/>
    <m/>
    <x v="0"/>
  </r>
  <r>
    <s v="PO-00352"/>
    <x v="3"/>
    <d v="2022-11-20T00:00:00"/>
    <d v="2022-11-21T00:00:00"/>
    <s v="Electronics"/>
    <s v="Delivered"/>
    <n v="395"/>
    <n v="24.83"/>
    <n v="23.96"/>
    <n v="31"/>
    <s v="Yes"/>
    <x v="18"/>
    <m/>
    <x v="0"/>
  </r>
  <r>
    <s v="PO-00353"/>
    <x v="4"/>
    <d v="2022-09-25T00:00:00"/>
    <d v="2022-10-12T00:00:00"/>
    <s v="Electronics"/>
    <s v="Cancelled"/>
    <n v="673"/>
    <n v="39.58"/>
    <n v="35.83"/>
    <n v="25"/>
    <s v="Yes"/>
    <x v="9"/>
    <m/>
    <x v="0"/>
  </r>
  <r>
    <s v="PO-00354"/>
    <x v="1"/>
    <d v="2022-07-29T00:00:00"/>
    <d v="2022-08-12T00:00:00"/>
    <s v="Office Supplies"/>
    <s v="Cancelled"/>
    <n v="1066"/>
    <n v="33.33"/>
    <n v="28.47"/>
    <n v="162"/>
    <s v="No"/>
    <x v="6"/>
    <m/>
    <x v="0"/>
  </r>
  <r>
    <s v="PO-00355"/>
    <x v="2"/>
    <d v="2023-11-17T00:00:00"/>
    <d v="2023-11-23T00:00:00"/>
    <s v="Packaging"/>
    <s v="Delivered"/>
    <n v="1645"/>
    <n v="85.42"/>
    <n v="80.78"/>
    <n v="73"/>
    <s v="No"/>
    <x v="15"/>
    <m/>
    <x v="0"/>
  </r>
  <r>
    <s v="PO-00356"/>
    <x v="0"/>
    <d v="2022-11-18T00:00:00"/>
    <d v="2022-11-29T00:00:00"/>
    <s v="Electronics"/>
    <s v="Delivered"/>
    <n v="930"/>
    <n v="13.67"/>
    <n v="11.95"/>
    <n v="16"/>
    <s v="Yes"/>
    <x v="5"/>
    <m/>
    <x v="0"/>
  </r>
  <r>
    <s v="PO-00357"/>
    <x v="0"/>
    <d v="2022-09-02T00:00:00"/>
    <d v="2022-09-21T00:00:00"/>
    <s v="Office Supplies"/>
    <s v="Delivered"/>
    <n v="51"/>
    <n v="63.74"/>
    <n v="56.1"/>
    <n v="0"/>
    <s v="Yes"/>
    <x v="3"/>
    <m/>
    <x v="0"/>
  </r>
  <r>
    <s v="PO-00358"/>
    <x v="2"/>
    <d v="2022-09-29T00:00:00"/>
    <d v="2022-10-01T00:00:00"/>
    <s v="Packaging"/>
    <s v="Delivered"/>
    <n v="946"/>
    <n v="81.77"/>
    <n v="71.650000000000006"/>
    <n v="55"/>
    <s v="Yes"/>
    <x v="24"/>
    <m/>
    <x v="0"/>
  </r>
  <r>
    <s v="PO-00359"/>
    <x v="4"/>
    <d v="2023-02-10T00:00:00"/>
    <d v="2023-03-02T00:00:00"/>
    <s v="Raw Materials"/>
    <s v="Partially Delivered"/>
    <n v="1377"/>
    <n v="94.69"/>
    <n v="84.2"/>
    <m/>
    <s v="Yes"/>
    <x v="2"/>
    <m/>
    <x v="0"/>
  </r>
  <r>
    <s v="PO-00360"/>
    <x v="4"/>
    <d v="2022-05-15T00:00:00"/>
    <d v="2022-05-18T00:00:00"/>
    <s v="Packaging"/>
    <s v="Cancelled"/>
    <n v="303"/>
    <n v="41.6"/>
    <n v="40.51"/>
    <n v="11"/>
    <s v="Yes"/>
    <x v="12"/>
    <m/>
    <x v="0"/>
  </r>
  <r>
    <s v="PO-00361"/>
    <x v="0"/>
    <d v="2023-11-19T00:00:00"/>
    <d v="2023-12-03T00:00:00"/>
    <s v="Raw Materials"/>
    <s v="Delivered"/>
    <n v="1725"/>
    <n v="93.14"/>
    <n v="79.62"/>
    <n v="24"/>
    <s v="Yes"/>
    <x v="6"/>
    <m/>
    <x v="0"/>
  </r>
  <r>
    <s v="PO-00362"/>
    <x v="3"/>
    <d v="2023-10-23T00:00:00"/>
    <d v="2023-11-07T00:00:00"/>
    <s v="Raw Materials"/>
    <s v="Cancelled"/>
    <n v="502"/>
    <n v="22.05"/>
    <n v="20.65"/>
    <n v="50"/>
    <s v="No"/>
    <x v="8"/>
    <m/>
    <x v="0"/>
  </r>
  <r>
    <s v="PO-00363"/>
    <x v="2"/>
    <d v="2022-11-04T00:00:00"/>
    <d v="2022-11-11T00:00:00"/>
    <s v="Packaging"/>
    <s v="Delivered"/>
    <n v="1110"/>
    <n v="90.49"/>
    <n v="80.03"/>
    <n v="61"/>
    <s v="Yes"/>
    <x v="20"/>
    <m/>
    <x v="0"/>
  </r>
  <r>
    <s v="PO-00364"/>
    <x v="0"/>
    <d v="2023-04-14T00:00:00"/>
    <d v="2023-04-18T00:00:00"/>
    <s v="Packaging"/>
    <s v="Delivered"/>
    <n v="1233"/>
    <n v="23.08"/>
    <n v="20.57"/>
    <m/>
    <s v="Yes"/>
    <x v="7"/>
    <m/>
    <x v="0"/>
  </r>
  <r>
    <s v="PO-00365"/>
    <x v="3"/>
    <d v="2022-11-20T00:00:00"/>
    <d v="2022-11-24T00:00:00"/>
    <s v="Office Supplies"/>
    <s v="Delivered"/>
    <n v="1064"/>
    <n v="48.04"/>
    <n v="43.6"/>
    <n v="94"/>
    <s v="Yes"/>
    <x v="7"/>
    <m/>
    <x v="0"/>
  </r>
  <r>
    <s v="PO-00366"/>
    <x v="4"/>
    <d v="2022-03-16T00:00:00"/>
    <d v="2022-04-04T00:00:00"/>
    <s v="Packaging"/>
    <s v="Partially Delivered"/>
    <n v="58"/>
    <n v="82.57"/>
    <n v="76.55"/>
    <m/>
    <s v="Yes"/>
    <x v="3"/>
    <m/>
    <x v="0"/>
  </r>
  <r>
    <s v="PO-00367"/>
    <x v="3"/>
    <d v="2022-01-10T00:00:00"/>
    <d v="2022-01-20T00:00:00"/>
    <s v="MRO"/>
    <s v="Delivered"/>
    <n v="1306"/>
    <n v="23.49"/>
    <n v="20.170000000000002"/>
    <n v="116"/>
    <s v="No"/>
    <x v="1"/>
    <m/>
    <x v="0"/>
  </r>
  <r>
    <s v="PO-00368"/>
    <x v="1"/>
    <d v="2023-04-15T00:00:00"/>
    <d v="2023-04-28T00:00:00"/>
    <s v="Electronics"/>
    <s v="Delivered"/>
    <n v="1172"/>
    <n v="32.93"/>
    <n v="29.28"/>
    <m/>
    <s v="No"/>
    <x v="13"/>
    <m/>
    <x v="0"/>
  </r>
  <r>
    <s v="PO-00369"/>
    <x v="0"/>
    <d v="2023-09-29T00:00:00"/>
    <m/>
    <s v="Packaging"/>
    <s v="Delivered"/>
    <n v="1732"/>
    <n v="82.5"/>
    <n v="71.709999999999994"/>
    <n v="24"/>
    <s v="Yes"/>
    <x v="64"/>
    <m/>
    <x v="45"/>
  </r>
  <r>
    <s v="PO-00370"/>
    <x v="2"/>
    <d v="2023-07-31T00:00:00"/>
    <d v="2023-08-07T00:00:00"/>
    <s v="Raw Materials"/>
    <s v="Delivered"/>
    <n v="865"/>
    <n v="81.540000000000006"/>
    <n v="71.59"/>
    <n v="39"/>
    <s v="Yes"/>
    <x v="20"/>
    <m/>
    <x v="0"/>
  </r>
  <r>
    <s v="PO-00371"/>
    <x v="3"/>
    <d v="2022-04-13T00:00:00"/>
    <d v="2022-04-20T00:00:00"/>
    <s v="Raw Materials"/>
    <s v="Delivered"/>
    <n v="257"/>
    <n v="68.72"/>
    <n v="66.92"/>
    <n v="22"/>
    <s v="Yes"/>
    <x v="20"/>
    <m/>
    <x v="0"/>
  </r>
  <r>
    <s v="PO-00372"/>
    <x v="4"/>
    <d v="2022-03-17T00:00:00"/>
    <d v="2022-03-26T00:00:00"/>
    <s v="Packaging"/>
    <s v="Delivered"/>
    <n v="1204"/>
    <n v="73.180000000000007"/>
    <n v="67.59"/>
    <n v="31"/>
    <s v="Yes"/>
    <x v="16"/>
    <m/>
    <x v="0"/>
  </r>
  <r>
    <s v="PO-00373"/>
    <x v="3"/>
    <d v="2023-07-05T00:00:00"/>
    <d v="2023-07-09T00:00:00"/>
    <s v="Electronics"/>
    <s v="Partially Delivered"/>
    <n v="453"/>
    <n v="64.14"/>
    <n v="60.18"/>
    <n v="51"/>
    <s v="Yes"/>
    <x v="7"/>
    <m/>
    <x v="0"/>
  </r>
  <r>
    <s v="PO-00374"/>
    <x v="4"/>
    <d v="2022-08-07T00:00:00"/>
    <d v="2022-08-21T00:00:00"/>
    <s v="Electronics"/>
    <s v="Delivered"/>
    <n v="201"/>
    <n v="33.81"/>
    <n v="32.54"/>
    <n v="3"/>
    <s v="Yes"/>
    <x v="6"/>
    <m/>
    <x v="0"/>
  </r>
  <r>
    <s v="PO-00375"/>
    <x v="1"/>
    <d v="2023-06-03T00:00:00"/>
    <d v="2023-06-16T00:00:00"/>
    <s v="Office Supplies"/>
    <s v="Delivered"/>
    <n v="103"/>
    <n v="44.61"/>
    <n v="42.88"/>
    <n v="10"/>
    <s v="Yes"/>
    <x v="13"/>
    <m/>
    <x v="0"/>
  </r>
  <r>
    <s v="PO-00376"/>
    <x v="4"/>
    <d v="2022-09-29T00:00:00"/>
    <d v="2022-10-07T00:00:00"/>
    <s v="Office Supplies"/>
    <s v="Delivered"/>
    <n v="1193"/>
    <n v="27.4"/>
    <n v="27.09"/>
    <m/>
    <s v="Yes"/>
    <x v="0"/>
    <m/>
    <x v="0"/>
  </r>
  <r>
    <s v="PO-00377"/>
    <x v="2"/>
    <d v="2022-05-16T00:00:00"/>
    <d v="2022-05-28T00:00:00"/>
    <s v="Office Supplies"/>
    <s v="Partially Delivered"/>
    <n v="1746"/>
    <n v="93.6"/>
    <n v="89.81"/>
    <n v="85"/>
    <s v="Yes"/>
    <x v="4"/>
    <m/>
    <x v="0"/>
  </r>
  <r>
    <s v="PO-00378"/>
    <x v="1"/>
    <d v="2022-12-24T00:00:00"/>
    <d v="2022-12-26T00:00:00"/>
    <s v="Electronics"/>
    <s v="Delivered"/>
    <n v="1993"/>
    <n v="65.94"/>
    <n v="59.36"/>
    <m/>
    <s v="Yes"/>
    <x v="24"/>
    <m/>
    <x v="0"/>
  </r>
  <r>
    <s v="PO-00379"/>
    <x v="3"/>
    <d v="2022-03-12T00:00:00"/>
    <d v="2022-03-27T00:00:00"/>
    <s v="Raw Materials"/>
    <s v="Delivered"/>
    <n v="677"/>
    <n v="46.54"/>
    <n v="43.11"/>
    <m/>
    <s v="No"/>
    <x v="8"/>
    <m/>
    <x v="0"/>
  </r>
  <r>
    <s v="PO-00380"/>
    <x v="0"/>
    <d v="2022-09-08T00:00:00"/>
    <m/>
    <s v="Office Supplies"/>
    <s v="Pending"/>
    <n v="636"/>
    <n v="53.64"/>
    <n v="49.23"/>
    <n v="18"/>
    <s v="Yes"/>
    <x v="30"/>
    <m/>
    <x v="11"/>
  </r>
  <r>
    <s v="PO-00381"/>
    <x v="4"/>
    <d v="2023-01-14T00:00:00"/>
    <d v="2023-02-02T00:00:00"/>
    <s v="Packaging"/>
    <s v="Delivered"/>
    <n v="1698"/>
    <n v="100.97"/>
    <n v="98.73"/>
    <n v="52"/>
    <s v="Yes"/>
    <x v="3"/>
    <m/>
    <x v="0"/>
  </r>
  <r>
    <s v="PO-00382"/>
    <x v="2"/>
    <d v="2022-10-19T00:00:00"/>
    <d v="2022-11-01T00:00:00"/>
    <s v="Office Supplies"/>
    <s v="Delivered"/>
    <n v="1493"/>
    <n v="24.87"/>
    <n v="22.89"/>
    <n v="56"/>
    <s v="Yes"/>
    <x v="13"/>
    <m/>
    <x v="0"/>
  </r>
  <r>
    <s v="PO-00383"/>
    <x v="0"/>
    <d v="2022-06-11T00:00:00"/>
    <d v="2022-06-25T00:00:00"/>
    <s v="Packaging"/>
    <s v="Delivered"/>
    <n v="1495"/>
    <n v="64.33"/>
    <n v="58.18"/>
    <n v="26"/>
    <s v="Yes"/>
    <x v="6"/>
    <m/>
    <x v="0"/>
  </r>
  <r>
    <s v="PO-00384"/>
    <x v="0"/>
    <d v="2023-03-25T00:00:00"/>
    <d v="2023-04-07T00:00:00"/>
    <s v="Packaging"/>
    <s v="Cancelled"/>
    <n v="153"/>
    <n v="59.42"/>
    <n v="52"/>
    <n v="3"/>
    <s v="Yes"/>
    <x v="13"/>
    <m/>
    <x v="0"/>
  </r>
  <r>
    <s v="PO-00385"/>
    <x v="1"/>
    <d v="2023-07-11T00:00:00"/>
    <d v="2023-07-22T00:00:00"/>
    <s v="Raw Materials"/>
    <s v="Cancelled"/>
    <n v="1925"/>
    <n v="70.88"/>
    <n v="63.41"/>
    <n v="292"/>
    <s v="Yes"/>
    <x v="5"/>
    <m/>
    <x v="0"/>
  </r>
  <r>
    <s v="PO-00386"/>
    <x v="3"/>
    <d v="2023-12-22T00:00:00"/>
    <d v="2024-01-11T00:00:00"/>
    <s v="Packaging"/>
    <s v="Delivered"/>
    <n v="303"/>
    <n v="12.97"/>
    <n v="11.42"/>
    <m/>
    <s v="No"/>
    <x v="2"/>
    <m/>
    <x v="0"/>
  </r>
  <r>
    <s v="PO-00387"/>
    <x v="0"/>
    <d v="2022-11-06T00:00:00"/>
    <d v="2022-11-18T00:00:00"/>
    <s v="Office Supplies"/>
    <s v="Delivered"/>
    <n v="1300"/>
    <n v="92.92"/>
    <n v="90.63"/>
    <m/>
    <s v="Yes"/>
    <x v="4"/>
    <m/>
    <x v="0"/>
  </r>
  <r>
    <s v="PO-00388"/>
    <x v="2"/>
    <d v="2023-09-19T00:00:00"/>
    <d v="2023-09-23T00:00:00"/>
    <s v="Raw Materials"/>
    <s v="Delivered"/>
    <n v="1185"/>
    <n v="103.28"/>
    <n v="99.05"/>
    <m/>
    <s v="Yes"/>
    <x v="7"/>
    <m/>
    <x v="0"/>
  </r>
  <r>
    <s v="PO-00389"/>
    <x v="4"/>
    <d v="2023-11-01T00:00:00"/>
    <d v="2023-11-20T00:00:00"/>
    <s v="Raw Materials"/>
    <s v="Delivered"/>
    <n v="559"/>
    <n v="67.56"/>
    <n v="57.98"/>
    <n v="15"/>
    <s v="Yes"/>
    <x v="3"/>
    <m/>
    <x v="0"/>
  </r>
  <r>
    <s v="PO-00390"/>
    <x v="4"/>
    <d v="2023-06-26T00:00:00"/>
    <d v="2023-06-29T00:00:00"/>
    <s v="Electronics"/>
    <s v="Pending"/>
    <n v="1546"/>
    <n v="78.88"/>
    <n v="78"/>
    <n v="38"/>
    <s v="Yes"/>
    <x v="12"/>
    <m/>
    <x v="0"/>
  </r>
  <r>
    <s v="PO-00391"/>
    <x v="4"/>
    <d v="2022-01-09T00:00:00"/>
    <d v="2022-01-19T00:00:00"/>
    <s v="Packaging"/>
    <s v="Delivered"/>
    <n v="148"/>
    <n v="93.02"/>
    <n v="85.96"/>
    <n v="4"/>
    <s v="Yes"/>
    <x v="1"/>
    <m/>
    <x v="0"/>
  </r>
  <r>
    <s v="PO-00392"/>
    <x v="1"/>
    <d v="2023-11-15T00:00:00"/>
    <d v="2023-11-23T00:00:00"/>
    <s v="Office Supplies"/>
    <s v="Delivered"/>
    <n v="202"/>
    <n v="81.75"/>
    <n v="78.260000000000005"/>
    <n v="37"/>
    <s v="No"/>
    <x v="0"/>
    <m/>
    <x v="0"/>
  </r>
  <r>
    <s v="PO-00393"/>
    <x v="2"/>
    <d v="2023-07-22T00:00:00"/>
    <d v="2023-07-28T00:00:00"/>
    <s v="Packaging"/>
    <s v="Delivered"/>
    <n v="1934"/>
    <n v="25.86"/>
    <n v="25.6"/>
    <n v="78"/>
    <s v="Yes"/>
    <x v="15"/>
    <m/>
    <x v="0"/>
  </r>
  <r>
    <s v="PO-00394"/>
    <x v="0"/>
    <d v="2022-11-03T00:00:00"/>
    <d v="2022-11-07T00:00:00"/>
    <s v="Office Supplies"/>
    <s v="Delivered"/>
    <n v="963"/>
    <n v="64.959999999999994"/>
    <n v="64.069999999999993"/>
    <n v="20"/>
    <s v="Yes"/>
    <x v="7"/>
    <m/>
    <x v="0"/>
  </r>
  <r>
    <s v="PO-00395"/>
    <x v="2"/>
    <d v="2023-11-11T00:00:00"/>
    <d v="2023-11-18T00:00:00"/>
    <s v="MRO"/>
    <s v="Delivered"/>
    <n v="1969"/>
    <n v="71.709999999999994"/>
    <n v="61.96"/>
    <m/>
    <s v="Yes"/>
    <x v="20"/>
    <m/>
    <x v="0"/>
  </r>
  <r>
    <s v="PO-00396"/>
    <x v="1"/>
    <d v="2022-04-17T00:00:00"/>
    <m/>
    <s v="Electronics"/>
    <s v="Delivered"/>
    <n v="927"/>
    <n v="48.89"/>
    <n v="46.05"/>
    <n v="138"/>
    <s v="Yes"/>
    <x v="65"/>
    <m/>
    <x v="46"/>
  </r>
  <r>
    <s v="PO-00397"/>
    <x v="1"/>
    <d v="2022-05-18T00:00:00"/>
    <d v="2022-05-23T00:00:00"/>
    <s v="Raw Materials"/>
    <s v="Cancelled"/>
    <n v="387"/>
    <n v="77.81"/>
    <n v="69.040000000000006"/>
    <n v="67"/>
    <s v="Yes"/>
    <x v="26"/>
    <m/>
    <x v="0"/>
  </r>
  <r>
    <s v="PO-00398"/>
    <x v="3"/>
    <d v="2022-09-28T00:00:00"/>
    <d v="2022-10-03T00:00:00"/>
    <s v="Electronics"/>
    <s v="Delivered"/>
    <n v="1779"/>
    <n v="97.86"/>
    <n v="94.36"/>
    <n v="176"/>
    <s v="Yes"/>
    <x v="26"/>
    <m/>
    <x v="0"/>
  </r>
  <r>
    <s v="PO-00399"/>
    <x v="2"/>
    <d v="2022-04-29T00:00:00"/>
    <d v="2022-05-05T00:00:00"/>
    <s v="MRO"/>
    <s v="Pending"/>
    <n v="871"/>
    <n v="94.7"/>
    <n v="92.66"/>
    <n v="46"/>
    <s v="Yes"/>
    <x v="15"/>
    <m/>
    <x v="0"/>
  </r>
  <r>
    <s v="PO-00400"/>
    <x v="4"/>
    <d v="2022-04-20T00:00:00"/>
    <d v="2022-04-23T00:00:00"/>
    <s v="Electronics"/>
    <s v="Delivered"/>
    <n v="1236"/>
    <n v="51.33"/>
    <n v="44.03"/>
    <n v="25"/>
    <s v="Yes"/>
    <x v="12"/>
    <m/>
    <x v="0"/>
  </r>
  <r>
    <s v="PO-00401"/>
    <x v="1"/>
    <d v="2023-07-21T00:00:00"/>
    <d v="2023-08-06T00:00:00"/>
    <s v="Electronics"/>
    <s v="Delivered"/>
    <n v="1793"/>
    <n v="22.01"/>
    <n v="21.78"/>
    <n v="285"/>
    <s v="Yes"/>
    <x v="14"/>
    <m/>
    <x v="0"/>
  </r>
  <r>
    <s v="PO-00402"/>
    <x v="1"/>
    <d v="2022-06-09T00:00:00"/>
    <d v="2022-06-28T00:00:00"/>
    <s v="MRO"/>
    <s v="Delivered"/>
    <n v="1006"/>
    <n v="101.1"/>
    <n v="89.04"/>
    <n v="139"/>
    <s v="Yes"/>
    <x v="3"/>
    <m/>
    <x v="0"/>
  </r>
  <r>
    <s v="PO-00403"/>
    <x v="3"/>
    <d v="2022-10-06T00:00:00"/>
    <d v="2022-10-21T00:00:00"/>
    <s v="Electronics"/>
    <s v="Cancelled"/>
    <n v="1754"/>
    <n v="89.35"/>
    <n v="86.54"/>
    <n v="161"/>
    <s v="No"/>
    <x v="8"/>
    <m/>
    <x v="0"/>
  </r>
  <r>
    <s v="PO-00404"/>
    <x v="4"/>
    <d v="2022-10-16T00:00:00"/>
    <d v="2022-11-04T00:00:00"/>
    <s v="Electronics"/>
    <s v="Delivered"/>
    <n v="210"/>
    <n v="22.17"/>
    <n v="21.32"/>
    <n v="10"/>
    <s v="Yes"/>
    <x v="3"/>
    <m/>
    <x v="0"/>
  </r>
  <r>
    <s v="PO-00405"/>
    <x v="1"/>
    <d v="2023-09-12T00:00:00"/>
    <d v="2023-10-02T00:00:00"/>
    <s v="MRO"/>
    <s v="Delivered"/>
    <n v="1653"/>
    <n v="102.16"/>
    <n v="91.91"/>
    <n v="217"/>
    <s v="Yes"/>
    <x v="2"/>
    <m/>
    <x v="0"/>
  </r>
  <r>
    <s v="PO-00406"/>
    <x v="0"/>
    <d v="2022-08-04T00:00:00"/>
    <d v="2022-08-15T00:00:00"/>
    <s v="MRO"/>
    <s v="Partially Delivered"/>
    <n v="850"/>
    <n v="91.38"/>
    <n v="88.41"/>
    <n v="24"/>
    <s v="Yes"/>
    <x v="5"/>
    <m/>
    <x v="0"/>
  </r>
  <r>
    <s v="PO-00407"/>
    <x v="4"/>
    <d v="2022-12-18T00:00:00"/>
    <d v="2022-12-21T00:00:00"/>
    <s v="Raw Materials"/>
    <s v="Delivered"/>
    <n v="447"/>
    <n v="59.81"/>
    <n v="57.92"/>
    <n v="13"/>
    <s v="Yes"/>
    <x v="12"/>
    <m/>
    <x v="0"/>
  </r>
  <r>
    <s v="PO-00408"/>
    <x v="2"/>
    <d v="2022-07-28T00:00:00"/>
    <d v="2022-08-07T00:00:00"/>
    <s v="Office Supplies"/>
    <s v="Delivered"/>
    <n v="1350"/>
    <n v="65.11"/>
    <n v="56.95"/>
    <n v="71"/>
    <s v="Yes"/>
    <x v="1"/>
    <m/>
    <x v="0"/>
  </r>
  <r>
    <s v="PO-00409"/>
    <x v="3"/>
    <d v="2023-12-05T00:00:00"/>
    <d v="2023-12-24T00:00:00"/>
    <s v="Office Supplies"/>
    <s v="Delivered"/>
    <n v="865"/>
    <n v="51.19"/>
    <n v="47.76"/>
    <n v="83"/>
    <s v="Yes"/>
    <x v="3"/>
    <m/>
    <x v="0"/>
  </r>
  <r>
    <s v="PO-00410"/>
    <x v="0"/>
    <d v="2023-10-12T00:00:00"/>
    <d v="2023-10-29T00:00:00"/>
    <s v="MRO"/>
    <s v="Delivered"/>
    <n v="1989"/>
    <n v="16.5"/>
    <n v="15.89"/>
    <n v="57"/>
    <s v="Yes"/>
    <x v="9"/>
    <m/>
    <x v="0"/>
  </r>
  <r>
    <s v="PO-00411"/>
    <x v="0"/>
    <d v="2022-09-28T00:00:00"/>
    <d v="2022-10-13T00:00:00"/>
    <s v="Office Supplies"/>
    <s v="Delivered"/>
    <n v="1577"/>
    <n v="41.77"/>
    <n v="39.58"/>
    <n v="32"/>
    <s v="Yes"/>
    <x v="8"/>
    <m/>
    <x v="0"/>
  </r>
  <r>
    <s v="PO-00412"/>
    <x v="2"/>
    <d v="2023-06-02T00:00:00"/>
    <d v="2023-06-04T00:00:00"/>
    <s v="Packaging"/>
    <s v="Pending"/>
    <n v="1969"/>
    <n v="89.25"/>
    <n v="87.28"/>
    <n v="108"/>
    <s v="No"/>
    <x v="24"/>
    <m/>
    <x v="0"/>
  </r>
  <r>
    <s v="PO-00413"/>
    <x v="3"/>
    <d v="2023-05-16T00:00:00"/>
    <d v="2023-05-26T00:00:00"/>
    <s v="Packaging"/>
    <s v="Partially Delivered"/>
    <n v="1465"/>
    <n v="11.25"/>
    <n v="9.61"/>
    <n v="151"/>
    <s v="Yes"/>
    <x v="1"/>
    <m/>
    <x v="0"/>
  </r>
  <r>
    <s v="PO-00414"/>
    <x v="1"/>
    <d v="2022-09-15T00:00:00"/>
    <d v="2022-09-18T00:00:00"/>
    <s v="Packaging"/>
    <s v="Pending"/>
    <n v="1208"/>
    <n v="41.62"/>
    <n v="39.46"/>
    <m/>
    <s v="Yes"/>
    <x v="12"/>
    <m/>
    <x v="0"/>
  </r>
  <r>
    <s v="PO-00415"/>
    <x v="3"/>
    <d v="2022-02-22T00:00:00"/>
    <d v="2022-03-11T00:00:00"/>
    <s v="Raw Materials"/>
    <s v="Delivered"/>
    <n v="1268"/>
    <n v="46.06"/>
    <n v="45.26"/>
    <n v="123"/>
    <s v="Yes"/>
    <x v="9"/>
    <m/>
    <x v="0"/>
  </r>
  <r>
    <s v="PO-00416"/>
    <x v="1"/>
    <d v="2022-04-05T00:00:00"/>
    <d v="2022-04-24T00:00:00"/>
    <s v="Office Supplies"/>
    <s v="Delivered"/>
    <n v="450"/>
    <n v="59.24"/>
    <n v="55.03"/>
    <n v="68"/>
    <s v="No"/>
    <x v="3"/>
    <m/>
    <x v="0"/>
  </r>
  <r>
    <s v="PO-00417"/>
    <x v="2"/>
    <d v="2023-10-12T00:00:00"/>
    <d v="2023-10-14T00:00:00"/>
    <s v="Electronics"/>
    <s v="Partially Delivered"/>
    <n v="689"/>
    <n v="102.53"/>
    <n v="95.23"/>
    <n v="38"/>
    <s v="Yes"/>
    <x v="24"/>
    <m/>
    <x v="0"/>
  </r>
  <r>
    <s v="PO-00418"/>
    <x v="2"/>
    <d v="2023-03-10T00:00:00"/>
    <d v="2023-03-29T00:00:00"/>
    <s v="MRO"/>
    <s v="Delivered"/>
    <n v="1106"/>
    <n v="44.05"/>
    <n v="38.6"/>
    <n v="51"/>
    <s v="Yes"/>
    <x v="3"/>
    <m/>
    <x v="0"/>
  </r>
  <r>
    <s v="PO-00419"/>
    <x v="0"/>
    <d v="2022-10-11T00:00:00"/>
    <d v="2022-10-22T00:00:00"/>
    <s v="Office Supplies"/>
    <s v="Delivered"/>
    <n v="737"/>
    <n v="43.08"/>
    <n v="42.58"/>
    <n v="21"/>
    <s v="Yes"/>
    <x v="5"/>
    <m/>
    <x v="0"/>
  </r>
  <r>
    <s v="PO-00420"/>
    <x v="0"/>
    <d v="2022-02-15T00:00:00"/>
    <d v="2022-03-04T00:00:00"/>
    <s v="Raw Materials"/>
    <s v="Delivered"/>
    <n v="509"/>
    <n v="76.760000000000005"/>
    <n v="74.72"/>
    <n v="7"/>
    <s v="No"/>
    <x v="9"/>
    <m/>
    <x v="0"/>
  </r>
  <r>
    <s v="PO-00421"/>
    <x v="0"/>
    <d v="2022-01-04T00:00:00"/>
    <d v="2022-01-06T00:00:00"/>
    <s v="Electronics"/>
    <s v="Delivered"/>
    <n v="1004"/>
    <n v="50.7"/>
    <n v="46.59"/>
    <n v="27"/>
    <s v="Yes"/>
    <x v="24"/>
    <m/>
    <x v="0"/>
  </r>
  <r>
    <s v="PO-00422"/>
    <x v="2"/>
    <d v="2022-12-08T00:00:00"/>
    <d v="2022-12-19T00:00:00"/>
    <s v="MRO"/>
    <s v="Pending"/>
    <n v="1956"/>
    <n v="31.88"/>
    <n v="28.48"/>
    <n v="86"/>
    <s v="Yes"/>
    <x v="5"/>
    <m/>
    <x v="0"/>
  </r>
  <r>
    <s v="PO-00423"/>
    <x v="1"/>
    <d v="2022-05-14T00:00:00"/>
    <m/>
    <s v="Electronics"/>
    <s v="Delivered"/>
    <n v="519"/>
    <n v="51.73"/>
    <n v="47.52"/>
    <n v="81"/>
    <s v="No"/>
    <x v="66"/>
    <m/>
    <x v="47"/>
  </r>
  <r>
    <s v="PO-00424"/>
    <x v="2"/>
    <d v="2023-10-15T00:00:00"/>
    <d v="2023-10-21T00:00:00"/>
    <s v="MRO"/>
    <s v="Partially Delivered"/>
    <n v="1448"/>
    <n v="25.06"/>
    <n v="21.62"/>
    <n v="84"/>
    <s v="Yes"/>
    <x v="15"/>
    <m/>
    <x v="0"/>
  </r>
  <r>
    <s v="PO-00425"/>
    <x v="2"/>
    <d v="2022-09-26T00:00:00"/>
    <d v="2022-10-11T00:00:00"/>
    <s v="Packaging"/>
    <s v="Delivered"/>
    <n v="1095"/>
    <n v="26.91"/>
    <n v="23.75"/>
    <n v="53"/>
    <s v="Yes"/>
    <x v="8"/>
    <m/>
    <x v="0"/>
  </r>
  <r>
    <s v="PO-00426"/>
    <x v="0"/>
    <d v="2022-06-15T00:00:00"/>
    <m/>
    <s v="MRO"/>
    <s v="Delivered"/>
    <n v="799"/>
    <n v="56.22"/>
    <n v="49.51"/>
    <n v="18"/>
    <s v="Yes"/>
    <x v="67"/>
    <m/>
    <x v="48"/>
  </r>
  <r>
    <s v="PO-00427"/>
    <x v="3"/>
    <d v="2023-03-29T00:00:00"/>
    <d v="2023-04-18T00:00:00"/>
    <s v="MRO"/>
    <s v="Partially Delivered"/>
    <n v="1743"/>
    <n v="51.04"/>
    <n v="47.15"/>
    <n v="160"/>
    <s v="Yes"/>
    <x v="2"/>
    <m/>
    <x v="0"/>
  </r>
  <r>
    <s v="PO-00428"/>
    <x v="0"/>
    <d v="2023-07-19T00:00:00"/>
    <d v="2023-07-31T00:00:00"/>
    <s v="Raw Materials"/>
    <s v="Delivered"/>
    <n v="87"/>
    <n v="100.65"/>
    <n v="85.56"/>
    <n v="1"/>
    <s v="Yes"/>
    <x v="4"/>
    <m/>
    <x v="0"/>
  </r>
  <r>
    <s v="PO-00429"/>
    <x v="3"/>
    <d v="2023-12-24T00:00:00"/>
    <m/>
    <s v="Raw Materials"/>
    <s v="Delivered"/>
    <n v="279"/>
    <n v="47.52"/>
    <n v="46.5"/>
    <n v="28"/>
    <s v="No"/>
    <x v="68"/>
    <m/>
    <x v="49"/>
  </r>
  <r>
    <s v="PO-00430"/>
    <x v="1"/>
    <d v="2023-03-14T00:00:00"/>
    <d v="2023-03-25T00:00:00"/>
    <s v="Raw Materials"/>
    <s v="Delivered"/>
    <n v="1438"/>
    <n v="66.61"/>
    <n v="58.5"/>
    <n v="237"/>
    <s v="Yes"/>
    <x v="5"/>
    <m/>
    <x v="0"/>
  </r>
  <r>
    <s v="PO-00431"/>
    <x v="1"/>
    <d v="2023-07-29T00:00:00"/>
    <d v="2023-07-31T00:00:00"/>
    <s v="Office Supplies"/>
    <s v="Partially Delivered"/>
    <n v="612"/>
    <n v="72.930000000000007"/>
    <n v="63.32"/>
    <n v="99"/>
    <s v="Yes"/>
    <x v="24"/>
    <m/>
    <x v="0"/>
  </r>
  <r>
    <s v="PO-00432"/>
    <x v="4"/>
    <d v="2022-01-10T00:00:00"/>
    <d v="2022-01-21T00:00:00"/>
    <s v="Packaging"/>
    <s v="Pending"/>
    <n v="487"/>
    <n v="11.18"/>
    <n v="10.63"/>
    <n v="15"/>
    <s v="Yes"/>
    <x v="5"/>
    <m/>
    <x v="0"/>
  </r>
  <r>
    <s v="PO-00433"/>
    <x v="4"/>
    <d v="2022-04-25T00:00:00"/>
    <d v="2022-04-29T00:00:00"/>
    <s v="Packaging"/>
    <s v="Partially Delivered"/>
    <n v="1849"/>
    <n v="70.760000000000005"/>
    <n v="69.25"/>
    <n v="51"/>
    <s v="Yes"/>
    <x v="7"/>
    <m/>
    <x v="0"/>
  </r>
  <r>
    <s v="PO-00434"/>
    <x v="4"/>
    <d v="2022-03-19T00:00:00"/>
    <d v="2022-04-01T00:00:00"/>
    <s v="MRO"/>
    <s v="Partially Delivered"/>
    <n v="1356"/>
    <n v="26.28"/>
    <n v="25.44"/>
    <n v="47"/>
    <s v="Yes"/>
    <x v="13"/>
    <m/>
    <x v="0"/>
  </r>
  <r>
    <s v="PO-00435"/>
    <x v="1"/>
    <d v="2023-12-09T00:00:00"/>
    <d v="2023-12-29T00:00:00"/>
    <s v="Raw Materials"/>
    <s v="Delivered"/>
    <n v="76"/>
    <n v="107.59"/>
    <n v="96.33"/>
    <n v="10"/>
    <s v="Yes"/>
    <x v="2"/>
    <m/>
    <x v="0"/>
  </r>
  <r>
    <s v="PO-00436"/>
    <x v="0"/>
    <d v="2022-06-02T00:00:00"/>
    <d v="2022-06-13T00:00:00"/>
    <s v="Packaging"/>
    <s v="Partially Delivered"/>
    <n v="275"/>
    <n v="23.96"/>
    <n v="20.440000000000001"/>
    <m/>
    <s v="Yes"/>
    <x v="5"/>
    <m/>
    <x v="0"/>
  </r>
  <r>
    <s v="PO-00437"/>
    <x v="0"/>
    <d v="2023-07-13T00:00:00"/>
    <d v="2023-07-18T00:00:00"/>
    <s v="Packaging"/>
    <s v="Delivered"/>
    <n v="1350"/>
    <n v="51.57"/>
    <n v="48.07"/>
    <m/>
    <s v="Yes"/>
    <x v="26"/>
    <m/>
    <x v="0"/>
  </r>
  <r>
    <s v="PO-00438"/>
    <x v="0"/>
    <d v="2022-02-06T00:00:00"/>
    <m/>
    <s v="MRO"/>
    <s v="Delivered"/>
    <n v="847"/>
    <n v="17.77"/>
    <n v="17.39"/>
    <m/>
    <s v="Yes"/>
    <x v="69"/>
    <m/>
    <x v="50"/>
  </r>
  <r>
    <s v="PO-00439"/>
    <x v="2"/>
    <d v="2023-01-14T00:00:00"/>
    <d v="2023-01-27T00:00:00"/>
    <s v="MRO"/>
    <s v="Delivered"/>
    <n v="1682"/>
    <n v="105.7"/>
    <n v="101.3"/>
    <n v="94"/>
    <s v="Yes"/>
    <x v="13"/>
    <m/>
    <x v="0"/>
  </r>
  <r>
    <s v="PO-00440"/>
    <x v="4"/>
    <d v="2023-08-20T00:00:00"/>
    <d v="2023-08-23T00:00:00"/>
    <s v="Electronics"/>
    <s v="Delivered"/>
    <n v="333"/>
    <n v="60.44"/>
    <n v="58.54"/>
    <n v="8"/>
    <s v="Yes"/>
    <x v="12"/>
    <m/>
    <x v="0"/>
  </r>
  <r>
    <s v="PO-00441"/>
    <x v="0"/>
    <d v="2023-07-20T00:00:00"/>
    <d v="2023-08-02T00:00:00"/>
    <s v="Electronics"/>
    <s v="Cancelled"/>
    <n v="928"/>
    <n v="69.31"/>
    <n v="67.260000000000005"/>
    <n v="20"/>
    <s v="Yes"/>
    <x v="13"/>
    <m/>
    <x v="0"/>
  </r>
  <r>
    <s v="PO-00442"/>
    <x v="4"/>
    <d v="2022-06-01T00:00:00"/>
    <d v="2022-06-12T00:00:00"/>
    <s v="MRO"/>
    <s v="Partially Delivered"/>
    <n v="1009"/>
    <n v="16.440000000000001"/>
    <n v="16.18"/>
    <m/>
    <s v="Yes"/>
    <x v="5"/>
    <m/>
    <x v="0"/>
  </r>
  <r>
    <s v="PO-00443"/>
    <x v="4"/>
    <d v="2023-03-17T00:00:00"/>
    <d v="2023-04-03T00:00:00"/>
    <s v="Electronics"/>
    <s v="Pending"/>
    <n v="1554"/>
    <n v="82.92"/>
    <n v="74.819999999999993"/>
    <n v="44"/>
    <s v="Yes"/>
    <x v="9"/>
    <m/>
    <x v="0"/>
  </r>
  <r>
    <s v="PO-00444"/>
    <x v="2"/>
    <d v="2022-05-11T00:00:00"/>
    <d v="2022-05-25T00:00:00"/>
    <s v="Packaging"/>
    <s v="Partially Delivered"/>
    <n v="502"/>
    <n v="29.47"/>
    <n v="28.94"/>
    <n v="27"/>
    <s v="Yes"/>
    <x v="6"/>
    <m/>
    <x v="0"/>
  </r>
  <r>
    <s v="PO-00445"/>
    <x v="1"/>
    <d v="2022-02-12T00:00:00"/>
    <d v="2022-02-13T00:00:00"/>
    <s v="MRO"/>
    <s v="Delivered"/>
    <n v="1069"/>
    <n v="91.28"/>
    <n v="82.64"/>
    <m/>
    <s v="Yes"/>
    <x v="18"/>
    <m/>
    <x v="0"/>
  </r>
  <r>
    <s v="PO-00446"/>
    <x v="0"/>
    <d v="2022-11-12T00:00:00"/>
    <d v="2022-11-18T00:00:00"/>
    <s v="MRO"/>
    <s v="Pending"/>
    <n v="1902"/>
    <n v="29.89"/>
    <n v="25.83"/>
    <n v="41"/>
    <s v="Yes"/>
    <x v="15"/>
    <m/>
    <x v="0"/>
  </r>
  <r>
    <s v="PO-00447"/>
    <x v="2"/>
    <d v="2023-01-09T00:00:00"/>
    <m/>
    <s v="Raw Materials"/>
    <s v="Pending"/>
    <n v="865"/>
    <n v="28.79"/>
    <n v="25.69"/>
    <n v="47"/>
    <s v="Yes"/>
    <x v="70"/>
    <m/>
    <x v="51"/>
  </r>
  <r>
    <s v="PO-00448"/>
    <x v="1"/>
    <d v="2022-02-10T00:00:00"/>
    <d v="2022-02-26T00:00:00"/>
    <s v="Packaging"/>
    <s v="Partially Delivered"/>
    <n v="708"/>
    <n v="13.36"/>
    <n v="11.61"/>
    <m/>
    <s v="No"/>
    <x v="14"/>
    <m/>
    <x v="0"/>
  </r>
  <r>
    <s v="PO-00449"/>
    <x v="1"/>
    <d v="2023-01-02T00:00:00"/>
    <d v="2023-01-07T00:00:00"/>
    <s v="Packaging"/>
    <s v="Delivered"/>
    <n v="1589"/>
    <n v="55.64"/>
    <n v="48.52"/>
    <m/>
    <s v="Yes"/>
    <x v="26"/>
    <m/>
    <x v="0"/>
  </r>
  <r>
    <s v="PO-00450"/>
    <x v="0"/>
    <d v="2022-08-04T00:00:00"/>
    <d v="2022-08-14T00:00:00"/>
    <s v="Office Supplies"/>
    <s v="Delivered"/>
    <n v="596"/>
    <n v="62.96"/>
    <n v="61.88"/>
    <n v="9"/>
    <s v="Yes"/>
    <x v="1"/>
    <m/>
    <x v="0"/>
  </r>
  <r>
    <s v="PO-00451"/>
    <x v="4"/>
    <d v="2023-11-30T00:00:00"/>
    <d v="2023-12-04T00:00:00"/>
    <s v="Office Supplies"/>
    <s v="Delivered"/>
    <n v="1265"/>
    <n v="17.66"/>
    <n v="16.97"/>
    <n v="34"/>
    <s v="Yes"/>
    <x v="7"/>
    <m/>
    <x v="0"/>
  </r>
  <r>
    <s v="PO-00452"/>
    <x v="3"/>
    <d v="2022-09-13T00:00:00"/>
    <d v="2022-10-01T00:00:00"/>
    <s v="Raw Materials"/>
    <s v="Delivered"/>
    <n v="1122"/>
    <n v="82.99"/>
    <n v="81.7"/>
    <n v="118"/>
    <s v="No"/>
    <x v="11"/>
    <m/>
    <x v="0"/>
  </r>
  <r>
    <s v="PO-00453"/>
    <x v="4"/>
    <d v="2023-11-14T00:00:00"/>
    <d v="2023-12-01T00:00:00"/>
    <s v="Office Supplies"/>
    <s v="Delivered"/>
    <n v="1585"/>
    <n v="56.38"/>
    <n v="53.05"/>
    <m/>
    <s v="Yes"/>
    <x v="9"/>
    <m/>
    <x v="0"/>
  </r>
  <r>
    <s v="PO-00454"/>
    <x v="4"/>
    <d v="2022-04-16T00:00:00"/>
    <d v="2022-04-27T00:00:00"/>
    <s v="Electronics"/>
    <s v="Delivered"/>
    <n v="66"/>
    <n v="58.05"/>
    <n v="50.76"/>
    <m/>
    <s v="Yes"/>
    <x v="5"/>
    <m/>
    <x v="0"/>
  </r>
  <r>
    <s v="PO-00455"/>
    <x v="3"/>
    <d v="2022-12-29T00:00:00"/>
    <d v="2023-01-18T00:00:00"/>
    <s v="MRO"/>
    <s v="Delivered"/>
    <n v="1245"/>
    <n v="52.4"/>
    <n v="51.65"/>
    <n v="118"/>
    <s v="No"/>
    <x v="2"/>
    <m/>
    <x v="0"/>
  </r>
  <r>
    <s v="PO-00456"/>
    <x v="1"/>
    <d v="2023-07-28T00:00:00"/>
    <d v="2023-08-10T00:00:00"/>
    <s v="Electronics"/>
    <s v="Delivered"/>
    <n v="1293"/>
    <n v="50.21"/>
    <n v="47.55"/>
    <m/>
    <s v="No"/>
    <x v="13"/>
    <m/>
    <x v="0"/>
  </r>
  <r>
    <s v="PO-00457"/>
    <x v="3"/>
    <d v="2023-02-21T00:00:00"/>
    <d v="2023-02-27T00:00:00"/>
    <s v="Packaging"/>
    <s v="Delivered"/>
    <n v="207"/>
    <n v="64.290000000000006"/>
    <n v="63.01"/>
    <n v="25"/>
    <s v="Yes"/>
    <x v="15"/>
    <m/>
    <x v="0"/>
  </r>
  <r>
    <s v="PO-00458"/>
    <x v="3"/>
    <d v="2023-09-28T00:00:00"/>
    <d v="2023-10-18T00:00:00"/>
    <s v="Office Supplies"/>
    <s v="Delivered"/>
    <n v="526"/>
    <n v="26.37"/>
    <n v="25.32"/>
    <n v="47"/>
    <s v="Yes"/>
    <x v="2"/>
    <m/>
    <x v="0"/>
  </r>
  <r>
    <s v="PO-00459"/>
    <x v="2"/>
    <d v="2022-06-08T00:00:00"/>
    <d v="2022-06-14T00:00:00"/>
    <s v="Electronics"/>
    <s v="Delivered"/>
    <n v="1119"/>
    <n v="27.03"/>
    <n v="23.82"/>
    <m/>
    <s v="Yes"/>
    <x v="15"/>
    <m/>
    <x v="0"/>
  </r>
  <r>
    <s v="PO-00460"/>
    <x v="2"/>
    <d v="2022-08-31T00:00:00"/>
    <d v="2022-09-02T00:00:00"/>
    <s v="Packaging"/>
    <s v="Delivered"/>
    <n v="1446"/>
    <n v="90.63"/>
    <n v="84.51"/>
    <n v="77"/>
    <s v="Yes"/>
    <x v="24"/>
    <m/>
    <x v="0"/>
  </r>
  <r>
    <s v="PO-00461"/>
    <x v="2"/>
    <d v="2022-06-16T00:00:00"/>
    <d v="2022-06-24T00:00:00"/>
    <s v="Office Supplies"/>
    <s v="Delivered"/>
    <n v="567"/>
    <n v="97.53"/>
    <n v="85.29"/>
    <n v="21"/>
    <s v="Yes"/>
    <x v="0"/>
    <m/>
    <x v="0"/>
  </r>
  <r>
    <s v="PO-00462"/>
    <x v="1"/>
    <d v="2022-07-01T00:00:00"/>
    <m/>
    <s v="MRO"/>
    <s v="Delivered"/>
    <n v="148"/>
    <n v="44.91"/>
    <n v="40.1"/>
    <m/>
    <s v="No"/>
    <x v="71"/>
    <m/>
    <x v="52"/>
  </r>
  <r>
    <s v="PO-00463"/>
    <x v="3"/>
    <d v="2023-02-27T00:00:00"/>
    <d v="2023-03-14T00:00:00"/>
    <s v="MRO"/>
    <s v="Pending"/>
    <n v="1965"/>
    <n v="36.6"/>
    <n v="34.64"/>
    <n v="195"/>
    <s v="Yes"/>
    <x v="8"/>
    <m/>
    <x v="0"/>
  </r>
  <r>
    <s v="PO-00464"/>
    <x v="0"/>
    <d v="2022-01-26T00:00:00"/>
    <d v="2022-02-03T00:00:00"/>
    <s v="Office Supplies"/>
    <s v="Pending"/>
    <n v="1818"/>
    <n v="67.959999999999994"/>
    <n v="58.98"/>
    <m/>
    <s v="Yes"/>
    <x v="0"/>
    <m/>
    <x v="0"/>
  </r>
  <r>
    <s v="PO-00465"/>
    <x v="3"/>
    <d v="2022-07-03T00:00:00"/>
    <d v="2022-07-19T00:00:00"/>
    <s v="MRO"/>
    <s v="Delivered"/>
    <n v="1110"/>
    <n v="48.19"/>
    <n v="45.88"/>
    <n v="112"/>
    <s v="Yes"/>
    <x v="14"/>
    <m/>
    <x v="0"/>
  </r>
  <r>
    <s v="PO-00466"/>
    <x v="1"/>
    <d v="2022-12-07T00:00:00"/>
    <m/>
    <s v="Raw Materials"/>
    <s v="Delivered"/>
    <n v="329"/>
    <n v="12.96"/>
    <n v="12.74"/>
    <n v="48"/>
    <s v="Yes"/>
    <x v="72"/>
    <m/>
    <x v="53"/>
  </r>
  <r>
    <s v="PO-00467"/>
    <x v="2"/>
    <d v="2023-02-26T00:00:00"/>
    <d v="2023-03-17T00:00:00"/>
    <s v="Office Supplies"/>
    <s v="Cancelled"/>
    <n v="1422"/>
    <n v="25.62"/>
    <n v="25.18"/>
    <n v="65"/>
    <s v="Yes"/>
    <x v="3"/>
    <m/>
    <x v="0"/>
  </r>
  <r>
    <s v="PO-00468"/>
    <x v="1"/>
    <d v="2023-11-17T00:00:00"/>
    <m/>
    <s v="Raw Materials"/>
    <s v="Delivered"/>
    <n v="546"/>
    <n v="82.63"/>
    <n v="74.77"/>
    <n v="76"/>
    <s v="No"/>
    <x v="73"/>
    <m/>
    <x v="54"/>
  </r>
  <r>
    <s v="PO-00469"/>
    <x v="2"/>
    <d v="2022-09-12T00:00:00"/>
    <d v="2022-09-22T00:00:00"/>
    <s v="Office Supplies"/>
    <s v="Partially Delivered"/>
    <n v="351"/>
    <n v="72.08"/>
    <n v="71.3"/>
    <n v="20"/>
    <s v="Yes"/>
    <x v="1"/>
    <m/>
    <x v="0"/>
  </r>
  <r>
    <s v="PO-00470"/>
    <x v="1"/>
    <d v="2022-10-01T00:00:00"/>
    <d v="2022-10-18T00:00:00"/>
    <s v="Raw Materials"/>
    <s v="Partially Delivered"/>
    <n v="230"/>
    <n v="13"/>
    <n v="12.81"/>
    <m/>
    <s v="No"/>
    <x v="9"/>
    <m/>
    <x v="0"/>
  </r>
  <r>
    <s v="PO-00471"/>
    <x v="0"/>
    <d v="2022-06-13T00:00:00"/>
    <d v="2022-06-19T00:00:00"/>
    <s v="MRO"/>
    <s v="Delivered"/>
    <n v="656"/>
    <n v="30.73"/>
    <n v="26.26"/>
    <n v="17"/>
    <s v="Yes"/>
    <x v="15"/>
    <m/>
    <x v="0"/>
  </r>
  <r>
    <s v="PO-00472"/>
    <x v="2"/>
    <d v="2023-12-20T00:00:00"/>
    <d v="2024-01-09T00:00:00"/>
    <s v="MRO"/>
    <s v="Delivered"/>
    <n v="1172"/>
    <n v="34.340000000000003"/>
    <n v="32.090000000000003"/>
    <n v="69"/>
    <s v="Yes"/>
    <x v="2"/>
    <m/>
    <x v="0"/>
  </r>
  <r>
    <s v="PO-00473"/>
    <x v="2"/>
    <d v="2022-04-21T00:00:00"/>
    <d v="2022-04-30T00:00:00"/>
    <s v="Electronics"/>
    <s v="Delivered"/>
    <n v="749"/>
    <n v="71.53"/>
    <n v="70.02"/>
    <n v="41"/>
    <s v="Yes"/>
    <x v="16"/>
    <m/>
    <x v="0"/>
  </r>
  <r>
    <s v="PO-00474"/>
    <x v="3"/>
    <d v="2023-01-27T00:00:00"/>
    <d v="2023-02-12T00:00:00"/>
    <s v="Packaging"/>
    <s v="Delivered"/>
    <n v="1042"/>
    <n v="12.48"/>
    <n v="12.3"/>
    <n v="88"/>
    <s v="Yes"/>
    <x v="14"/>
    <m/>
    <x v="0"/>
  </r>
  <r>
    <s v="PO-00475"/>
    <x v="1"/>
    <d v="2022-02-09T00:00:00"/>
    <d v="2022-02-27T00:00:00"/>
    <s v="Raw Materials"/>
    <s v="Delivered"/>
    <n v="1189"/>
    <n v="19.47"/>
    <n v="17.149999999999999"/>
    <m/>
    <s v="No"/>
    <x v="11"/>
    <m/>
    <x v="0"/>
  </r>
  <r>
    <s v="PO-00476"/>
    <x v="4"/>
    <d v="2023-04-27T00:00:00"/>
    <m/>
    <s v="Office Supplies"/>
    <s v="Delivered"/>
    <n v="240"/>
    <n v="88.14"/>
    <n v="81.900000000000006"/>
    <n v="4"/>
    <s v="Yes"/>
    <x v="74"/>
    <m/>
    <x v="55"/>
  </r>
  <r>
    <s v="PO-00477"/>
    <x v="4"/>
    <d v="2022-08-16T00:00:00"/>
    <d v="2022-09-02T00:00:00"/>
    <s v="MRO"/>
    <s v="Delivered"/>
    <n v="302"/>
    <n v="26.98"/>
    <n v="26.47"/>
    <n v="9"/>
    <s v="Yes"/>
    <x v="9"/>
    <m/>
    <x v="0"/>
  </r>
  <r>
    <s v="PO-00478"/>
    <x v="3"/>
    <d v="2022-07-24T00:00:00"/>
    <d v="2022-08-03T00:00:00"/>
    <s v="MRO"/>
    <s v="Pending"/>
    <n v="1030"/>
    <n v="70.81"/>
    <n v="61.58"/>
    <m/>
    <s v="No"/>
    <x v="1"/>
    <m/>
    <x v="0"/>
  </r>
  <r>
    <s v="PO-00479"/>
    <x v="1"/>
    <d v="2023-04-17T00:00:00"/>
    <d v="2023-04-23T00:00:00"/>
    <s v="Office Supplies"/>
    <s v="Delivered"/>
    <n v="977"/>
    <n v="33.79"/>
    <n v="32.25"/>
    <n v="137"/>
    <s v="Yes"/>
    <x v="15"/>
    <m/>
    <x v="0"/>
  </r>
  <r>
    <s v="PO-00480"/>
    <x v="0"/>
    <d v="2022-12-25T00:00:00"/>
    <d v="2023-01-11T00:00:00"/>
    <s v="Packaging"/>
    <s v="Delivered"/>
    <n v="1234"/>
    <n v="19.989999999999998"/>
    <n v="17.66"/>
    <n v="25"/>
    <s v="Yes"/>
    <x v="9"/>
    <m/>
    <x v="0"/>
  </r>
  <r>
    <s v="PO-00481"/>
    <x v="3"/>
    <d v="2022-11-09T00:00:00"/>
    <d v="2022-11-23T00:00:00"/>
    <s v="Office Supplies"/>
    <s v="Delivered"/>
    <n v="1329"/>
    <n v="33.479999999999997"/>
    <n v="33.06"/>
    <n v="146"/>
    <s v="Yes"/>
    <x v="6"/>
    <m/>
    <x v="0"/>
  </r>
  <r>
    <s v="PO-00482"/>
    <x v="2"/>
    <d v="2022-08-22T00:00:00"/>
    <d v="2022-08-30T00:00:00"/>
    <s v="Raw Materials"/>
    <s v="Delivered"/>
    <n v="1396"/>
    <n v="77.63"/>
    <n v="67.81"/>
    <n v="58"/>
    <s v="Yes"/>
    <x v="0"/>
    <m/>
    <x v="0"/>
  </r>
  <r>
    <s v="PO-00483"/>
    <x v="0"/>
    <d v="2022-08-17T00:00:00"/>
    <d v="2022-08-29T00:00:00"/>
    <s v="Raw Materials"/>
    <s v="Delivered"/>
    <n v="177"/>
    <n v="90.06"/>
    <n v="87.71"/>
    <n v="7"/>
    <s v="Yes"/>
    <x v="4"/>
    <m/>
    <x v="0"/>
  </r>
  <r>
    <s v="PO-00484"/>
    <x v="1"/>
    <d v="2022-01-25T00:00:00"/>
    <m/>
    <s v="Electronics"/>
    <s v="Delivered"/>
    <n v="67"/>
    <n v="84.72"/>
    <n v="73.06"/>
    <n v="9"/>
    <s v="Yes"/>
    <x v="75"/>
    <m/>
    <x v="56"/>
  </r>
  <r>
    <s v="PO-00485"/>
    <x v="2"/>
    <d v="2023-11-07T00:00:00"/>
    <d v="2023-11-20T00:00:00"/>
    <s v="Office Supplies"/>
    <s v="Delivered"/>
    <n v="1866"/>
    <n v="50.78"/>
    <n v="48.2"/>
    <n v="96"/>
    <s v="Yes"/>
    <x v="13"/>
    <m/>
    <x v="0"/>
  </r>
  <r>
    <s v="PO-00486"/>
    <x v="4"/>
    <d v="2022-07-17T00:00:00"/>
    <d v="2022-07-25T00:00:00"/>
    <s v="MRO"/>
    <s v="Delivered"/>
    <n v="1808"/>
    <n v="72.23"/>
    <n v="67.86"/>
    <n v="53"/>
    <s v="Yes"/>
    <x v="0"/>
    <m/>
    <x v="0"/>
  </r>
  <r>
    <s v="PO-00487"/>
    <x v="1"/>
    <d v="2023-02-13T00:00:00"/>
    <d v="2023-02-16T00:00:00"/>
    <s v="Electronics"/>
    <s v="Cancelled"/>
    <n v="615"/>
    <n v="30.3"/>
    <n v="29.52"/>
    <n v="96"/>
    <s v="Yes"/>
    <x v="12"/>
    <m/>
    <x v="0"/>
  </r>
  <r>
    <s v="PO-00488"/>
    <x v="2"/>
    <d v="2022-12-03T00:00:00"/>
    <d v="2022-12-04T00:00:00"/>
    <s v="Office Supplies"/>
    <s v="Pending"/>
    <n v="619"/>
    <n v="38.380000000000003"/>
    <n v="35.020000000000003"/>
    <n v="34"/>
    <s v="Yes"/>
    <x v="18"/>
    <m/>
    <x v="0"/>
  </r>
  <r>
    <s v="PO-00489"/>
    <x v="1"/>
    <d v="2022-10-13T00:00:00"/>
    <d v="2022-10-17T00:00:00"/>
    <s v="Office Supplies"/>
    <s v="Delivered"/>
    <n v="1396"/>
    <n v="94.75"/>
    <n v="84.06"/>
    <n v="210"/>
    <s v="Yes"/>
    <x v="7"/>
    <m/>
    <x v="0"/>
  </r>
  <r>
    <s v="PO-00490"/>
    <x v="2"/>
    <d v="2022-03-13T00:00:00"/>
    <d v="2022-03-24T00:00:00"/>
    <s v="MRO"/>
    <s v="Delivered"/>
    <n v="1945"/>
    <n v="11.28"/>
    <n v="9.98"/>
    <n v="94"/>
    <s v="Yes"/>
    <x v="5"/>
    <m/>
    <x v="0"/>
  </r>
  <r>
    <s v="PO-00491"/>
    <x v="1"/>
    <d v="2022-10-13T00:00:00"/>
    <d v="2022-10-18T00:00:00"/>
    <s v="Packaging"/>
    <s v="Delivered"/>
    <n v="735"/>
    <n v="18.489999999999998"/>
    <n v="15.89"/>
    <n v="113"/>
    <s v="No"/>
    <x v="26"/>
    <m/>
    <x v="0"/>
  </r>
  <r>
    <s v="PO-00492"/>
    <x v="4"/>
    <d v="2022-12-26T00:00:00"/>
    <d v="2023-01-11T00:00:00"/>
    <s v="Office Supplies"/>
    <s v="Pending"/>
    <n v="1865"/>
    <n v="30.29"/>
    <n v="26.83"/>
    <n v="56"/>
    <s v="Yes"/>
    <x v="14"/>
    <m/>
    <x v="0"/>
  </r>
  <r>
    <s v="PO-00493"/>
    <x v="3"/>
    <d v="2023-10-19T00:00:00"/>
    <d v="2023-10-24T00:00:00"/>
    <s v="Electronics"/>
    <s v="Cancelled"/>
    <n v="675"/>
    <n v="13.69"/>
    <n v="11.84"/>
    <n v="52"/>
    <s v="Yes"/>
    <x v="26"/>
    <m/>
    <x v="0"/>
  </r>
  <r>
    <s v="PO-00494"/>
    <x v="2"/>
    <d v="2023-06-06T00:00:00"/>
    <d v="2023-06-22T00:00:00"/>
    <s v="MRO"/>
    <s v="Pending"/>
    <n v="1361"/>
    <n v="28.57"/>
    <n v="24.29"/>
    <n v="65"/>
    <s v="Yes"/>
    <x v="14"/>
    <m/>
    <x v="0"/>
  </r>
  <r>
    <s v="PO-00495"/>
    <x v="2"/>
    <d v="2023-02-14T00:00:00"/>
    <d v="2023-02-15T00:00:00"/>
    <s v="Raw Materials"/>
    <s v="Delivered"/>
    <n v="903"/>
    <n v="66.53"/>
    <n v="60.15"/>
    <n v="29"/>
    <s v="Yes"/>
    <x v="18"/>
    <m/>
    <x v="0"/>
  </r>
  <r>
    <s v="PO-00496"/>
    <x v="4"/>
    <d v="2023-11-27T00:00:00"/>
    <m/>
    <s v="Packaging"/>
    <s v="Cancelled"/>
    <n v="1736"/>
    <n v="53.2"/>
    <n v="50.68"/>
    <n v="48"/>
    <s v="Yes"/>
    <x v="76"/>
    <m/>
    <x v="57"/>
  </r>
  <r>
    <s v="PO-00497"/>
    <x v="3"/>
    <d v="2023-07-04T00:00:00"/>
    <d v="2023-07-11T00:00:00"/>
    <s v="MRO"/>
    <s v="Delivered"/>
    <n v="1011"/>
    <n v="98.47"/>
    <n v="97.06"/>
    <n v="91"/>
    <s v="Yes"/>
    <x v="20"/>
    <m/>
    <x v="0"/>
  </r>
  <r>
    <s v="PO-00498"/>
    <x v="1"/>
    <d v="2022-12-06T00:00:00"/>
    <d v="2022-12-24T00:00:00"/>
    <s v="Electronics"/>
    <s v="Delivered"/>
    <n v="1712"/>
    <n v="88.17"/>
    <n v="85.86"/>
    <n v="246"/>
    <s v="Yes"/>
    <x v="11"/>
    <m/>
    <x v="0"/>
  </r>
  <r>
    <s v="PO-00499"/>
    <x v="2"/>
    <d v="2022-01-29T00:00:00"/>
    <m/>
    <s v="Office Supplies"/>
    <s v="Delivered"/>
    <n v="204"/>
    <n v="40.76"/>
    <n v="37.46"/>
    <n v="10"/>
    <s v="Yes"/>
    <x v="77"/>
    <m/>
    <x v="58"/>
  </r>
  <r>
    <s v="PO-00500"/>
    <x v="3"/>
    <d v="2022-04-29T00:00:00"/>
    <d v="2022-05-13T00:00:00"/>
    <s v="Electronics"/>
    <s v="Partially Delivered"/>
    <n v="539"/>
    <n v="33.85"/>
    <n v="30.57"/>
    <n v="34"/>
    <s v="No"/>
    <x v="6"/>
    <m/>
    <x v="0"/>
  </r>
  <r>
    <s v="PO-00501"/>
    <x v="1"/>
    <d v="2022-09-25T00:00:00"/>
    <d v="2022-10-05T00:00:00"/>
    <s v="Office Supplies"/>
    <s v="Delivered"/>
    <n v="1459"/>
    <n v="45.94"/>
    <n v="42.56"/>
    <n v="212"/>
    <s v="No"/>
    <x v="1"/>
    <m/>
    <x v="0"/>
  </r>
  <r>
    <s v="PO-00502"/>
    <x v="2"/>
    <d v="2022-07-02T00:00:00"/>
    <d v="2022-07-06T00:00:00"/>
    <s v="MRO"/>
    <s v="Delivered"/>
    <n v="834"/>
    <n v="65.02"/>
    <n v="56.19"/>
    <m/>
    <s v="Yes"/>
    <x v="7"/>
    <m/>
    <x v="0"/>
  </r>
  <r>
    <s v="PO-00503"/>
    <x v="2"/>
    <d v="2023-08-18T00:00:00"/>
    <d v="2023-09-01T00:00:00"/>
    <s v="Packaging"/>
    <s v="Partially Delivered"/>
    <n v="1177"/>
    <n v="37.369999999999997"/>
    <n v="34.270000000000003"/>
    <n v="60"/>
    <s v="Yes"/>
    <x v="6"/>
    <m/>
    <x v="0"/>
  </r>
  <r>
    <s v="PO-00504"/>
    <x v="1"/>
    <d v="2022-09-29T00:00:00"/>
    <d v="2022-10-19T00:00:00"/>
    <s v="MRO"/>
    <s v="Delivered"/>
    <n v="1466"/>
    <n v="68.819999999999993"/>
    <n v="66.819999999999993"/>
    <n v="211"/>
    <s v="Yes"/>
    <x v="2"/>
    <m/>
    <x v="0"/>
  </r>
  <r>
    <s v="PO-00505"/>
    <x v="4"/>
    <d v="2022-02-09T00:00:00"/>
    <d v="2022-02-13T00:00:00"/>
    <s v="Electronics"/>
    <s v="Delivered"/>
    <n v="1884"/>
    <n v="47.08"/>
    <n v="44.31"/>
    <n v="54"/>
    <s v="Yes"/>
    <x v="7"/>
    <m/>
    <x v="0"/>
  </r>
  <r>
    <s v="PO-00506"/>
    <x v="3"/>
    <d v="2022-04-22T00:00:00"/>
    <d v="2022-05-08T00:00:00"/>
    <s v="Electronics"/>
    <s v="Delivered"/>
    <n v="295"/>
    <n v="60.58"/>
    <n v="57.32"/>
    <n v="31"/>
    <s v="Yes"/>
    <x v="14"/>
    <m/>
    <x v="0"/>
  </r>
  <r>
    <s v="PO-00507"/>
    <x v="2"/>
    <d v="2023-09-03T00:00:00"/>
    <d v="2023-09-04T00:00:00"/>
    <s v="Raw Materials"/>
    <s v="Delivered"/>
    <n v="1249"/>
    <n v="54.18"/>
    <n v="47.29"/>
    <n v="59"/>
    <s v="Yes"/>
    <x v="18"/>
    <m/>
    <x v="0"/>
  </r>
  <r>
    <s v="PO-00508"/>
    <x v="1"/>
    <d v="2023-03-21T00:00:00"/>
    <d v="2023-04-09T00:00:00"/>
    <s v="Raw Materials"/>
    <s v="Delivered"/>
    <n v="1112"/>
    <n v="39.06"/>
    <n v="33.6"/>
    <n v="184"/>
    <s v="No"/>
    <x v="3"/>
    <m/>
    <x v="0"/>
  </r>
  <r>
    <s v="PO-00509"/>
    <x v="2"/>
    <d v="2022-12-20T00:00:00"/>
    <d v="2022-12-25T00:00:00"/>
    <s v="Office Supplies"/>
    <s v="Delivered"/>
    <n v="1550"/>
    <n v="100.61"/>
    <n v="97.43"/>
    <n v="66"/>
    <s v="Yes"/>
    <x v="26"/>
    <m/>
    <x v="0"/>
  </r>
  <r>
    <s v="PO-00510"/>
    <x v="1"/>
    <d v="2022-11-18T00:00:00"/>
    <d v="2022-11-19T00:00:00"/>
    <s v="Electronics"/>
    <s v="Delivered"/>
    <n v="1755"/>
    <n v="82.66"/>
    <n v="73.67"/>
    <n v="258"/>
    <s v="No"/>
    <x v="18"/>
    <m/>
    <x v="0"/>
  </r>
  <r>
    <s v="PO-00511"/>
    <x v="2"/>
    <d v="2023-03-23T00:00:00"/>
    <d v="2023-03-31T00:00:00"/>
    <s v="Raw Materials"/>
    <s v="Delivered"/>
    <n v="808"/>
    <n v="24.19"/>
    <n v="21.64"/>
    <n v="39"/>
    <s v="Yes"/>
    <x v="0"/>
    <m/>
    <x v="0"/>
  </r>
  <r>
    <s v="PO-00512"/>
    <x v="0"/>
    <d v="2023-09-13T00:00:00"/>
    <d v="2023-09-19T00:00:00"/>
    <s v="Raw Materials"/>
    <s v="Partially Delivered"/>
    <n v="587"/>
    <n v="96.98"/>
    <n v="95.35"/>
    <n v="14"/>
    <s v="Yes"/>
    <x v="15"/>
    <m/>
    <x v="0"/>
  </r>
  <r>
    <s v="PO-00513"/>
    <x v="4"/>
    <d v="2023-06-08T00:00:00"/>
    <d v="2023-06-11T00:00:00"/>
    <s v="MRO"/>
    <s v="Delivered"/>
    <n v="1940"/>
    <n v="58.45"/>
    <n v="50.29"/>
    <n v="54"/>
    <s v="Yes"/>
    <x v="12"/>
    <m/>
    <x v="0"/>
  </r>
  <r>
    <s v="PO-00514"/>
    <x v="3"/>
    <d v="2022-04-29T00:00:00"/>
    <d v="2022-05-11T00:00:00"/>
    <s v="Office Supplies"/>
    <s v="Cancelled"/>
    <n v="1891"/>
    <n v="91.87"/>
    <n v="80.28"/>
    <n v="158"/>
    <s v="Yes"/>
    <x v="4"/>
    <m/>
    <x v="0"/>
  </r>
  <r>
    <s v="PO-00515"/>
    <x v="4"/>
    <d v="2023-01-30T00:00:00"/>
    <d v="2023-02-16T00:00:00"/>
    <s v="Packaging"/>
    <s v="Delivered"/>
    <n v="970"/>
    <n v="86.91"/>
    <n v="78.44"/>
    <n v="18"/>
    <s v="Yes"/>
    <x v="9"/>
    <m/>
    <x v="0"/>
  </r>
  <r>
    <s v="PO-00516"/>
    <x v="4"/>
    <d v="2023-08-14T00:00:00"/>
    <d v="2023-08-31T00:00:00"/>
    <s v="MRO"/>
    <s v="Delivered"/>
    <n v="457"/>
    <n v="52.85"/>
    <n v="50.34"/>
    <n v="16"/>
    <s v="Yes"/>
    <x v="9"/>
    <m/>
    <x v="0"/>
  </r>
  <r>
    <s v="PO-00517"/>
    <x v="3"/>
    <d v="2022-07-14T00:00:00"/>
    <d v="2022-07-27T00:00:00"/>
    <s v="Office Supplies"/>
    <s v="Cancelled"/>
    <n v="574"/>
    <n v="12.38"/>
    <n v="11.47"/>
    <m/>
    <s v="No"/>
    <x v="13"/>
    <m/>
    <x v="0"/>
  </r>
  <r>
    <s v="PO-00518"/>
    <x v="4"/>
    <d v="2022-09-18T00:00:00"/>
    <d v="2022-09-20T00:00:00"/>
    <s v="Office Supplies"/>
    <s v="Delivered"/>
    <n v="877"/>
    <n v="35.549999999999997"/>
    <n v="34.69"/>
    <n v="24"/>
    <s v="Yes"/>
    <x v="24"/>
    <m/>
    <x v="0"/>
  </r>
  <r>
    <s v="PO-00519"/>
    <x v="0"/>
    <d v="2022-02-15T00:00:00"/>
    <d v="2022-02-27T00:00:00"/>
    <s v="MRO"/>
    <s v="Delivered"/>
    <n v="1579"/>
    <n v="59.04"/>
    <n v="50.95"/>
    <n v="29"/>
    <s v="Yes"/>
    <x v="4"/>
    <m/>
    <x v="0"/>
  </r>
  <r>
    <s v="PO-00520"/>
    <x v="1"/>
    <d v="2023-12-27T00:00:00"/>
    <d v="2023-12-28T00:00:00"/>
    <s v="Raw Materials"/>
    <s v="Delivered"/>
    <n v="952"/>
    <n v="74.72"/>
    <n v="69.73"/>
    <m/>
    <s v="Yes"/>
    <x v="18"/>
    <m/>
    <x v="0"/>
  </r>
  <r>
    <s v="PO-00521"/>
    <x v="3"/>
    <d v="2023-03-23T00:00:00"/>
    <d v="2023-03-26T00:00:00"/>
    <s v="Raw Materials"/>
    <s v="Pending"/>
    <n v="1898"/>
    <n v="35.53"/>
    <n v="33.25"/>
    <n v="187"/>
    <s v="Yes"/>
    <x v="12"/>
    <m/>
    <x v="0"/>
  </r>
  <r>
    <s v="PO-00522"/>
    <x v="1"/>
    <d v="2022-01-02T00:00:00"/>
    <d v="2022-01-06T00:00:00"/>
    <s v="Packaging"/>
    <s v="Delivered"/>
    <n v="85"/>
    <n v="22.54"/>
    <n v="20.68"/>
    <n v="6"/>
    <s v="Yes"/>
    <x v="7"/>
    <m/>
    <x v="0"/>
  </r>
  <r>
    <s v="PO-00523"/>
    <x v="2"/>
    <d v="2023-06-17T00:00:00"/>
    <d v="2023-06-28T00:00:00"/>
    <s v="Packaging"/>
    <s v="Pending"/>
    <n v="734"/>
    <n v="92.38"/>
    <n v="78.92"/>
    <n v="34"/>
    <s v="No"/>
    <x v="5"/>
    <m/>
    <x v="0"/>
  </r>
  <r>
    <s v="PO-00524"/>
    <x v="0"/>
    <d v="2023-07-06T00:00:00"/>
    <d v="2023-07-18T00:00:00"/>
    <s v="Office Supplies"/>
    <s v="Delivered"/>
    <n v="69"/>
    <n v="107.47"/>
    <n v="105.53"/>
    <m/>
    <s v="Yes"/>
    <x v="4"/>
    <m/>
    <x v="0"/>
  </r>
  <r>
    <s v="PO-00525"/>
    <x v="1"/>
    <d v="2023-12-05T00:00:00"/>
    <d v="2023-12-11T00:00:00"/>
    <s v="Packaging"/>
    <s v="Delivered"/>
    <n v="370"/>
    <n v="63.9"/>
    <n v="55.79"/>
    <n v="59"/>
    <s v="Yes"/>
    <x v="15"/>
    <m/>
    <x v="0"/>
  </r>
  <r>
    <s v="PO-00526"/>
    <x v="1"/>
    <d v="2023-11-18T00:00:00"/>
    <d v="2023-12-03T00:00:00"/>
    <s v="MRO"/>
    <s v="Delivered"/>
    <n v="1849"/>
    <n v="28.25"/>
    <n v="27.53"/>
    <n v="271"/>
    <s v="Yes"/>
    <x v="8"/>
    <m/>
    <x v="0"/>
  </r>
  <r>
    <s v="PO-00527"/>
    <x v="3"/>
    <d v="2022-07-21T00:00:00"/>
    <m/>
    <s v="Packaging"/>
    <s v="Delivered"/>
    <n v="561"/>
    <n v="35.54"/>
    <n v="30.99"/>
    <n v="68"/>
    <s v="No"/>
    <x v="78"/>
    <m/>
    <x v="59"/>
  </r>
  <r>
    <s v="PO-00528"/>
    <x v="2"/>
    <d v="2023-01-08T00:00:00"/>
    <d v="2023-01-14T00:00:00"/>
    <s v="Electronics"/>
    <s v="Delivered"/>
    <n v="449"/>
    <n v="12.35"/>
    <n v="10.67"/>
    <n v="29"/>
    <s v="Yes"/>
    <x v="15"/>
    <m/>
    <x v="0"/>
  </r>
  <r>
    <s v="PO-00529"/>
    <x v="3"/>
    <d v="2023-03-18T00:00:00"/>
    <d v="2023-03-21T00:00:00"/>
    <s v="Office Supplies"/>
    <s v="Delivered"/>
    <n v="703"/>
    <n v="98.75"/>
    <n v="86.78"/>
    <n v="59"/>
    <s v="Yes"/>
    <x v="12"/>
    <m/>
    <x v="0"/>
  </r>
  <r>
    <s v="PO-00530"/>
    <x v="2"/>
    <d v="2022-03-13T00:00:00"/>
    <d v="2022-03-28T00:00:00"/>
    <s v="Electronics"/>
    <s v="Delivered"/>
    <n v="1021"/>
    <n v="20.8"/>
    <n v="18.23"/>
    <n v="37"/>
    <s v="Yes"/>
    <x v="8"/>
    <m/>
    <x v="0"/>
  </r>
  <r>
    <s v="PO-00531"/>
    <x v="3"/>
    <d v="2023-11-12T00:00:00"/>
    <d v="2023-11-19T00:00:00"/>
    <s v="Office Supplies"/>
    <s v="Delivered"/>
    <n v="1956"/>
    <n v="68.69"/>
    <n v="65.09"/>
    <m/>
    <s v="Yes"/>
    <x v="20"/>
    <m/>
    <x v="0"/>
  </r>
  <r>
    <s v="PO-00532"/>
    <x v="1"/>
    <d v="2022-12-05T00:00:00"/>
    <d v="2022-12-12T00:00:00"/>
    <s v="Office Supplies"/>
    <s v="Partially Delivered"/>
    <n v="520"/>
    <n v="36.57"/>
    <n v="34.78"/>
    <n v="67"/>
    <s v="No"/>
    <x v="20"/>
    <m/>
    <x v="0"/>
  </r>
  <r>
    <s v="PO-00533"/>
    <x v="1"/>
    <d v="2023-10-01T00:00:00"/>
    <d v="2023-10-12T00:00:00"/>
    <s v="MRO"/>
    <s v="Delivered"/>
    <n v="1216"/>
    <n v="66.16"/>
    <n v="63"/>
    <n v="179"/>
    <s v="No"/>
    <x v="5"/>
    <m/>
    <x v="0"/>
  </r>
  <r>
    <s v="PO-00534"/>
    <x v="0"/>
    <d v="2022-11-18T00:00:00"/>
    <m/>
    <s v="Raw Materials"/>
    <s v="Delivered"/>
    <n v="1165"/>
    <n v="72.06"/>
    <n v="63.93"/>
    <m/>
    <s v="Yes"/>
    <x v="79"/>
    <m/>
    <x v="60"/>
  </r>
  <r>
    <s v="PO-00535"/>
    <x v="1"/>
    <d v="2023-11-11T00:00:00"/>
    <d v="2023-11-29T00:00:00"/>
    <s v="Packaging"/>
    <s v="Pending"/>
    <n v="1427"/>
    <n v="93.99"/>
    <n v="83.6"/>
    <n v="213"/>
    <s v="Yes"/>
    <x v="11"/>
    <m/>
    <x v="0"/>
  </r>
  <r>
    <s v="PO-00536"/>
    <x v="4"/>
    <d v="2022-05-08T00:00:00"/>
    <d v="2022-05-10T00:00:00"/>
    <s v="Electronics"/>
    <s v="Delivered"/>
    <n v="883"/>
    <n v="29.15"/>
    <n v="25.75"/>
    <n v="14"/>
    <s v="Yes"/>
    <x v="24"/>
    <m/>
    <x v="0"/>
  </r>
  <r>
    <s v="PO-00537"/>
    <x v="1"/>
    <d v="2022-11-04T00:00:00"/>
    <d v="2022-11-11T00:00:00"/>
    <s v="Packaging"/>
    <s v="Partially Delivered"/>
    <n v="1873"/>
    <n v="11.54"/>
    <n v="9.89"/>
    <n v="284"/>
    <s v="No"/>
    <x v="20"/>
    <m/>
    <x v="0"/>
  </r>
  <r>
    <s v="PO-00538"/>
    <x v="4"/>
    <d v="2023-06-04T00:00:00"/>
    <d v="2023-06-06T00:00:00"/>
    <s v="Office Supplies"/>
    <s v="Delivered"/>
    <n v="776"/>
    <n v="24.22"/>
    <n v="22.53"/>
    <n v="27"/>
    <s v="Yes"/>
    <x v="24"/>
    <m/>
    <x v="0"/>
  </r>
  <r>
    <s v="PO-00539"/>
    <x v="1"/>
    <d v="2022-11-13T00:00:00"/>
    <d v="2022-11-24T00:00:00"/>
    <s v="Electronics"/>
    <s v="Delivered"/>
    <n v="903"/>
    <n v="95.55"/>
    <n v="92.45"/>
    <n v="149"/>
    <s v="No"/>
    <x v="5"/>
    <m/>
    <x v="0"/>
  </r>
  <r>
    <s v="PO-00540"/>
    <x v="4"/>
    <d v="2023-11-14T00:00:00"/>
    <d v="2023-11-26T00:00:00"/>
    <s v="Electronics"/>
    <s v="Delivered"/>
    <n v="100"/>
    <n v="98.4"/>
    <n v="85.76"/>
    <n v="3"/>
    <s v="Yes"/>
    <x v="4"/>
    <m/>
    <x v="0"/>
  </r>
  <r>
    <s v="PO-00541"/>
    <x v="4"/>
    <d v="2023-02-23T00:00:00"/>
    <d v="2023-03-08T00:00:00"/>
    <s v="Office Supplies"/>
    <s v="Delivered"/>
    <n v="1738"/>
    <n v="67.91"/>
    <n v="61.15"/>
    <m/>
    <s v="Yes"/>
    <x v="13"/>
    <m/>
    <x v="0"/>
  </r>
  <r>
    <s v="PO-00542"/>
    <x v="1"/>
    <d v="2022-12-01T00:00:00"/>
    <d v="2022-12-14T00:00:00"/>
    <s v="Packaging"/>
    <s v="Delivered"/>
    <n v="1771"/>
    <n v="67.569999999999993"/>
    <n v="61.48"/>
    <n v="280"/>
    <s v="No"/>
    <x v="13"/>
    <m/>
    <x v="0"/>
  </r>
  <r>
    <s v="PO-00543"/>
    <x v="4"/>
    <d v="2023-02-17T00:00:00"/>
    <d v="2023-02-23T00:00:00"/>
    <s v="Electronics"/>
    <s v="Delivered"/>
    <n v="624"/>
    <n v="74.39"/>
    <n v="66.3"/>
    <n v="18"/>
    <s v="No"/>
    <x v="15"/>
    <m/>
    <x v="0"/>
  </r>
  <r>
    <s v="PO-00544"/>
    <x v="0"/>
    <d v="2023-12-15T00:00:00"/>
    <d v="2023-12-31T00:00:00"/>
    <s v="Packaging"/>
    <s v="Partially Delivered"/>
    <n v="1263"/>
    <n v="28.75"/>
    <n v="27.1"/>
    <n v="26"/>
    <s v="Yes"/>
    <x v="14"/>
    <m/>
    <x v="0"/>
  </r>
  <r>
    <s v="PO-00545"/>
    <x v="2"/>
    <d v="2022-10-30T00:00:00"/>
    <d v="2022-11-16T00:00:00"/>
    <s v="Electronics"/>
    <s v="Cancelled"/>
    <n v="1198"/>
    <n v="96.45"/>
    <n v="90.09"/>
    <m/>
    <s v="Yes"/>
    <x v="9"/>
    <m/>
    <x v="0"/>
  </r>
  <r>
    <s v="PO-00546"/>
    <x v="4"/>
    <d v="2023-07-22T00:00:00"/>
    <d v="2023-07-25T00:00:00"/>
    <s v="Raw Materials"/>
    <s v="Delivered"/>
    <n v="199"/>
    <n v="51.98"/>
    <n v="45.64"/>
    <m/>
    <s v="No"/>
    <x v="12"/>
    <m/>
    <x v="0"/>
  </r>
  <r>
    <s v="PO-00547"/>
    <x v="4"/>
    <d v="2022-05-11T00:00:00"/>
    <d v="2022-05-14T00:00:00"/>
    <s v="MRO"/>
    <s v="Pending"/>
    <n v="363"/>
    <n v="45.37"/>
    <n v="38.729999999999997"/>
    <m/>
    <s v="Yes"/>
    <x v="12"/>
    <m/>
    <x v="0"/>
  </r>
  <r>
    <s v="PO-00548"/>
    <x v="0"/>
    <d v="2022-07-16T00:00:00"/>
    <d v="2022-07-22T00:00:00"/>
    <s v="Office Supplies"/>
    <s v="Delivered"/>
    <n v="619"/>
    <n v="58.4"/>
    <n v="51.04"/>
    <m/>
    <s v="Yes"/>
    <x v="15"/>
    <m/>
    <x v="0"/>
  </r>
  <r>
    <s v="PO-00549"/>
    <x v="0"/>
    <d v="2023-03-07T00:00:00"/>
    <d v="2023-03-18T00:00:00"/>
    <s v="MRO"/>
    <s v="Delivered"/>
    <n v="1415"/>
    <n v="15.22"/>
    <n v="13.56"/>
    <n v="30"/>
    <s v="Yes"/>
    <x v="5"/>
    <m/>
    <x v="0"/>
  </r>
  <r>
    <s v="PO-00550"/>
    <x v="3"/>
    <d v="2023-11-12T00:00:00"/>
    <d v="2023-11-23T00:00:00"/>
    <s v="Packaging"/>
    <s v="Delivered"/>
    <n v="354"/>
    <n v="27.71"/>
    <n v="23.87"/>
    <n v="39"/>
    <s v="No"/>
    <x v="5"/>
    <m/>
    <x v="0"/>
  </r>
  <r>
    <s v="PO-00551"/>
    <x v="2"/>
    <d v="2023-01-24T00:00:00"/>
    <d v="2023-02-03T00:00:00"/>
    <s v="MRO"/>
    <s v="Delivered"/>
    <n v="1765"/>
    <n v="81.010000000000005"/>
    <n v="78.430000000000007"/>
    <n v="78"/>
    <s v="Yes"/>
    <x v="1"/>
    <m/>
    <x v="0"/>
  </r>
  <r>
    <s v="PO-00552"/>
    <x v="3"/>
    <d v="2023-11-25T00:00:00"/>
    <d v="2023-12-09T00:00:00"/>
    <s v="MRO"/>
    <s v="Delivered"/>
    <n v="731"/>
    <n v="19.37"/>
    <n v="17.3"/>
    <n v="69"/>
    <s v="No"/>
    <x v="6"/>
    <m/>
    <x v="0"/>
  </r>
  <r>
    <s v="PO-00553"/>
    <x v="4"/>
    <d v="2022-06-28T00:00:00"/>
    <d v="2022-07-13T00:00:00"/>
    <s v="MRO"/>
    <s v="Delivered"/>
    <n v="887"/>
    <n v="65.89"/>
    <n v="59.67"/>
    <n v="29"/>
    <s v="Yes"/>
    <x v="8"/>
    <m/>
    <x v="0"/>
  </r>
  <r>
    <s v="PO-00554"/>
    <x v="0"/>
    <d v="2023-09-23T00:00:00"/>
    <d v="2023-09-25T00:00:00"/>
    <s v="MRO"/>
    <s v="Delivered"/>
    <n v="1856"/>
    <n v="35.29"/>
    <n v="32.409999999999997"/>
    <n v="26"/>
    <s v="Yes"/>
    <x v="24"/>
    <m/>
    <x v="0"/>
  </r>
  <r>
    <s v="PO-00555"/>
    <x v="4"/>
    <d v="2023-08-06T00:00:00"/>
    <d v="2023-08-18T00:00:00"/>
    <s v="Office Supplies"/>
    <s v="Delivered"/>
    <n v="1127"/>
    <n v="49.32"/>
    <n v="46.49"/>
    <n v="30"/>
    <s v="Yes"/>
    <x v="4"/>
    <m/>
    <x v="0"/>
  </r>
  <r>
    <s v="PO-00556"/>
    <x v="1"/>
    <d v="2022-11-05T00:00:00"/>
    <d v="2022-11-19T00:00:00"/>
    <s v="Raw Materials"/>
    <s v="Delivered"/>
    <n v="1052"/>
    <n v="37.78"/>
    <n v="32.6"/>
    <n v="162"/>
    <s v="Yes"/>
    <x v="6"/>
    <m/>
    <x v="0"/>
  </r>
  <r>
    <s v="PO-00557"/>
    <x v="2"/>
    <d v="2023-02-20T00:00:00"/>
    <d v="2023-02-22T00:00:00"/>
    <s v="Raw Materials"/>
    <s v="Delivered"/>
    <n v="493"/>
    <n v="44.74"/>
    <n v="41.44"/>
    <n v="24"/>
    <s v="No"/>
    <x v="24"/>
    <m/>
    <x v="0"/>
  </r>
  <r>
    <s v="PO-00558"/>
    <x v="1"/>
    <d v="2023-07-16T00:00:00"/>
    <d v="2023-07-29T00:00:00"/>
    <s v="MRO"/>
    <s v="Partially Delivered"/>
    <n v="662"/>
    <n v="81.44"/>
    <n v="71.33"/>
    <n v="87"/>
    <s v="Yes"/>
    <x v="13"/>
    <m/>
    <x v="0"/>
  </r>
  <r>
    <s v="PO-00559"/>
    <x v="0"/>
    <d v="2022-01-01T00:00:00"/>
    <d v="2022-01-07T00:00:00"/>
    <s v="Raw Materials"/>
    <s v="Delivered"/>
    <n v="1042"/>
    <n v="36.74"/>
    <n v="35.78"/>
    <n v="33"/>
    <s v="Yes"/>
    <x v="15"/>
    <m/>
    <x v="0"/>
  </r>
  <r>
    <s v="PO-00560"/>
    <x v="0"/>
    <d v="2022-11-08T00:00:00"/>
    <m/>
    <s v="Raw Materials"/>
    <s v="Delivered"/>
    <n v="313"/>
    <n v="64.03"/>
    <n v="57.74"/>
    <n v="1"/>
    <s v="Yes"/>
    <x v="80"/>
    <m/>
    <x v="61"/>
  </r>
  <r>
    <s v="PO-00561"/>
    <x v="0"/>
    <d v="2022-10-21T00:00:00"/>
    <d v="2022-11-10T00:00:00"/>
    <s v="Office Supplies"/>
    <s v="Delivered"/>
    <n v="1126"/>
    <n v="55.22"/>
    <n v="50.38"/>
    <m/>
    <s v="Yes"/>
    <x v="2"/>
    <m/>
    <x v="0"/>
  </r>
  <r>
    <s v="PO-00562"/>
    <x v="2"/>
    <d v="2022-08-04T00:00:00"/>
    <d v="2022-08-19T00:00:00"/>
    <s v="MRO"/>
    <s v="Delivered"/>
    <n v="1645"/>
    <n v="72.17"/>
    <n v="64"/>
    <n v="79"/>
    <s v="Yes"/>
    <x v="8"/>
    <m/>
    <x v="0"/>
  </r>
  <r>
    <s v="PO-00563"/>
    <x v="3"/>
    <d v="2023-03-17T00:00:00"/>
    <d v="2023-03-20T00:00:00"/>
    <s v="Packaging"/>
    <s v="Delivered"/>
    <n v="1053"/>
    <n v="100.92"/>
    <n v="92.35"/>
    <n v="104"/>
    <s v="Yes"/>
    <x v="12"/>
    <m/>
    <x v="0"/>
  </r>
  <r>
    <s v="PO-00564"/>
    <x v="4"/>
    <d v="2023-08-17T00:00:00"/>
    <d v="2023-08-29T00:00:00"/>
    <s v="MRO"/>
    <s v="Delivered"/>
    <n v="1693"/>
    <n v="83.14"/>
    <n v="73.3"/>
    <n v="62"/>
    <s v="Yes"/>
    <x v="4"/>
    <m/>
    <x v="0"/>
  </r>
  <r>
    <s v="PO-00565"/>
    <x v="4"/>
    <d v="2023-09-14T00:00:00"/>
    <d v="2023-10-03T00:00:00"/>
    <s v="Raw Materials"/>
    <s v="Pending"/>
    <n v="54"/>
    <n v="32.28"/>
    <n v="28.65"/>
    <n v="3"/>
    <s v="Yes"/>
    <x v="3"/>
    <m/>
    <x v="0"/>
  </r>
  <r>
    <s v="PO-00566"/>
    <x v="4"/>
    <d v="2023-11-02T00:00:00"/>
    <d v="2023-11-07T00:00:00"/>
    <s v="Packaging"/>
    <s v="Delivered"/>
    <n v="1176"/>
    <n v="14.22"/>
    <n v="12.21"/>
    <n v="33"/>
    <s v="Yes"/>
    <x v="26"/>
    <m/>
    <x v="0"/>
  </r>
  <r>
    <s v="PO-00567"/>
    <x v="4"/>
    <d v="2022-11-26T00:00:00"/>
    <d v="2022-12-08T00:00:00"/>
    <s v="Raw Materials"/>
    <s v="Delivered"/>
    <n v="1269"/>
    <n v="35.28"/>
    <n v="33.700000000000003"/>
    <n v="35"/>
    <s v="Yes"/>
    <x v="4"/>
    <m/>
    <x v="0"/>
  </r>
  <r>
    <s v="PO-00568"/>
    <x v="4"/>
    <d v="2023-04-22T00:00:00"/>
    <d v="2023-04-25T00:00:00"/>
    <s v="Raw Materials"/>
    <s v="Delivered"/>
    <n v="823"/>
    <n v="68.319999999999993"/>
    <n v="64.459999999999994"/>
    <n v="19"/>
    <s v="Yes"/>
    <x v="12"/>
    <m/>
    <x v="0"/>
  </r>
  <r>
    <s v="PO-00569"/>
    <x v="3"/>
    <d v="2023-03-29T00:00:00"/>
    <d v="2023-04-15T00:00:00"/>
    <s v="Electronics"/>
    <s v="Delivered"/>
    <n v="926"/>
    <n v="15.65"/>
    <n v="13.49"/>
    <n v="94"/>
    <s v="No"/>
    <x v="9"/>
    <m/>
    <x v="0"/>
  </r>
  <r>
    <s v="PO-00570"/>
    <x v="1"/>
    <d v="2023-03-29T00:00:00"/>
    <d v="2023-04-09T00:00:00"/>
    <s v="Electronics"/>
    <s v="Cancelled"/>
    <n v="1041"/>
    <n v="58.5"/>
    <n v="52.54"/>
    <n v="170"/>
    <s v="No"/>
    <x v="5"/>
    <m/>
    <x v="0"/>
  </r>
  <r>
    <s v="PO-00571"/>
    <x v="2"/>
    <d v="2023-11-23T00:00:00"/>
    <d v="2023-12-01T00:00:00"/>
    <s v="Electronics"/>
    <s v="Pending"/>
    <n v="933"/>
    <n v="70.72"/>
    <n v="65.47"/>
    <n v="42"/>
    <s v="Yes"/>
    <x v="0"/>
    <m/>
    <x v="0"/>
  </r>
  <r>
    <s v="PO-00572"/>
    <x v="1"/>
    <d v="2022-08-07T00:00:00"/>
    <m/>
    <s v="Raw Materials"/>
    <s v="Delivered"/>
    <n v="1423"/>
    <n v="41.48"/>
    <n v="40.9"/>
    <n v="199"/>
    <s v="Yes"/>
    <x v="81"/>
    <m/>
    <x v="62"/>
  </r>
  <r>
    <s v="PO-00573"/>
    <x v="1"/>
    <d v="2023-06-08T00:00:00"/>
    <d v="2023-06-14T00:00:00"/>
    <s v="MRO"/>
    <s v="Delivered"/>
    <n v="96"/>
    <n v="86.13"/>
    <n v="80.319999999999993"/>
    <n v="12"/>
    <s v="No"/>
    <x v="15"/>
    <m/>
    <x v="0"/>
  </r>
  <r>
    <s v="PO-00574"/>
    <x v="4"/>
    <d v="2023-04-30T00:00:00"/>
    <d v="2023-05-13T00:00:00"/>
    <s v="MRO"/>
    <s v="Delivered"/>
    <n v="916"/>
    <n v="21.06"/>
    <n v="19.53"/>
    <n v="25"/>
    <s v="Yes"/>
    <x v="13"/>
    <m/>
    <x v="0"/>
  </r>
  <r>
    <s v="PO-00575"/>
    <x v="4"/>
    <d v="2022-06-23T00:00:00"/>
    <m/>
    <s v="Raw Materials"/>
    <s v="Delivered"/>
    <n v="872"/>
    <n v="17.18"/>
    <n v="16.63"/>
    <n v="20"/>
    <s v="Yes"/>
    <x v="82"/>
    <m/>
    <x v="63"/>
  </r>
  <r>
    <s v="PO-00576"/>
    <x v="3"/>
    <d v="2023-11-06T00:00:00"/>
    <d v="2023-11-15T00:00:00"/>
    <s v="Electronics"/>
    <s v="Delivered"/>
    <n v="985"/>
    <n v="83.85"/>
    <n v="80.88"/>
    <m/>
    <s v="No"/>
    <x v="16"/>
    <m/>
    <x v="0"/>
  </r>
  <r>
    <s v="PO-00577"/>
    <x v="2"/>
    <d v="2022-03-28T00:00:00"/>
    <d v="2022-04-04T00:00:00"/>
    <s v="Raw Materials"/>
    <s v="Delivered"/>
    <n v="1893"/>
    <n v="55.14"/>
    <n v="50.1"/>
    <n v="98"/>
    <s v="Yes"/>
    <x v="20"/>
    <m/>
    <x v="0"/>
  </r>
  <r>
    <s v="PO-00578"/>
    <x v="0"/>
    <d v="2022-10-18T00:00:00"/>
    <m/>
    <s v="MRO"/>
    <s v="Delivered"/>
    <n v="705"/>
    <n v="75.19"/>
    <n v="69.55"/>
    <n v="19"/>
    <s v="Yes"/>
    <x v="83"/>
    <m/>
    <x v="64"/>
  </r>
  <r>
    <s v="PO-00579"/>
    <x v="1"/>
    <d v="2023-06-12T00:00:00"/>
    <d v="2023-06-28T00:00:00"/>
    <s v="MRO"/>
    <s v="Delivered"/>
    <n v="318"/>
    <n v="53.31"/>
    <n v="51.78"/>
    <m/>
    <s v="No"/>
    <x v="14"/>
    <m/>
    <x v="0"/>
  </r>
  <r>
    <s v="PO-00580"/>
    <x v="0"/>
    <d v="2023-11-11T00:00:00"/>
    <d v="2023-11-16T00:00:00"/>
    <s v="Office Supplies"/>
    <s v="Pending"/>
    <n v="419"/>
    <n v="35.72"/>
    <n v="32.74"/>
    <n v="7"/>
    <s v="Yes"/>
    <x v="26"/>
    <m/>
    <x v="0"/>
  </r>
  <r>
    <s v="PO-00581"/>
    <x v="2"/>
    <d v="2023-10-11T00:00:00"/>
    <d v="2023-10-26T00:00:00"/>
    <s v="MRO"/>
    <s v="Delivered"/>
    <n v="685"/>
    <n v="92.51"/>
    <n v="90.05"/>
    <n v="38"/>
    <s v="Yes"/>
    <x v="8"/>
    <m/>
    <x v="0"/>
  </r>
  <r>
    <s v="PO-00582"/>
    <x v="1"/>
    <d v="2023-09-27T00:00:00"/>
    <d v="2023-10-12T00:00:00"/>
    <s v="Office Supplies"/>
    <s v="Partially Delivered"/>
    <n v="1179"/>
    <n v="90.14"/>
    <n v="82.63"/>
    <n v="194"/>
    <s v="Yes"/>
    <x v="8"/>
    <m/>
    <x v="0"/>
  </r>
  <r>
    <s v="PO-00583"/>
    <x v="0"/>
    <d v="2022-12-10T00:00:00"/>
    <m/>
    <s v="Raw Materials"/>
    <s v="Delivered"/>
    <n v="1743"/>
    <n v="76.510000000000005"/>
    <n v="65.88"/>
    <n v="40"/>
    <s v="Yes"/>
    <x v="84"/>
    <m/>
    <x v="65"/>
  </r>
  <r>
    <s v="PO-00584"/>
    <x v="0"/>
    <d v="2022-04-06T00:00:00"/>
    <d v="2022-04-17T00:00:00"/>
    <s v="MRO"/>
    <s v="Delivered"/>
    <n v="1732"/>
    <n v="35.01"/>
    <n v="34.18"/>
    <n v="40"/>
    <s v="Yes"/>
    <x v="5"/>
    <m/>
    <x v="0"/>
  </r>
  <r>
    <s v="PO-00585"/>
    <x v="3"/>
    <d v="2022-08-29T00:00:00"/>
    <d v="2022-09-01T00:00:00"/>
    <s v="Office Supplies"/>
    <s v="Delivered"/>
    <n v="706"/>
    <n v="65.33"/>
    <n v="62.06"/>
    <n v="60"/>
    <s v="No"/>
    <x v="12"/>
    <m/>
    <x v="0"/>
  </r>
  <r>
    <s v="PO-00586"/>
    <x v="2"/>
    <d v="2023-11-20T00:00:00"/>
    <d v="2023-11-30T00:00:00"/>
    <s v="MRO"/>
    <s v="Cancelled"/>
    <n v="169"/>
    <n v="47.16"/>
    <n v="43.4"/>
    <m/>
    <s v="Yes"/>
    <x v="1"/>
    <m/>
    <x v="0"/>
  </r>
  <r>
    <s v="PO-00587"/>
    <x v="2"/>
    <d v="2022-11-14T00:00:00"/>
    <d v="2022-11-20T00:00:00"/>
    <s v="Office Supplies"/>
    <s v="Pending"/>
    <n v="880"/>
    <n v="19.149999999999999"/>
    <n v="18.690000000000001"/>
    <m/>
    <s v="No"/>
    <x v="15"/>
    <m/>
    <x v="0"/>
  </r>
  <r>
    <s v="PO-00588"/>
    <x v="2"/>
    <d v="2022-08-19T00:00:00"/>
    <d v="2022-08-25T00:00:00"/>
    <s v="MRO"/>
    <s v="Delivered"/>
    <n v="1860"/>
    <n v="95.8"/>
    <n v="92.17"/>
    <n v="105"/>
    <s v="No"/>
    <x v="15"/>
    <m/>
    <x v="0"/>
  </r>
  <r>
    <s v="PO-00589"/>
    <x v="1"/>
    <d v="2022-07-23T00:00:00"/>
    <d v="2022-08-09T00:00:00"/>
    <s v="MRO"/>
    <s v="Delivered"/>
    <n v="1677"/>
    <n v="22.98"/>
    <n v="21.71"/>
    <n v="246"/>
    <s v="Yes"/>
    <x v="9"/>
    <m/>
    <x v="0"/>
  </r>
  <r>
    <s v="PO-00590"/>
    <x v="3"/>
    <d v="2022-05-31T00:00:00"/>
    <d v="2022-06-07T00:00:00"/>
    <s v="Packaging"/>
    <s v="Partially Delivered"/>
    <n v="1131"/>
    <n v="97.43"/>
    <n v="91.28"/>
    <n v="103"/>
    <s v="Yes"/>
    <x v="20"/>
    <m/>
    <x v="0"/>
  </r>
  <r>
    <s v="PO-00591"/>
    <x v="4"/>
    <d v="2022-01-26T00:00:00"/>
    <d v="2022-02-03T00:00:00"/>
    <s v="Raw Materials"/>
    <s v="Cancelled"/>
    <n v="1419"/>
    <n v="50.14"/>
    <n v="43.46"/>
    <m/>
    <s v="Yes"/>
    <x v="0"/>
    <m/>
    <x v="0"/>
  </r>
  <r>
    <s v="PO-00592"/>
    <x v="1"/>
    <d v="2022-02-17T00:00:00"/>
    <d v="2022-02-18T00:00:00"/>
    <s v="Raw Materials"/>
    <s v="Pending"/>
    <n v="790"/>
    <n v="26.8"/>
    <n v="25.62"/>
    <n v="115"/>
    <s v="Yes"/>
    <x v="18"/>
    <m/>
    <x v="0"/>
  </r>
  <r>
    <s v="PO-00593"/>
    <x v="2"/>
    <d v="2022-09-08T00:00:00"/>
    <d v="2022-09-27T00:00:00"/>
    <s v="MRO"/>
    <s v="Pending"/>
    <n v="1547"/>
    <n v="61.12"/>
    <n v="53.43"/>
    <n v="77"/>
    <s v="Yes"/>
    <x v="3"/>
    <m/>
    <x v="0"/>
  </r>
  <r>
    <s v="PO-00594"/>
    <x v="1"/>
    <d v="2023-05-02T00:00:00"/>
    <d v="2023-05-20T00:00:00"/>
    <s v="Office Supplies"/>
    <s v="Cancelled"/>
    <n v="166"/>
    <n v="95.65"/>
    <n v="94.48"/>
    <n v="23"/>
    <s v="Yes"/>
    <x v="11"/>
    <m/>
    <x v="0"/>
  </r>
  <r>
    <s v="PO-00595"/>
    <x v="0"/>
    <d v="2023-09-18T00:00:00"/>
    <d v="2023-09-21T00:00:00"/>
    <s v="Electronics"/>
    <s v="Delivered"/>
    <n v="1903"/>
    <n v="83.49"/>
    <n v="82.33"/>
    <n v="43"/>
    <s v="Yes"/>
    <x v="12"/>
    <m/>
    <x v="0"/>
  </r>
  <r>
    <s v="PO-00596"/>
    <x v="1"/>
    <d v="2022-03-16T00:00:00"/>
    <d v="2022-03-29T00:00:00"/>
    <s v="Office Supplies"/>
    <s v="Partially Delivered"/>
    <n v="840"/>
    <n v="83.42"/>
    <n v="80.349999999999994"/>
    <n v="153"/>
    <s v="Yes"/>
    <x v="13"/>
    <m/>
    <x v="0"/>
  </r>
  <r>
    <s v="PO-00597"/>
    <x v="1"/>
    <d v="2023-04-12T00:00:00"/>
    <m/>
    <s v="MRO"/>
    <s v="Delivered"/>
    <n v="1200"/>
    <n v="74.489999999999995"/>
    <n v="64.63"/>
    <n v="161"/>
    <s v="Yes"/>
    <x v="85"/>
    <m/>
    <x v="66"/>
  </r>
  <r>
    <s v="PO-00598"/>
    <x v="2"/>
    <d v="2023-03-01T00:00:00"/>
    <d v="2023-03-18T00:00:00"/>
    <s v="Raw Materials"/>
    <s v="Delivered"/>
    <n v="1466"/>
    <n v="77.37"/>
    <n v="70.349999999999994"/>
    <n v="72"/>
    <s v="Yes"/>
    <x v="9"/>
    <m/>
    <x v="0"/>
  </r>
  <r>
    <s v="PO-00599"/>
    <x v="0"/>
    <d v="2023-10-07T00:00:00"/>
    <d v="2023-10-21T00:00:00"/>
    <s v="Office Supplies"/>
    <s v="Delivered"/>
    <n v="1981"/>
    <n v="95.5"/>
    <n v="94.39"/>
    <n v="49"/>
    <s v="Yes"/>
    <x v="6"/>
    <m/>
    <x v="0"/>
  </r>
  <r>
    <s v="PO-00600"/>
    <x v="2"/>
    <d v="2023-08-13T00:00:00"/>
    <d v="2023-08-16T00:00:00"/>
    <s v="Packaging"/>
    <s v="Delivered"/>
    <n v="1062"/>
    <n v="35.549999999999997"/>
    <n v="32.380000000000003"/>
    <m/>
    <s v="Yes"/>
    <x v="12"/>
    <m/>
    <x v="0"/>
  </r>
  <r>
    <s v="PO-00601"/>
    <x v="0"/>
    <d v="2022-07-19T00:00:00"/>
    <d v="2022-07-30T00:00:00"/>
    <s v="MRO"/>
    <s v="Delivered"/>
    <n v="1714"/>
    <n v="55.67"/>
    <n v="55.09"/>
    <n v="42"/>
    <s v="Yes"/>
    <x v="5"/>
    <m/>
    <x v="0"/>
  </r>
  <r>
    <s v="PO-00602"/>
    <x v="0"/>
    <d v="2023-12-15T00:00:00"/>
    <d v="2023-12-30T00:00:00"/>
    <s v="Office Supplies"/>
    <s v="Delivered"/>
    <n v="1131"/>
    <n v="33.35"/>
    <n v="31.28"/>
    <n v="23"/>
    <s v="Yes"/>
    <x v="8"/>
    <m/>
    <x v="0"/>
  </r>
  <r>
    <s v="PO-00603"/>
    <x v="0"/>
    <d v="2023-01-29T00:00:00"/>
    <d v="2023-02-15T00:00:00"/>
    <s v="Office Supplies"/>
    <s v="Delivered"/>
    <n v="683"/>
    <n v="104.82"/>
    <n v="101.34"/>
    <m/>
    <s v="Yes"/>
    <x v="9"/>
    <m/>
    <x v="0"/>
  </r>
  <r>
    <s v="PO-00604"/>
    <x v="2"/>
    <d v="2023-05-22T00:00:00"/>
    <d v="2023-06-09T00:00:00"/>
    <s v="Packaging"/>
    <s v="Partially Delivered"/>
    <n v="562"/>
    <n v="102.56"/>
    <n v="90.88"/>
    <n v="38"/>
    <s v="Yes"/>
    <x v="11"/>
    <m/>
    <x v="0"/>
  </r>
  <r>
    <s v="PO-00605"/>
    <x v="0"/>
    <d v="2023-02-14T00:00:00"/>
    <d v="2023-02-20T00:00:00"/>
    <s v="Electronics"/>
    <s v="Delivered"/>
    <n v="1824"/>
    <n v="14.43"/>
    <n v="14.11"/>
    <n v="36"/>
    <s v="Yes"/>
    <x v="15"/>
    <m/>
    <x v="0"/>
  </r>
  <r>
    <s v="PO-00606"/>
    <x v="3"/>
    <d v="2022-09-07T00:00:00"/>
    <d v="2022-09-12T00:00:00"/>
    <s v="Electronics"/>
    <s v="Partially Delivered"/>
    <n v="851"/>
    <n v="76.44"/>
    <n v="74.760000000000005"/>
    <n v="91"/>
    <s v="Yes"/>
    <x v="26"/>
    <m/>
    <x v="0"/>
  </r>
  <r>
    <s v="PO-00607"/>
    <x v="3"/>
    <d v="2022-06-01T00:00:00"/>
    <d v="2022-06-03T00:00:00"/>
    <s v="Office Supplies"/>
    <s v="Delivered"/>
    <n v="1169"/>
    <n v="95.6"/>
    <n v="82.16"/>
    <n v="103"/>
    <s v="Yes"/>
    <x v="24"/>
    <m/>
    <x v="0"/>
  </r>
  <r>
    <s v="PO-00608"/>
    <x v="4"/>
    <d v="2023-11-03T00:00:00"/>
    <d v="2023-11-20T00:00:00"/>
    <s v="MRO"/>
    <s v="Delivered"/>
    <n v="1711"/>
    <n v="29.14"/>
    <n v="26.35"/>
    <n v="48"/>
    <s v="Yes"/>
    <x v="9"/>
    <m/>
    <x v="0"/>
  </r>
  <r>
    <s v="PO-00609"/>
    <x v="3"/>
    <d v="2023-12-06T00:00:00"/>
    <d v="2023-12-12T00:00:00"/>
    <s v="Packaging"/>
    <s v="Pending"/>
    <n v="1191"/>
    <n v="68.14"/>
    <n v="61.71"/>
    <n v="112"/>
    <s v="Yes"/>
    <x v="15"/>
    <m/>
    <x v="0"/>
  </r>
  <r>
    <s v="PO-00610"/>
    <x v="4"/>
    <d v="2022-01-06T00:00:00"/>
    <d v="2022-01-14T00:00:00"/>
    <s v="Electronics"/>
    <s v="Delivered"/>
    <n v="609"/>
    <n v="92.39"/>
    <n v="82.75"/>
    <n v="29"/>
    <s v="Yes"/>
    <x v="0"/>
    <m/>
    <x v="0"/>
  </r>
  <r>
    <s v="PO-00611"/>
    <x v="3"/>
    <d v="2022-04-20T00:00:00"/>
    <d v="2022-05-07T00:00:00"/>
    <s v="Office Supplies"/>
    <s v="Delivered"/>
    <n v="1674"/>
    <n v="13.25"/>
    <n v="11.77"/>
    <n v="181"/>
    <s v="Yes"/>
    <x v="9"/>
    <m/>
    <x v="0"/>
  </r>
  <r>
    <s v="PO-00612"/>
    <x v="2"/>
    <d v="2023-03-12T00:00:00"/>
    <d v="2023-03-15T00:00:00"/>
    <s v="MRO"/>
    <s v="Delivered"/>
    <n v="537"/>
    <n v="77.86"/>
    <n v="71.180000000000007"/>
    <n v="20"/>
    <s v="Yes"/>
    <x v="12"/>
    <m/>
    <x v="0"/>
  </r>
  <r>
    <s v="PO-00613"/>
    <x v="4"/>
    <d v="2022-08-13T00:00:00"/>
    <d v="2022-08-31T00:00:00"/>
    <s v="Electronics"/>
    <s v="Delivered"/>
    <n v="1310"/>
    <n v="38.049999999999997"/>
    <n v="37"/>
    <n v="45"/>
    <s v="Yes"/>
    <x v="11"/>
    <m/>
    <x v="0"/>
  </r>
  <r>
    <s v="PO-00614"/>
    <x v="1"/>
    <d v="2022-06-30T00:00:00"/>
    <d v="2022-07-10T00:00:00"/>
    <s v="Raw Materials"/>
    <s v="Delivered"/>
    <n v="1958"/>
    <n v="95.53"/>
    <n v="91.72"/>
    <n v="308"/>
    <s v="Yes"/>
    <x v="1"/>
    <m/>
    <x v="0"/>
  </r>
  <r>
    <s v="PO-00615"/>
    <x v="1"/>
    <d v="2023-12-14T00:00:00"/>
    <d v="2023-12-17T00:00:00"/>
    <s v="Office Supplies"/>
    <s v="Delivered"/>
    <n v="946"/>
    <n v="108.6"/>
    <n v="101.78"/>
    <n v="146"/>
    <s v="Yes"/>
    <x v="12"/>
    <m/>
    <x v="0"/>
  </r>
  <r>
    <s v="PO-00616"/>
    <x v="3"/>
    <d v="2023-06-15T00:00:00"/>
    <d v="2023-06-21T00:00:00"/>
    <s v="Packaging"/>
    <s v="Partially Delivered"/>
    <n v="1345"/>
    <n v="103.06"/>
    <n v="95.14"/>
    <m/>
    <s v="Yes"/>
    <x v="15"/>
    <m/>
    <x v="0"/>
  </r>
  <r>
    <s v="PO-00617"/>
    <x v="1"/>
    <d v="2023-04-21T00:00:00"/>
    <d v="2023-05-10T00:00:00"/>
    <s v="MRO"/>
    <s v="Delivered"/>
    <n v="1262"/>
    <n v="56.63"/>
    <n v="51.46"/>
    <m/>
    <s v="No"/>
    <x v="3"/>
    <m/>
    <x v="0"/>
  </r>
  <r>
    <s v="PO-00618"/>
    <x v="3"/>
    <d v="2022-02-21T00:00:00"/>
    <d v="2022-03-13T00:00:00"/>
    <s v="Office Supplies"/>
    <s v="Pending"/>
    <n v="753"/>
    <n v="88.02"/>
    <n v="79.92"/>
    <n v="75"/>
    <s v="Yes"/>
    <x v="2"/>
    <m/>
    <x v="0"/>
  </r>
  <r>
    <s v="PO-00619"/>
    <x v="3"/>
    <d v="2023-07-25T00:00:00"/>
    <d v="2023-08-14T00:00:00"/>
    <s v="Electronics"/>
    <s v="Delivered"/>
    <n v="1520"/>
    <n v="93.75"/>
    <n v="81.63"/>
    <n v="149"/>
    <s v="Yes"/>
    <x v="2"/>
    <m/>
    <x v="0"/>
  </r>
  <r>
    <s v="PO-00620"/>
    <x v="1"/>
    <d v="2022-09-13T00:00:00"/>
    <d v="2022-10-02T00:00:00"/>
    <s v="Office Supplies"/>
    <s v="Delivered"/>
    <n v="630"/>
    <n v="40.270000000000003"/>
    <n v="37.54"/>
    <n v="76"/>
    <s v="Yes"/>
    <x v="3"/>
    <m/>
    <x v="0"/>
  </r>
  <r>
    <s v="PO-00621"/>
    <x v="1"/>
    <d v="2022-05-05T00:00:00"/>
    <d v="2022-05-06T00:00:00"/>
    <s v="Office Supplies"/>
    <s v="Delivered"/>
    <n v="839"/>
    <n v="86.29"/>
    <n v="82.51"/>
    <n v="110"/>
    <s v="Yes"/>
    <x v="18"/>
    <m/>
    <x v="0"/>
  </r>
  <r>
    <s v="PO-00622"/>
    <x v="0"/>
    <d v="2023-04-13T00:00:00"/>
    <d v="2023-05-02T00:00:00"/>
    <s v="Electronics"/>
    <s v="Delivered"/>
    <n v="910"/>
    <n v="14.33"/>
    <n v="14.07"/>
    <n v="27"/>
    <s v="Yes"/>
    <x v="3"/>
    <m/>
    <x v="0"/>
  </r>
  <r>
    <s v="PO-00623"/>
    <x v="4"/>
    <d v="2022-05-17T00:00:00"/>
    <d v="2022-05-24T00:00:00"/>
    <s v="Raw Materials"/>
    <s v="Delivered"/>
    <n v="296"/>
    <n v="64.94"/>
    <n v="63.61"/>
    <m/>
    <s v="Yes"/>
    <x v="20"/>
    <m/>
    <x v="0"/>
  </r>
  <r>
    <s v="PO-00624"/>
    <x v="3"/>
    <d v="2023-04-21T00:00:00"/>
    <d v="2023-05-05T00:00:00"/>
    <s v="MRO"/>
    <s v="Delivered"/>
    <n v="1149"/>
    <n v="33"/>
    <n v="30.65"/>
    <n v="141"/>
    <s v="Yes"/>
    <x v="6"/>
    <m/>
    <x v="0"/>
  </r>
  <r>
    <s v="PO-00625"/>
    <x v="1"/>
    <d v="2023-11-15T00:00:00"/>
    <d v="2023-11-16T00:00:00"/>
    <s v="Electronics"/>
    <s v="Delivered"/>
    <n v="203"/>
    <n v="23.14"/>
    <n v="20"/>
    <m/>
    <s v="No"/>
    <x v="18"/>
    <m/>
    <x v="0"/>
  </r>
  <r>
    <s v="PO-00626"/>
    <x v="4"/>
    <d v="2023-06-28T00:00:00"/>
    <d v="2023-07-16T00:00:00"/>
    <s v="Office Supplies"/>
    <s v="Delivered"/>
    <n v="1729"/>
    <n v="18.36"/>
    <n v="16.34"/>
    <n v="47"/>
    <s v="Yes"/>
    <x v="11"/>
    <m/>
    <x v="0"/>
  </r>
  <r>
    <s v="PO-00627"/>
    <x v="1"/>
    <d v="2023-07-27T00:00:00"/>
    <d v="2023-08-06T00:00:00"/>
    <s v="Office Supplies"/>
    <s v="Delivered"/>
    <n v="1508"/>
    <n v="79.209999999999994"/>
    <n v="73.27"/>
    <n v="226"/>
    <s v="Yes"/>
    <x v="1"/>
    <m/>
    <x v="0"/>
  </r>
  <r>
    <s v="PO-00628"/>
    <x v="1"/>
    <d v="2023-09-02T00:00:00"/>
    <d v="2023-09-15T00:00:00"/>
    <s v="Packaging"/>
    <s v="Partially Delivered"/>
    <n v="1046"/>
    <n v="44.65"/>
    <n v="40.1"/>
    <n v="165"/>
    <s v="No"/>
    <x v="13"/>
    <m/>
    <x v="0"/>
  </r>
  <r>
    <s v="PO-00629"/>
    <x v="0"/>
    <d v="2022-11-21T00:00:00"/>
    <d v="2022-11-24T00:00:00"/>
    <s v="Office Supplies"/>
    <s v="Delivered"/>
    <n v="1159"/>
    <n v="78.989999999999995"/>
    <n v="71.69"/>
    <n v="14"/>
    <s v="Yes"/>
    <x v="12"/>
    <m/>
    <x v="0"/>
  </r>
  <r>
    <s v="PO-00630"/>
    <x v="3"/>
    <d v="2023-03-30T00:00:00"/>
    <d v="2023-04-05T00:00:00"/>
    <s v="Electronics"/>
    <s v="Delivered"/>
    <n v="746"/>
    <n v="16.989999999999998"/>
    <n v="15.35"/>
    <n v="69"/>
    <s v="No"/>
    <x v="15"/>
    <m/>
    <x v="0"/>
  </r>
  <r>
    <s v="PO-00631"/>
    <x v="3"/>
    <d v="2023-09-20T00:00:00"/>
    <d v="2023-10-06T00:00:00"/>
    <s v="Packaging"/>
    <s v="Delivered"/>
    <n v="1358"/>
    <n v="42.21"/>
    <n v="38.75"/>
    <n v="128"/>
    <s v="Yes"/>
    <x v="14"/>
    <m/>
    <x v="0"/>
  </r>
  <r>
    <s v="PO-00632"/>
    <x v="2"/>
    <d v="2023-06-01T00:00:00"/>
    <d v="2023-06-12T00:00:00"/>
    <s v="Office Supplies"/>
    <s v="Delivered"/>
    <n v="1293"/>
    <n v="63.53"/>
    <n v="59.42"/>
    <n v="79"/>
    <s v="Yes"/>
    <x v="5"/>
    <m/>
    <x v="0"/>
  </r>
  <r>
    <s v="PO-00633"/>
    <x v="0"/>
    <d v="2023-03-13T00:00:00"/>
    <d v="2023-03-24T00:00:00"/>
    <s v="Electronics"/>
    <s v="Delivered"/>
    <n v="1142"/>
    <n v="86.85"/>
    <n v="74.28"/>
    <n v="30"/>
    <s v="Yes"/>
    <x v="5"/>
    <m/>
    <x v="0"/>
  </r>
  <r>
    <s v="PO-00634"/>
    <x v="4"/>
    <d v="2023-07-16T00:00:00"/>
    <d v="2023-07-27T00:00:00"/>
    <s v="MRO"/>
    <s v="Delivered"/>
    <n v="1120"/>
    <n v="42.17"/>
    <n v="37.47"/>
    <n v="33"/>
    <s v="Yes"/>
    <x v="5"/>
    <m/>
    <x v="0"/>
  </r>
  <r>
    <s v="PO-00635"/>
    <x v="0"/>
    <d v="2023-04-02T00:00:00"/>
    <d v="2023-04-14T00:00:00"/>
    <s v="MRO"/>
    <s v="Delivered"/>
    <n v="1058"/>
    <n v="71.3"/>
    <n v="62.04"/>
    <m/>
    <s v="Yes"/>
    <x v="4"/>
    <m/>
    <x v="0"/>
  </r>
  <r>
    <s v="PO-00636"/>
    <x v="4"/>
    <d v="2022-06-12T00:00:00"/>
    <m/>
    <s v="Office Supplies"/>
    <s v="Delivered"/>
    <n v="143"/>
    <n v="91.98"/>
    <n v="86.02"/>
    <n v="5"/>
    <s v="Yes"/>
    <x v="86"/>
    <m/>
    <x v="67"/>
  </r>
  <r>
    <s v="PO-00637"/>
    <x v="3"/>
    <d v="2023-05-02T00:00:00"/>
    <d v="2023-05-14T00:00:00"/>
    <s v="MRO"/>
    <s v="Delivered"/>
    <n v="1823"/>
    <n v="70.66"/>
    <n v="66.92"/>
    <n v="202"/>
    <s v="Yes"/>
    <x v="4"/>
    <m/>
    <x v="0"/>
  </r>
  <r>
    <s v="PO-00638"/>
    <x v="2"/>
    <d v="2023-04-06T00:00:00"/>
    <d v="2023-04-10T00:00:00"/>
    <s v="Office Supplies"/>
    <s v="Delivered"/>
    <n v="1007"/>
    <n v="33.29"/>
    <n v="28.48"/>
    <n v="49"/>
    <s v="Yes"/>
    <x v="7"/>
    <m/>
    <x v="0"/>
  </r>
  <r>
    <s v="PO-00639"/>
    <x v="2"/>
    <d v="2022-09-23T00:00:00"/>
    <d v="2022-10-08T00:00:00"/>
    <s v="Packaging"/>
    <s v="Delivered"/>
    <n v="1061"/>
    <n v="12.68"/>
    <n v="12.36"/>
    <n v="56"/>
    <s v="No"/>
    <x v="8"/>
    <m/>
    <x v="0"/>
  </r>
  <r>
    <s v="PO-00640"/>
    <x v="3"/>
    <d v="2022-09-11T00:00:00"/>
    <d v="2022-09-26T00:00:00"/>
    <s v="MRO"/>
    <s v="Pending"/>
    <n v="502"/>
    <n v="91.84"/>
    <n v="82.33"/>
    <m/>
    <s v="Yes"/>
    <x v="8"/>
    <m/>
    <x v="0"/>
  </r>
  <r>
    <s v="PO-00641"/>
    <x v="1"/>
    <d v="2023-10-15T00:00:00"/>
    <d v="2023-10-19T00:00:00"/>
    <s v="Packaging"/>
    <s v="Delivered"/>
    <n v="1277"/>
    <n v="13.17"/>
    <n v="11.63"/>
    <n v="199"/>
    <s v="No"/>
    <x v="7"/>
    <m/>
    <x v="0"/>
  </r>
  <r>
    <s v="PO-00642"/>
    <x v="0"/>
    <d v="2022-10-11T00:00:00"/>
    <d v="2022-10-24T00:00:00"/>
    <s v="Packaging"/>
    <s v="Delivered"/>
    <n v="961"/>
    <n v="92.72"/>
    <n v="88.49"/>
    <n v="22"/>
    <s v="Yes"/>
    <x v="13"/>
    <m/>
    <x v="0"/>
  </r>
  <r>
    <s v="PO-00643"/>
    <x v="2"/>
    <d v="2023-06-18T00:00:00"/>
    <d v="2023-07-02T00:00:00"/>
    <s v="Packaging"/>
    <s v="Delivered"/>
    <n v="267"/>
    <n v="62.5"/>
    <n v="61.18"/>
    <n v="17"/>
    <s v="Yes"/>
    <x v="6"/>
    <m/>
    <x v="0"/>
  </r>
  <r>
    <s v="PO-00644"/>
    <x v="1"/>
    <d v="2023-05-12T00:00:00"/>
    <d v="2023-05-18T00:00:00"/>
    <s v="Raw Materials"/>
    <s v="Cancelled"/>
    <n v="523"/>
    <n v="102.08"/>
    <n v="99.59"/>
    <m/>
    <s v="Yes"/>
    <x v="15"/>
    <m/>
    <x v="0"/>
  </r>
  <r>
    <s v="PO-00645"/>
    <x v="4"/>
    <d v="2023-10-04T00:00:00"/>
    <d v="2023-10-23T00:00:00"/>
    <s v="Electronics"/>
    <s v="Pending"/>
    <n v="481"/>
    <n v="90.49"/>
    <n v="77.17"/>
    <m/>
    <s v="Yes"/>
    <x v="3"/>
    <m/>
    <x v="0"/>
  </r>
  <r>
    <s v="PO-00646"/>
    <x v="2"/>
    <d v="2022-09-02T00:00:00"/>
    <d v="2022-09-09T00:00:00"/>
    <s v="Office Supplies"/>
    <s v="Delivered"/>
    <n v="390"/>
    <n v="103.81"/>
    <n v="100.12"/>
    <n v="20"/>
    <s v="Yes"/>
    <x v="20"/>
    <m/>
    <x v="0"/>
  </r>
  <r>
    <s v="PO-00647"/>
    <x v="4"/>
    <d v="2022-10-09T00:00:00"/>
    <d v="2022-10-25T00:00:00"/>
    <s v="Packaging"/>
    <s v="Delivered"/>
    <n v="600"/>
    <n v="43.43"/>
    <n v="38.76"/>
    <n v="22"/>
    <s v="Yes"/>
    <x v="14"/>
    <m/>
    <x v="0"/>
  </r>
  <r>
    <s v="PO-00648"/>
    <x v="1"/>
    <d v="2023-03-27T00:00:00"/>
    <m/>
    <s v="Office Supplies"/>
    <s v="Delivered"/>
    <n v="1685"/>
    <n v="84.58"/>
    <n v="75.209999999999994"/>
    <n v="253"/>
    <s v="No"/>
    <x v="87"/>
    <m/>
    <x v="68"/>
  </r>
  <r>
    <s v="PO-00649"/>
    <x v="4"/>
    <d v="2022-03-21T00:00:00"/>
    <d v="2022-03-31T00:00:00"/>
    <s v="Packaging"/>
    <s v="Cancelled"/>
    <n v="1362"/>
    <n v="46.64"/>
    <n v="42.85"/>
    <n v="33"/>
    <s v="Yes"/>
    <x v="1"/>
    <m/>
    <x v="0"/>
  </r>
  <r>
    <s v="PO-00650"/>
    <x v="1"/>
    <d v="2024-01-01T00:00:00"/>
    <d v="2024-01-04T00:00:00"/>
    <s v="Electronics"/>
    <s v="Pending"/>
    <n v="1327"/>
    <n v="59.57"/>
    <n v="56.44"/>
    <n v="169"/>
    <s v="Yes"/>
    <x v="12"/>
    <m/>
    <x v="0"/>
  </r>
  <r>
    <s v="PO-00651"/>
    <x v="4"/>
    <d v="2022-10-20T00:00:00"/>
    <m/>
    <s v="MRO"/>
    <s v="Delivered"/>
    <n v="1807"/>
    <n v="69.47"/>
    <n v="60"/>
    <n v="50"/>
    <s v="Yes"/>
    <x v="88"/>
    <m/>
    <x v="69"/>
  </r>
  <r>
    <s v="PO-00652"/>
    <x v="0"/>
    <d v="2022-08-29T00:00:00"/>
    <d v="2022-09-06T00:00:00"/>
    <s v="Office Supplies"/>
    <s v="Pending"/>
    <n v="406"/>
    <n v="91.73"/>
    <n v="89.13"/>
    <m/>
    <s v="Yes"/>
    <x v="0"/>
    <m/>
    <x v="0"/>
  </r>
  <r>
    <s v="PO-00653"/>
    <x v="2"/>
    <d v="2022-10-06T00:00:00"/>
    <d v="2022-10-18T00:00:00"/>
    <s v="Raw Materials"/>
    <s v="Partially Delivered"/>
    <n v="72"/>
    <n v="103"/>
    <n v="89.49"/>
    <n v="1"/>
    <s v="No"/>
    <x v="4"/>
    <m/>
    <x v="0"/>
  </r>
  <r>
    <s v="PO-00654"/>
    <x v="2"/>
    <d v="2022-12-10T00:00:00"/>
    <d v="2022-12-20T00:00:00"/>
    <s v="Office Supplies"/>
    <s v="Delivered"/>
    <n v="1835"/>
    <n v="83.5"/>
    <n v="82.36"/>
    <n v="85"/>
    <s v="No"/>
    <x v="1"/>
    <m/>
    <x v="0"/>
  </r>
  <r>
    <s v="PO-00655"/>
    <x v="1"/>
    <d v="2022-11-24T00:00:00"/>
    <d v="2022-12-10T00:00:00"/>
    <s v="Electronics"/>
    <s v="Pending"/>
    <n v="571"/>
    <n v="49.98"/>
    <n v="45.58"/>
    <m/>
    <s v="No"/>
    <x v="14"/>
    <m/>
    <x v="0"/>
  </r>
  <r>
    <s v="PO-00656"/>
    <x v="4"/>
    <d v="2023-07-08T00:00:00"/>
    <d v="2023-07-09T00:00:00"/>
    <s v="Packaging"/>
    <s v="Delivered"/>
    <n v="1831"/>
    <n v="52.24"/>
    <n v="50.44"/>
    <n v="60"/>
    <s v="Yes"/>
    <x v="18"/>
    <m/>
    <x v="0"/>
  </r>
  <r>
    <s v="PO-00657"/>
    <x v="3"/>
    <d v="2022-03-24T00:00:00"/>
    <d v="2022-04-07T00:00:00"/>
    <s v="Office Supplies"/>
    <s v="Pending"/>
    <n v="1910"/>
    <n v="77.150000000000006"/>
    <n v="68.489999999999995"/>
    <n v="170"/>
    <s v="Yes"/>
    <x v="6"/>
    <m/>
    <x v="0"/>
  </r>
  <r>
    <s v="PO-00658"/>
    <x v="2"/>
    <d v="2022-05-22T00:00:00"/>
    <d v="2022-05-31T00:00:00"/>
    <s v="Electronics"/>
    <s v="Partially Delivered"/>
    <n v="1173"/>
    <n v="32.119999999999997"/>
    <n v="29.18"/>
    <m/>
    <s v="Yes"/>
    <x v="16"/>
    <m/>
    <x v="0"/>
  </r>
  <r>
    <s v="PO-00659"/>
    <x v="4"/>
    <d v="2022-06-04T00:00:00"/>
    <d v="2022-06-17T00:00:00"/>
    <s v="Packaging"/>
    <s v="Partially Delivered"/>
    <n v="851"/>
    <n v="20.440000000000001"/>
    <n v="19.22"/>
    <n v="22"/>
    <s v="Yes"/>
    <x v="13"/>
    <m/>
    <x v="0"/>
  </r>
  <r>
    <s v="PO-00660"/>
    <x v="4"/>
    <d v="2022-08-25T00:00:00"/>
    <d v="2022-09-07T00:00:00"/>
    <s v="MRO"/>
    <s v="Cancelled"/>
    <n v="1253"/>
    <n v="43.38"/>
    <n v="38.01"/>
    <n v="34"/>
    <s v="Yes"/>
    <x v="13"/>
    <m/>
    <x v="0"/>
  </r>
  <r>
    <s v="PO-00661"/>
    <x v="0"/>
    <d v="2023-01-28T00:00:00"/>
    <d v="2023-02-15T00:00:00"/>
    <s v="Electronics"/>
    <s v="Delivered"/>
    <n v="1296"/>
    <n v="38"/>
    <n v="33.42"/>
    <n v="33"/>
    <s v="Yes"/>
    <x v="11"/>
    <m/>
    <x v="0"/>
  </r>
  <r>
    <s v="PO-00662"/>
    <x v="3"/>
    <d v="2023-12-12T00:00:00"/>
    <d v="2023-12-30T00:00:00"/>
    <s v="Raw Materials"/>
    <s v="Delivered"/>
    <n v="1979"/>
    <n v="40.880000000000003"/>
    <n v="39.46"/>
    <n v="221"/>
    <s v="Yes"/>
    <x v="11"/>
    <m/>
    <x v="0"/>
  </r>
  <r>
    <s v="PO-00663"/>
    <x v="2"/>
    <d v="2022-06-06T00:00:00"/>
    <d v="2022-06-19T00:00:00"/>
    <s v="Office Supplies"/>
    <s v="Delivered"/>
    <n v="811"/>
    <n v="31.8"/>
    <n v="30.33"/>
    <n v="58"/>
    <s v="Yes"/>
    <x v="13"/>
    <m/>
    <x v="0"/>
  </r>
  <r>
    <s v="PO-00664"/>
    <x v="0"/>
    <d v="2023-12-25T00:00:00"/>
    <d v="2024-01-12T00:00:00"/>
    <s v="Electronics"/>
    <s v="Delivered"/>
    <n v="1732"/>
    <n v="15.37"/>
    <n v="14.7"/>
    <n v="38"/>
    <s v="Yes"/>
    <x v="11"/>
    <m/>
    <x v="0"/>
  </r>
  <r>
    <s v="PO-00665"/>
    <x v="3"/>
    <d v="2022-08-08T00:00:00"/>
    <d v="2022-08-28T00:00:00"/>
    <s v="Packaging"/>
    <s v="Delivered"/>
    <n v="491"/>
    <n v="12.01"/>
    <n v="11.67"/>
    <n v="47"/>
    <s v="Yes"/>
    <x v="2"/>
    <m/>
    <x v="0"/>
  </r>
  <r>
    <s v="PO-00666"/>
    <x v="2"/>
    <d v="2022-03-07T00:00:00"/>
    <d v="2022-03-11T00:00:00"/>
    <s v="Packaging"/>
    <s v="Cancelled"/>
    <n v="1681"/>
    <n v="99.88"/>
    <n v="96.38"/>
    <n v="90"/>
    <s v="Yes"/>
    <x v="7"/>
    <m/>
    <x v="0"/>
  </r>
  <r>
    <s v="PO-00667"/>
    <x v="0"/>
    <d v="2023-03-01T00:00:00"/>
    <d v="2023-03-05T00:00:00"/>
    <s v="Raw Materials"/>
    <s v="Partially Delivered"/>
    <n v="818"/>
    <n v="51.89"/>
    <n v="47.85"/>
    <n v="12"/>
    <s v="Yes"/>
    <x v="7"/>
    <m/>
    <x v="0"/>
  </r>
  <r>
    <s v="PO-00668"/>
    <x v="3"/>
    <d v="2023-02-22T00:00:00"/>
    <d v="2023-03-05T00:00:00"/>
    <s v="Office Supplies"/>
    <s v="Delivered"/>
    <n v="1065"/>
    <n v="47.49"/>
    <n v="41.42"/>
    <n v="113"/>
    <s v="Yes"/>
    <x v="5"/>
    <m/>
    <x v="0"/>
  </r>
  <r>
    <s v="PO-00669"/>
    <x v="2"/>
    <d v="2022-12-05T00:00:00"/>
    <d v="2022-12-17T00:00:00"/>
    <s v="Packaging"/>
    <s v="Delivered"/>
    <n v="1398"/>
    <n v="75.08"/>
    <n v="67.09"/>
    <n v="57"/>
    <s v="Yes"/>
    <x v="4"/>
    <m/>
    <x v="0"/>
  </r>
  <r>
    <s v="PO-00670"/>
    <x v="3"/>
    <d v="2023-07-10T00:00:00"/>
    <d v="2023-07-17T00:00:00"/>
    <s v="Packaging"/>
    <s v="Delivered"/>
    <n v="565"/>
    <n v="32.31"/>
    <n v="29.76"/>
    <n v="60"/>
    <s v="Yes"/>
    <x v="20"/>
    <m/>
    <x v="0"/>
  </r>
  <r>
    <s v="PO-00671"/>
    <x v="4"/>
    <d v="2023-04-23T00:00:00"/>
    <d v="2023-05-06T00:00:00"/>
    <s v="Packaging"/>
    <s v="Pending"/>
    <n v="1089"/>
    <n v="102.66"/>
    <n v="89.21"/>
    <n v="33"/>
    <s v="Yes"/>
    <x v="13"/>
    <m/>
    <x v="0"/>
  </r>
  <r>
    <s v="PO-00672"/>
    <x v="1"/>
    <d v="2023-03-02T00:00:00"/>
    <d v="2023-03-04T00:00:00"/>
    <s v="Electronics"/>
    <s v="Delivered"/>
    <n v="841"/>
    <n v="86.43"/>
    <n v="83.77"/>
    <n v="125"/>
    <s v="No"/>
    <x v="24"/>
    <m/>
    <x v="0"/>
  </r>
  <r>
    <s v="PO-00673"/>
    <x v="1"/>
    <d v="2022-03-05T00:00:00"/>
    <d v="2022-03-16T00:00:00"/>
    <s v="Electronics"/>
    <s v="Delivered"/>
    <n v="385"/>
    <n v="18.23"/>
    <n v="17.739999999999998"/>
    <m/>
    <s v="Yes"/>
    <x v="5"/>
    <m/>
    <x v="0"/>
  </r>
  <r>
    <s v="PO-00674"/>
    <x v="4"/>
    <d v="2022-07-31T00:00:00"/>
    <d v="2022-08-17T00:00:00"/>
    <s v="Office Supplies"/>
    <s v="Delivered"/>
    <n v="1832"/>
    <n v="49.01"/>
    <n v="41.86"/>
    <n v="52"/>
    <s v="Yes"/>
    <x v="9"/>
    <m/>
    <x v="0"/>
  </r>
  <r>
    <s v="PO-00675"/>
    <x v="3"/>
    <d v="2023-03-07T00:00:00"/>
    <d v="2023-03-27T00:00:00"/>
    <s v="Raw Materials"/>
    <s v="Delivered"/>
    <n v="307"/>
    <n v="95.36"/>
    <n v="83.63"/>
    <n v="29"/>
    <s v="Yes"/>
    <x v="2"/>
    <m/>
    <x v="0"/>
  </r>
  <r>
    <s v="PO-00676"/>
    <x v="4"/>
    <d v="2023-02-03T00:00:00"/>
    <d v="2023-02-08T00:00:00"/>
    <s v="Office Supplies"/>
    <s v="Delivered"/>
    <n v="546"/>
    <n v="101.2"/>
    <n v="97.82"/>
    <n v="21"/>
    <s v="Yes"/>
    <x v="26"/>
    <m/>
    <x v="0"/>
  </r>
  <r>
    <s v="PO-00677"/>
    <x v="1"/>
    <d v="2023-08-22T00:00:00"/>
    <d v="2023-09-11T00:00:00"/>
    <s v="Raw Materials"/>
    <s v="Delivered"/>
    <n v="945"/>
    <n v="57.01"/>
    <n v="55.14"/>
    <n v="147"/>
    <s v="No"/>
    <x v="2"/>
    <m/>
    <x v="0"/>
  </r>
  <r>
    <s v="PO-00678"/>
    <x v="1"/>
    <d v="2023-12-14T00:00:00"/>
    <d v="2023-12-27T00:00:00"/>
    <s v="MRO"/>
    <s v="Pending"/>
    <n v="209"/>
    <n v="72.709999999999994"/>
    <n v="64.34"/>
    <n v="39"/>
    <s v="Yes"/>
    <x v="13"/>
    <m/>
    <x v="0"/>
  </r>
  <r>
    <s v="PO-00679"/>
    <x v="3"/>
    <d v="2022-01-21T00:00:00"/>
    <m/>
    <s v="Packaging"/>
    <s v="Delivered"/>
    <n v="1548"/>
    <n v="25.03"/>
    <n v="22.87"/>
    <m/>
    <s v="Yes"/>
    <x v="89"/>
    <m/>
    <x v="70"/>
  </r>
  <r>
    <s v="PO-00680"/>
    <x v="1"/>
    <d v="2023-08-13T00:00:00"/>
    <d v="2023-08-23T00:00:00"/>
    <s v="Raw Materials"/>
    <s v="Delivered"/>
    <n v="901"/>
    <n v="108.63"/>
    <n v="106.3"/>
    <n v="141"/>
    <s v="Yes"/>
    <x v="1"/>
    <m/>
    <x v="0"/>
  </r>
  <r>
    <s v="PO-00681"/>
    <x v="4"/>
    <d v="2023-01-25T00:00:00"/>
    <d v="2023-02-11T00:00:00"/>
    <s v="Packaging"/>
    <s v="Delivered"/>
    <n v="1737"/>
    <n v="32.700000000000003"/>
    <n v="31.02"/>
    <n v="48"/>
    <s v="Yes"/>
    <x v="9"/>
    <m/>
    <x v="0"/>
  </r>
  <r>
    <s v="PO-00682"/>
    <x v="3"/>
    <d v="2023-05-04T00:00:00"/>
    <d v="2023-05-22T00:00:00"/>
    <s v="Raw Materials"/>
    <s v="Delivered"/>
    <n v="1981"/>
    <n v="102.43"/>
    <n v="90.99"/>
    <n v="204"/>
    <s v="Yes"/>
    <x v="11"/>
    <m/>
    <x v="0"/>
  </r>
  <r>
    <s v="PO-00683"/>
    <x v="4"/>
    <d v="2022-01-07T00:00:00"/>
    <d v="2022-01-26T00:00:00"/>
    <s v="MRO"/>
    <s v="Pending"/>
    <n v="739"/>
    <n v="68.47"/>
    <n v="66.09"/>
    <n v="19"/>
    <s v="Yes"/>
    <x v="3"/>
    <m/>
    <x v="0"/>
  </r>
  <r>
    <s v="PO-00684"/>
    <x v="3"/>
    <d v="2022-12-27T00:00:00"/>
    <d v="2022-12-28T00:00:00"/>
    <s v="Raw Materials"/>
    <s v="Delivered"/>
    <n v="1748"/>
    <n v="68.25"/>
    <n v="62.84"/>
    <n v="171"/>
    <s v="Yes"/>
    <x v="18"/>
    <m/>
    <x v="0"/>
  </r>
  <r>
    <s v="PO-00685"/>
    <x v="1"/>
    <d v="2022-11-02T00:00:00"/>
    <d v="2022-11-06T00:00:00"/>
    <s v="Office Supplies"/>
    <s v="Cancelled"/>
    <n v="429"/>
    <n v="58.95"/>
    <n v="55.35"/>
    <n v="59"/>
    <s v="No"/>
    <x v="7"/>
    <m/>
    <x v="0"/>
  </r>
  <r>
    <s v="PO-00686"/>
    <x v="2"/>
    <d v="2023-02-04T00:00:00"/>
    <m/>
    <s v="Electronics"/>
    <s v="Delivered"/>
    <n v="1618"/>
    <n v="32.76"/>
    <n v="28.41"/>
    <n v="62"/>
    <s v="Yes"/>
    <x v="90"/>
    <m/>
    <x v="71"/>
  </r>
  <r>
    <s v="PO-00687"/>
    <x v="3"/>
    <d v="2023-03-06T00:00:00"/>
    <d v="2023-03-07T00:00:00"/>
    <s v="Packaging"/>
    <s v="Delivered"/>
    <n v="1006"/>
    <n v="27.7"/>
    <n v="23.66"/>
    <n v="101"/>
    <s v="No"/>
    <x v="18"/>
    <m/>
    <x v="0"/>
  </r>
  <r>
    <s v="PO-00688"/>
    <x v="3"/>
    <d v="2023-07-06T00:00:00"/>
    <d v="2023-07-15T00:00:00"/>
    <s v="Electronics"/>
    <s v="Partially Delivered"/>
    <n v="740"/>
    <n v="32.53"/>
    <n v="29.35"/>
    <n v="84"/>
    <s v="Yes"/>
    <x v="16"/>
    <m/>
    <x v="0"/>
  </r>
  <r>
    <s v="PO-00689"/>
    <x v="2"/>
    <d v="2023-07-14T00:00:00"/>
    <m/>
    <s v="Raw Materials"/>
    <s v="Delivered"/>
    <n v="1500"/>
    <n v="29.19"/>
    <n v="27.24"/>
    <n v="72"/>
    <s v="Yes"/>
    <x v="91"/>
    <m/>
    <x v="72"/>
  </r>
  <r>
    <s v="PO-00690"/>
    <x v="1"/>
    <d v="2023-09-10T00:00:00"/>
    <d v="2023-09-29T00:00:00"/>
    <s v="Office Supplies"/>
    <s v="Cancelled"/>
    <n v="1686"/>
    <n v="88.18"/>
    <n v="77.150000000000006"/>
    <m/>
    <s v="Yes"/>
    <x v="3"/>
    <m/>
    <x v="0"/>
  </r>
  <r>
    <s v="PO-00691"/>
    <x v="4"/>
    <d v="2022-08-14T00:00:00"/>
    <d v="2022-08-16T00:00:00"/>
    <s v="Raw Materials"/>
    <s v="Cancelled"/>
    <n v="1341"/>
    <n v="42.96"/>
    <n v="41.75"/>
    <n v="39"/>
    <s v="Yes"/>
    <x v="24"/>
    <m/>
    <x v="0"/>
  </r>
  <r>
    <s v="PO-00692"/>
    <x v="0"/>
    <d v="2023-05-15T00:00:00"/>
    <d v="2023-05-21T00:00:00"/>
    <s v="MRO"/>
    <s v="Cancelled"/>
    <n v="1908"/>
    <n v="16.420000000000002"/>
    <n v="15.31"/>
    <n v="36"/>
    <s v="Yes"/>
    <x v="15"/>
    <m/>
    <x v="0"/>
  </r>
  <r>
    <s v="PO-00693"/>
    <x v="2"/>
    <d v="2022-08-13T00:00:00"/>
    <d v="2022-09-02T00:00:00"/>
    <s v="MRO"/>
    <s v="Partially Delivered"/>
    <n v="1650"/>
    <n v="100.62"/>
    <n v="90.45"/>
    <n v="85"/>
    <s v="Yes"/>
    <x v="2"/>
    <m/>
    <x v="0"/>
  </r>
  <r>
    <s v="PO-00694"/>
    <x v="0"/>
    <d v="2022-10-07T00:00:00"/>
    <d v="2022-10-20T00:00:00"/>
    <s v="MRO"/>
    <s v="Delivered"/>
    <n v="1490"/>
    <n v="93.57"/>
    <n v="81.680000000000007"/>
    <n v="29"/>
    <s v="Yes"/>
    <x v="13"/>
    <m/>
    <x v="0"/>
  </r>
  <r>
    <s v="PO-00695"/>
    <x v="1"/>
    <d v="2023-03-23T00:00:00"/>
    <d v="2023-03-31T00:00:00"/>
    <s v="Raw Materials"/>
    <s v="Delivered"/>
    <n v="1241"/>
    <n v="100.04"/>
    <n v="97.56"/>
    <n v="187"/>
    <s v="Yes"/>
    <x v="0"/>
    <m/>
    <x v="0"/>
  </r>
  <r>
    <s v="PO-00696"/>
    <x v="3"/>
    <d v="2023-05-13T00:00:00"/>
    <d v="2023-05-17T00:00:00"/>
    <s v="MRO"/>
    <s v="Delivered"/>
    <n v="1915"/>
    <n v="107.51"/>
    <n v="102.66"/>
    <n v="184"/>
    <s v="Yes"/>
    <x v="7"/>
    <m/>
    <x v="0"/>
  </r>
  <r>
    <s v="PO-00697"/>
    <x v="3"/>
    <d v="2022-01-30T00:00:00"/>
    <d v="2022-02-14T00:00:00"/>
    <s v="Raw Materials"/>
    <s v="Delivered"/>
    <n v="1116"/>
    <n v="25.65"/>
    <n v="24.28"/>
    <n v="121"/>
    <s v="Yes"/>
    <x v="8"/>
    <m/>
    <x v="0"/>
  </r>
  <r>
    <s v="PO-00698"/>
    <x v="1"/>
    <d v="2023-02-03T00:00:00"/>
    <d v="2023-02-08T00:00:00"/>
    <s v="Raw Materials"/>
    <s v="Delivered"/>
    <n v="1629"/>
    <n v="48.63"/>
    <n v="43.28"/>
    <n v="260"/>
    <s v="Yes"/>
    <x v="26"/>
    <m/>
    <x v="0"/>
  </r>
  <r>
    <s v="PO-00699"/>
    <x v="4"/>
    <d v="2022-12-11T00:00:00"/>
    <d v="2022-12-18T00:00:00"/>
    <s v="Office Supplies"/>
    <s v="Delivered"/>
    <n v="334"/>
    <n v="82.54"/>
    <n v="74.63"/>
    <m/>
    <s v="Yes"/>
    <x v="20"/>
    <m/>
    <x v="0"/>
  </r>
  <r>
    <s v="PO-00700"/>
    <x v="4"/>
    <d v="2023-11-16T00:00:00"/>
    <d v="2023-12-06T00:00:00"/>
    <s v="Packaging"/>
    <s v="Delivered"/>
    <n v="446"/>
    <n v="80.63"/>
    <n v="70.37"/>
    <m/>
    <s v="Yes"/>
    <x v="2"/>
    <m/>
    <x v="0"/>
  </r>
  <r>
    <s v="PO-00701"/>
    <x v="1"/>
    <d v="2023-11-27T00:00:00"/>
    <m/>
    <s v="Electronics"/>
    <s v="Delivered"/>
    <n v="61"/>
    <n v="26.47"/>
    <n v="24.62"/>
    <n v="6"/>
    <s v="Yes"/>
    <x v="76"/>
    <m/>
    <x v="57"/>
  </r>
  <r>
    <s v="PO-00702"/>
    <x v="1"/>
    <d v="2023-02-19T00:00:00"/>
    <d v="2023-02-21T00:00:00"/>
    <s v="Packaging"/>
    <s v="Delivered"/>
    <n v="1680"/>
    <n v="88.85"/>
    <n v="87.53"/>
    <m/>
    <s v="Yes"/>
    <x v="24"/>
    <m/>
    <x v="0"/>
  </r>
  <r>
    <s v="PO-00703"/>
    <x v="1"/>
    <d v="2022-06-19T00:00:00"/>
    <d v="2022-07-06T00:00:00"/>
    <s v="Electronics"/>
    <s v="Delivered"/>
    <n v="1375"/>
    <n v="30.95"/>
    <n v="30.02"/>
    <n v="223"/>
    <s v="Yes"/>
    <x v="9"/>
    <m/>
    <x v="0"/>
  </r>
  <r>
    <s v="PO-00704"/>
    <x v="1"/>
    <d v="2023-04-24T00:00:00"/>
    <d v="2023-05-05T00:00:00"/>
    <s v="Electronics"/>
    <s v="Partially Delivered"/>
    <n v="1971"/>
    <n v="32.4"/>
    <n v="30.48"/>
    <n v="321"/>
    <s v="Yes"/>
    <x v="5"/>
    <m/>
    <x v="0"/>
  </r>
  <r>
    <s v="PO-00705"/>
    <x v="1"/>
    <d v="2022-05-11T00:00:00"/>
    <m/>
    <s v="Raw Materials"/>
    <s v="Pending"/>
    <n v="1326"/>
    <n v="59.49"/>
    <n v="56.21"/>
    <m/>
    <s v="Yes"/>
    <x v="92"/>
    <m/>
    <x v="73"/>
  </r>
  <r>
    <s v="PO-00706"/>
    <x v="1"/>
    <d v="2023-09-30T00:00:00"/>
    <d v="2023-10-13T00:00:00"/>
    <s v="MRO"/>
    <s v="Cancelled"/>
    <n v="548"/>
    <n v="69.7"/>
    <n v="61.87"/>
    <n v="90"/>
    <s v="Yes"/>
    <x v="13"/>
    <m/>
    <x v="0"/>
  </r>
  <r>
    <s v="PO-00707"/>
    <x v="3"/>
    <d v="2023-07-01T00:00:00"/>
    <d v="2023-07-07T00:00:00"/>
    <s v="MRO"/>
    <s v="Delivered"/>
    <n v="803"/>
    <n v="67.81"/>
    <n v="61.53"/>
    <n v="78"/>
    <s v="Yes"/>
    <x v="15"/>
    <m/>
    <x v="0"/>
  </r>
  <r>
    <s v="PO-00708"/>
    <x v="0"/>
    <d v="2022-01-28T00:00:00"/>
    <d v="2022-02-15T00:00:00"/>
    <s v="MRO"/>
    <s v="Delivered"/>
    <n v="84"/>
    <n v="18.23"/>
    <n v="15.55"/>
    <n v="0"/>
    <s v="Yes"/>
    <x v="11"/>
    <m/>
    <x v="0"/>
  </r>
  <r>
    <s v="PO-00709"/>
    <x v="4"/>
    <d v="2023-02-08T00:00:00"/>
    <d v="2023-02-20T00:00:00"/>
    <s v="Packaging"/>
    <s v="Delivered"/>
    <n v="776"/>
    <n v="94.75"/>
    <n v="90.89"/>
    <n v="19"/>
    <s v="Yes"/>
    <x v="4"/>
    <m/>
    <x v="0"/>
  </r>
  <r>
    <s v="PO-00710"/>
    <x v="0"/>
    <d v="2023-08-30T00:00:00"/>
    <d v="2023-09-08T00:00:00"/>
    <s v="MRO"/>
    <s v="Delivered"/>
    <n v="898"/>
    <n v="37.119999999999997"/>
    <n v="35.54"/>
    <n v="18"/>
    <s v="No"/>
    <x v="16"/>
    <m/>
    <x v="0"/>
  </r>
  <r>
    <s v="PO-00711"/>
    <x v="3"/>
    <d v="2023-08-01T00:00:00"/>
    <d v="2023-08-08T00:00:00"/>
    <s v="Office Supplies"/>
    <s v="Cancelled"/>
    <n v="139"/>
    <n v="23.71"/>
    <n v="20.18"/>
    <n v="14"/>
    <s v="Yes"/>
    <x v="20"/>
    <m/>
    <x v="0"/>
  </r>
  <r>
    <s v="PO-00712"/>
    <x v="2"/>
    <d v="2023-11-10T00:00:00"/>
    <m/>
    <s v="Raw Materials"/>
    <s v="Delivered"/>
    <n v="825"/>
    <n v="99.89"/>
    <n v="97.65"/>
    <n v="30"/>
    <s v="Yes"/>
    <x v="93"/>
    <m/>
    <x v="74"/>
  </r>
  <r>
    <s v="PO-00713"/>
    <x v="0"/>
    <d v="2022-01-28T00:00:00"/>
    <d v="2022-02-07T00:00:00"/>
    <s v="MRO"/>
    <s v="Delivered"/>
    <n v="654"/>
    <n v="96.01"/>
    <n v="90.31"/>
    <n v="10"/>
    <s v="Yes"/>
    <x v="1"/>
    <m/>
    <x v="0"/>
  </r>
  <r>
    <s v="PO-00714"/>
    <x v="2"/>
    <d v="2022-03-27T00:00:00"/>
    <d v="2022-04-06T00:00:00"/>
    <s v="MRO"/>
    <s v="Delivered"/>
    <n v="1995"/>
    <n v="88.47"/>
    <n v="82.65"/>
    <n v="87"/>
    <s v="No"/>
    <x v="1"/>
    <m/>
    <x v="0"/>
  </r>
  <r>
    <s v="PO-00715"/>
    <x v="3"/>
    <d v="2023-10-21T00:00:00"/>
    <d v="2023-10-28T00:00:00"/>
    <s v="MRO"/>
    <s v="Delivered"/>
    <n v="1019"/>
    <n v="91.56"/>
    <n v="77.930000000000007"/>
    <n v="111"/>
    <s v="No"/>
    <x v="20"/>
    <m/>
    <x v="0"/>
  </r>
  <r>
    <s v="PO-00716"/>
    <x v="4"/>
    <d v="2023-03-15T00:00:00"/>
    <d v="2023-03-31T00:00:00"/>
    <s v="Packaging"/>
    <s v="Pending"/>
    <n v="1675"/>
    <n v="73.8"/>
    <n v="65.34"/>
    <n v="42"/>
    <s v="Yes"/>
    <x v="14"/>
    <m/>
    <x v="0"/>
  </r>
  <r>
    <s v="PO-00717"/>
    <x v="2"/>
    <d v="2022-05-19T00:00:00"/>
    <d v="2022-05-31T00:00:00"/>
    <s v="Raw Materials"/>
    <s v="Pending"/>
    <n v="1071"/>
    <n v="60.77"/>
    <n v="58.5"/>
    <m/>
    <s v="Yes"/>
    <x v="4"/>
    <m/>
    <x v="0"/>
  </r>
  <r>
    <s v="PO-00718"/>
    <x v="3"/>
    <d v="2023-04-18T00:00:00"/>
    <d v="2023-04-27T00:00:00"/>
    <s v="Office Supplies"/>
    <s v="Delivered"/>
    <n v="467"/>
    <n v="19.170000000000002"/>
    <n v="17.11"/>
    <n v="49"/>
    <s v="Yes"/>
    <x v="16"/>
    <m/>
    <x v="0"/>
  </r>
  <r>
    <s v="PO-00719"/>
    <x v="1"/>
    <d v="2022-07-06T00:00:00"/>
    <d v="2022-07-25T00:00:00"/>
    <s v="MRO"/>
    <s v="Pending"/>
    <n v="164"/>
    <n v="48.16"/>
    <n v="47.46"/>
    <n v="27"/>
    <s v="Yes"/>
    <x v="3"/>
    <m/>
    <x v="0"/>
  </r>
  <r>
    <s v="PO-00720"/>
    <x v="4"/>
    <d v="2022-02-21T00:00:00"/>
    <d v="2022-03-06T00:00:00"/>
    <s v="Electronics"/>
    <s v="Cancelled"/>
    <n v="666"/>
    <n v="43.76"/>
    <n v="41.13"/>
    <n v="18"/>
    <s v="Yes"/>
    <x v="13"/>
    <m/>
    <x v="0"/>
  </r>
  <r>
    <s v="PO-00721"/>
    <x v="1"/>
    <d v="2022-09-24T00:00:00"/>
    <d v="2022-10-07T00:00:00"/>
    <s v="Packaging"/>
    <s v="Partially Delivered"/>
    <n v="1976"/>
    <n v="34.71"/>
    <n v="31.56"/>
    <n v="286"/>
    <s v="No"/>
    <x v="13"/>
    <m/>
    <x v="0"/>
  </r>
  <r>
    <s v="PO-00722"/>
    <x v="4"/>
    <d v="2023-01-24T00:00:00"/>
    <d v="2023-01-29T00:00:00"/>
    <s v="MRO"/>
    <s v="Delivered"/>
    <n v="1269"/>
    <n v="79.61"/>
    <n v="71.86"/>
    <n v="47"/>
    <s v="Yes"/>
    <x v="26"/>
    <m/>
    <x v="0"/>
  </r>
  <r>
    <s v="PO-00723"/>
    <x v="4"/>
    <d v="2022-12-02T00:00:00"/>
    <d v="2022-12-12T00:00:00"/>
    <s v="MRO"/>
    <s v="Delivered"/>
    <n v="875"/>
    <n v="57.63"/>
    <n v="51.8"/>
    <n v="16"/>
    <s v="Yes"/>
    <x v="1"/>
    <m/>
    <x v="0"/>
  </r>
  <r>
    <s v="PO-00724"/>
    <x v="0"/>
    <d v="2022-08-05T00:00:00"/>
    <m/>
    <s v="Packaging"/>
    <s v="Partially Delivered"/>
    <n v="1574"/>
    <n v="17.899999999999999"/>
    <n v="15.85"/>
    <n v="31"/>
    <s v="Yes"/>
    <x v="45"/>
    <m/>
    <x v="26"/>
  </r>
  <r>
    <s v="PO-00725"/>
    <x v="4"/>
    <d v="2023-04-11T00:00:00"/>
    <d v="2023-04-26T00:00:00"/>
    <s v="Office Supplies"/>
    <s v="Partially Delivered"/>
    <n v="1699"/>
    <n v="32.049999999999997"/>
    <n v="29.34"/>
    <n v="69"/>
    <s v="Yes"/>
    <x v="8"/>
    <m/>
    <x v="0"/>
  </r>
  <r>
    <s v="PO-00726"/>
    <x v="0"/>
    <d v="2022-12-01T00:00:00"/>
    <d v="2022-12-17T00:00:00"/>
    <s v="Electronics"/>
    <s v="Delivered"/>
    <n v="1566"/>
    <n v="75.430000000000007"/>
    <n v="71.27"/>
    <n v="27"/>
    <s v="Yes"/>
    <x v="14"/>
    <m/>
    <x v="0"/>
  </r>
  <r>
    <s v="PO-00727"/>
    <x v="2"/>
    <d v="2022-12-12T00:00:00"/>
    <d v="2022-12-30T00:00:00"/>
    <s v="Electronics"/>
    <s v="Delivered"/>
    <n v="1148"/>
    <n v="17.78"/>
    <n v="17.16"/>
    <n v="61"/>
    <s v="Yes"/>
    <x v="11"/>
    <m/>
    <x v="0"/>
  </r>
  <r>
    <s v="PO-00728"/>
    <x v="4"/>
    <d v="2023-01-24T00:00:00"/>
    <d v="2023-02-11T00:00:00"/>
    <s v="Office Supplies"/>
    <s v="Delivered"/>
    <n v="462"/>
    <n v="91.81"/>
    <n v="83.14"/>
    <n v="11"/>
    <s v="Yes"/>
    <x v="11"/>
    <m/>
    <x v="0"/>
  </r>
  <r>
    <s v="PO-00729"/>
    <x v="2"/>
    <d v="2022-10-12T00:00:00"/>
    <d v="2022-10-17T00:00:00"/>
    <s v="Packaging"/>
    <s v="Delivered"/>
    <n v="1449"/>
    <n v="57.02"/>
    <n v="49.28"/>
    <n v="71"/>
    <s v="Yes"/>
    <x v="26"/>
    <m/>
    <x v="0"/>
  </r>
  <r>
    <s v="PO-00730"/>
    <x v="4"/>
    <d v="2023-03-08T00:00:00"/>
    <d v="2023-03-27T00:00:00"/>
    <s v="MRO"/>
    <s v="Delivered"/>
    <n v="1493"/>
    <n v="56.98"/>
    <n v="52.51"/>
    <n v="43"/>
    <s v="Yes"/>
    <x v="3"/>
    <m/>
    <x v="0"/>
  </r>
  <r>
    <s v="PO-00731"/>
    <x v="0"/>
    <d v="2022-09-16T00:00:00"/>
    <d v="2022-09-18T00:00:00"/>
    <s v="Office Supplies"/>
    <s v="Delivered"/>
    <n v="778"/>
    <n v="65.849999999999994"/>
    <n v="62.08"/>
    <m/>
    <s v="No"/>
    <x v="24"/>
    <m/>
    <x v="0"/>
  </r>
  <r>
    <s v="PO-00732"/>
    <x v="1"/>
    <d v="2022-03-25T00:00:00"/>
    <d v="2022-04-11T00:00:00"/>
    <s v="Packaging"/>
    <s v="Partially Delivered"/>
    <n v="1350"/>
    <n v="85.06"/>
    <n v="82.34"/>
    <m/>
    <s v="No"/>
    <x v="9"/>
    <m/>
    <x v="0"/>
  </r>
  <r>
    <s v="PO-00733"/>
    <x v="4"/>
    <d v="2023-04-27T00:00:00"/>
    <d v="2023-05-05T00:00:00"/>
    <s v="Packaging"/>
    <s v="Delivered"/>
    <n v="1070"/>
    <n v="44.4"/>
    <n v="40.07"/>
    <n v="26"/>
    <s v="Yes"/>
    <x v="0"/>
    <m/>
    <x v="0"/>
  </r>
  <r>
    <s v="PO-00734"/>
    <x v="3"/>
    <d v="2022-01-20T00:00:00"/>
    <d v="2022-02-03T00:00:00"/>
    <s v="Packaging"/>
    <s v="Pending"/>
    <n v="810"/>
    <n v="71.02"/>
    <n v="66.8"/>
    <n v="73"/>
    <s v="Yes"/>
    <x v="6"/>
    <m/>
    <x v="0"/>
  </r>
  <r>
    <s v="PO-00735"/>
    <x v="1"/>
    <d v="2023-07-07T00:00:00"/>
    <d v="2023-07-23T00:00:00"/>
    <s v="Packaging"/>
    <s v="Cancelled"/>
    <n v="725"/>
    <n v="66.400000000000006"/>
    <n v="62.1"/>
    <n v="118"/>
    <s v="Yes"/>
    <x v="14"/>
    <m/>
    <x v="0"/>
  </r>
  <r>
    <s v="PO-00736"/>
    <x v="0"/>
    <d v="2022-02-23T00:00:00"/>
    <d v="2022-02-28T00:00:00"/>
    <s v="Electronics"/>
    <s v="Delivered"/>
    <n v="1467"/>
    <n v="34.200000000000003"/>
    <n v="30.5"/>
    <n v="25"/>
    <s v="Yes"/>
    <x v="26"/>
    <m/>
    <x v="0"/>
  </r>
  <r>
    <s v="PO-00737"/>
    <x v="3"/>
    <d v="2022-12-25T00:00:00"/>
    <d v="2023-01-12T00:00:00"/>
    <s v="Packaging"/>
    <s v="Delivered"/>
    <n v="1942"/>
    <n v="93.98"/>
    <n v="81.31"/>
    <n v="198"/>
    <s v="Yes"/>
    <x v="11"/>
    <m/>
    <x v="0"/>
  </r>
  <r>
    <s v="PO-00738"/>
    <x v="2"/>
    <d v="2022-08-18T00:00:00"/>
    <m/>
    <s v="Office Supplies"/>
    <s v="Delivered"/>
    <n v="506"/>
    <n v="84.63"/>
    <n v="72.69"/>
    <n v="20"/>
    <s v="Yes"/>
    <x v="94"/>
    <m/>
    <x v="75"/>
  </r>
  <r>
    <s v="PO-00739"/>
    <x v="0"/>
    <d v="2023-10-28T00:00:00"/>
    <d v="2023-11-13T00:00:00"/>
    <s v="MRO"/>
    <s v="Delivered"/>
    <n v="969"/>
    <n v="76.53"/>
    <n v="75.64"/>
    <n v="30"/>
    <s v="Yes"/>
    <x v="14"/>
    <m/>
    <x v="0"/>
  </r>
  <r>
    <s v="PO-00740"/>
    <x v="1"/>
    <d v="2022-03-12T00:00:00"/>
    <d v="2022-03-19T00:00:00"/>
    <s v="MRO"/>
    <s v="Delivered"/>
    <n v="241"/>
    <n v="87.42"/>
    <n v="82.15"/>
    <m/>
    <s v="Yes"/>
    <x v="20"/>
    <m/>
    <x v="0"/>
  </r>
  <r>
    <s v="PO-00741"/>
    <x v="2"/>
    <d v="2023-10-30T00:00:00"/>
    <d v="2023-11-09T00:00:00"/>
    <s v="Raw Materials"/>
    <s v="Delivered"/>
    <n v="788"/>
    <n v="97.3"/>
    <n v="94.44"/>
    <n v="32"/>
    <s v="Yes"/>
    <x v="1"/>
    <m/>
    <x v="0"/>
  </r>
  <r>
    <s v="PO-00742"/>
    <x v="2"/>
    <d v="2022-02-11T00:00:00"/>
    <d v="2022-02-13T00:00:00"/>
    <s v="Office Supplies"/>
    <s v="Delivered"/>
    <n v="1762"/>
    <n v="74.12"/>
    <n v="65.709999999999994"/>
    <n v="94"/>
    <s v="Yes"/>
    <x v="24"/>
    <m/>
    <x v="0"/>
  </r>
  <r>
    <s v="PO-00743"/>
    <x v="0"/>
    <d v="2022-02-01T00:00:00"/>
    <m/>
    <s v="Raw Materials"/>
    <s v="Pending"/>
    <n v="1172"/>
    <n v="85.76"/>
    <n v="81.430000000000007"/>
    <n v="25"/>
    <s v="Yes"/>
    <x v="95"/>
    <m/>
    <x v="76"/>
  </r>
  <r>
    <s v="PO-00744"/>
    <x v="1"/>
    <d v="2022-09-11T00:00:00"/>
    <d v="2022-09-30T00:00:00"/>
    <s v="Office Supplies"/>
    <s v="Delivered"/>
    <n v="1621"/>
    <n v="75.680000000000007"/>
    <n v="73.78"/>
    <n v="226"/>
    <s v="No"/>
    <x v="3"/>
    <m/>
    <x v="0"/>
  </r>
  <r>
    <s v="PO-00745"/>
    <x v="0"/>
    <d v="2022-07-24T00:00:00"/>
    <d v="2022-07-26T00:00:00"/>
    <s v="Packaging"/>
    <s v="Delivered"/>
    <n v="1027"/>
    <n v="73.349999999999994"/>
    <n v="65.42"/>
    <n v="24"/>
    <s v="No"/>
    <x v="24"/>
    <m/>
    <x v="0"/>
  </r>
  <r>
    <s v="PO-00746"/>
    <x v="3"/>
    <d v="2022-01-21T00:00:00"/>
    <m/>
    <s v="Raw Materials"/>
    <s v="Delivered"/>
    <n v="1058"/>
    <n v="65.680000000000007"/>
    <n v="57.21"/>
    <n v="101"/>
    <s v="Yes"/>
    <x v="89"/>
    <m/>
    <x v="70"/>
  </r>
  <r>
    <s v="PO-00747"/>
    <x v="3"/>
    <d v="2023-09-29T00:00:00"/>
    <d v="2023-10-05T00:00:00"/>
    <s v="Packaging"/>
    <s v="Delivered"/>
    <n v="145"/>
    <n v="85.52"/>
    <n v="81.86"/>
    <n v="11"/>
    <s v="No"/>
    <x v="15"/>
    <m/>
    <x v="0"/>
  </r>
  <r>
    <s v="PO-00748"/>
    <x v="4"/>
    <d v="2022-06-06T00:00:00"/>
    <m/>
    <s v="Office Supplies"/>
    <s v="Delivered"/>
    <n v="1737"/>
    <n v="24.88"/>
    <n v="24.28"/>
    <n v="46"/>
    <s v="Yes"/>
    <x v="96"/>
    <m/>
    <x v="77"/>
  </r>
  <r>
    <s v="PO-00749"/>
    <x v="2"/>
    <d v="2022-09-02T00:00:00"/>
    <d v="2022-09-15T00:00:00"/>
    <s v="Electronics"/>
    <s v="Delivered"/>
    <n v="712"/>
    <n v="92.85"/>
    <n v="89.39"/>
    <n v="43"/>
    <s v="Yes"/>
    <x v="13"/>
    <m/>
    <x v="0"/>
  </r>
  <r>
    <s v="PO-00750"/>
    <x v="4"/>
    <d v="2022-05-10T00:00:00"/>
    <d v="2022-05-16T00:00:00"/>
    <s v="Electronics"/>
    <s v="Delivered"/>
    <n v="1263"/>
    <n v="90.24"/>
    <n v="86.84"/>
    <n v="28"/>
    <s v="Yes"/>
    <x v="15"/>
    <m/>
    <x v="0"/>
  </r>
  <r>
    <s v="PO-00751"/>
    <x v="1"/>
    <d v="2023-04-30T00:00:00"/>
    <m/>
    <s v="Electronics"/>
    <s v="Delivered"/>
    <n v="1809"/>
    <n v="13.58"/>
    <n v="12.68"/>
    <m/>
    <s v="No"/>
    <x v="97"/>
    <m/>
    <x v="78"/>
  </r>
  <r>
    <s v="PO-00752"/>
    <x v="3"/>
    <d v="2023-11-17T00:00:00"/>
    <m/>
    <s v="Electronics"/>
    <s v="Cancelled"/>
    <n v="86"/>
    <n v="93.6"/>
    <n v="88.22"/>
    <n v="5"/>
    <s v="Yes"/>
    <x v="73"/>
    <m/>
    <x v="54"/>
  </r>
  <r>
    <s v="PO-00753"/>
    <x v="4"/>
    <d v="2022-04-28T00:00:00"/>
    <m/>
    <s v="MRO"/>
    <s v="Delivered"/>
    <n v="1853"/>
    <n v="21.92"/>
    <n v="20.72"/>
    <m/>
    <s v="Yes"/>
    <x v="98"/>
    <m/>
    <x v="79"/>
  </r>
  <r>
    <s v="PO-00754"/>
    <x v="3"/>
    <d v="2023-08-01T00:00:00"/>
    <d v="2023-08-02T00:00:00"/>
    <s v="Electronics"/>
    <s v="Delivered"/>
    <n v="1442"/>
    <n v="43.98"/>
    <n v="41.82"/>
    <n v="140"/>
    <s v="No"/>
    <x v="18"/>
    <m/>
    <x v="0"/>
  </r>
  <r>
    <s v="PO-00755"/>
    <x v="3"/>
    <d v="2022-08-12T00:00:00"/>
    <d v="2022-09-01T00:00:00"/>
    <s v="Office Supplies"/>
    <s v="Pending"/>
    <n v="1768"/>
    <n v="79.61"/>
    <n v="74.97"/>
    <n v="207"/>
    <s v="No"/>
    <x v="2"/>
    <m/>
    <x v="0"/>
  </r>
  <r>
    <s v="PO-00756"/>
    <x v="3"/>
    <d v="2023-04-22T00:00:00"/>
    <d v="2023-05-03T00:00:00"/>
    <s v="Electronics"/>
    <s v="Partially Delivered"/>
    <n v="1598"/>
    <n v="26.3"/>
    <n v="26.03"/>
    <n v="154"/>
    <s v="No"/>
    <x v="5"/>
    <m/>
    <x v="0"/>
  </r>
  <r>
    <s v="PO-00757"/>
    <x v="0"/>
    <d v="2023-12-18T00:00:00"/>
    <d v="2024-01-05T00:00:00"/>
    <s v="MRO"/>
    <s v="Cancelled"/>
    <n v="328"/>
    <n v="93.23"/>
    <n v="82.63"/>
    <n v="6"/>
    <s v="Yes"/>
    <x v="11"/>
    <m/>
    <x v="0"/>
  </r>
  <r>
    <s v="PO-00758"/>
    <x v="4"/>
    <d v="2022-09-20T00:00:00"/>
    <d v="2022-09-25T00:00:00"/>
    <s v="Packaging"/>
    <s v="Delivered"/>
    <n v="266"/>
    <n v="88.29"/>
    <n v="80.22"/>
    <n v="4"/>
    <s v="Yes"/>
    <x v="26"/>
    <m/>
    <x v="0"/>
  </r>
  <r>
    <s v="PO-00759"/>
    <x v="2"/>
    <d v="2023-01-13T00:00:00"/>
    <d v="2023-01-28T00:00:00"/>
    <s v="Raw Materials"/>
    <s v="Delivered"/>
    <n v="916"/>
    <n v="59.01"/>
    <n v="53.37"/>
    <n v="47"/>
    <s v="Yes"/>
    <x v="8"/>
    <m/>
    <x v="0"/>
  </r>
  <r>
    <s v="PO-00760"/>
    <x v="4"/>
    <d v="2022-06-21T00:00:00"/>
    <d v="2022-06-25T00:00:00"/>
    <s v="Packaging"/>
    <s v="Cancelled"/>
    <n v="922"/>
    <n v="10.84"/>
    <n v="9.27"/>
    <n v="29"/>
    <s v="Yes"/>
    <x v="7"/>
    <m/>
    <x v="0"/>
  </r>
  <r>
    <s v="PO-00761"/>
    <x v="2"/>
    <d v="2023-09-13T00:00:00"/>
    <d v="2023-09-28T00:00:00"/>
    <s v="Packaging"/>
    <s v="Delivered"/>
    <n v="1871"/>
    <n v="39.42"/>
    <n v="37.409999999999997"/>
    <n v="101"/>
    <s v="No"/>
    <x v="8"/>
    <m/>
    <x v="0"/>
  </r>
  <r>
    <s v="PO-00762"/>
    <x v="4"/>
    <d v="2023-09-14T00:00:00"/>
    <d v="2023-09-20T00:00:00"/>
    <s v="Raw Materials"/>
    <s v="Delivered"/>
    <n v="1346"/>
    <n v="72.08"/>
    <n v="67.040000000000006"/>
    <n v="38"/>
    <s v="Yes"/>
    <x v="15"/>
    <m/>
    <x v="0"/>
  </r>
  <r>
    <s v="PO-00763"/>
    <x v="4"/>
    <d v="2022-04-28T00:00:00"/>
    <d v="2022-05-09T00:00:00"/>
    <s v="Electronics"/>
    <s v="Delivered"/>
    <n v="1954"/>
    <n v="99.78"/>
    <n v="87.47"/>
    <n v="57"/>
    <s v="Yes"/>
    <x v="5"/>
    <m/>
    <x v="0"/>
  </r>
  <r>
    <s v="PO-00764"/>
    <x v="3"/>
    <d v="2022-06-17T00:00:00"/>
    <d v="2022-07-06T00:00:00"/>
    <s v="Electronics"/>
    <s v="Delivered"/>
    <n v="111"/>
    <n v="68.53"/>
    <n v="65.22"/>
    <n v="11"/>
    <s v="Yes"/>
    <x v="3"/>
    <m/>
    <x v="0"/>
  </r>
  <r>
    <s v="PO-00765"/>
    <x v="2"/>
    <d v="2022-11-15T00:00:00"/>
    <d v="2022-11-22T00:00:00"/>
    <s v="Office Supplies"/>
    <s v="Pending"/>
    <n v="645"/>
    <n v="35.049999999999997"/>
    <n v="30.88"/>
    <n v="27"/>
    <s v="Yes"/>
    <x v="20"/>
    <m/>
    <x v="0"/>
  </r>
  <r>
    <s v="PO-00766"/>
    <x v="2"/>
    <d v="2022-04-21T00:00:00"/>
    <d v="2022-05-04T00:00:00"/>
    <s v="Electronics"/>
    <s v="Cancelled"/>
    <n v="1953"/>
    <n v="68.069999999999993"/>
    <n v="62.95"/>
    <n v="87"/>
    <s v="Yes"/>
    <x v="13"/>
    <m/>
    <x v="0"/>
  </r>
  <r>
    <s v="PO-00767"/>
    <x v="2"/>
    <d v="2023-08-16T00:00:00"/>
    <d v="2023-09-02T00:00:00"/>
    <s v="Electronics"/>
    <s v="Delivered"/>
    <n v="778"/>
    <n v="64.17"/>
    <n v="61.6"/>
    <n v="47"/>
    <s v="Yes"/>
    <x v="9"/>
    <m/>
    <x v="0"/>
  </r>
  <r>
    <s v="PO-00768"/>
    <x v="4"/>
    <d v="2022-01-27T00:00:00"/>
    <d v="2022-02-09T00:00:00"/>
    <s v="Office Supplies"/>
    <s v="Delivered"/>
    <n v="1415"/>
    <n v="80.19"/>
    <n v="78.34"/>
    <m/>
    <s v="Yes"/>
    <x v="13"/>
    <m/>
    <x v="0"/>
  </r>
  <r>
    <s v="PO-00769"/>
    <x v="2"/>
    <d v="2022-11-16T00:00:00"/>
    <d v="2022-11-22T00:00:00"/>
    <s v="Raw Materials"/>
    <s v="Delivered"/>
    <n v="446"/>
    <n v="20.61"/>
    <n v="19.46"/>
    <n v="14"/>
    <s v="Yes"/>
    <x v="15"/>
    <m/>
    <x v="0"/>
  </r>
  <r>
    <s v="PO-00770"/>
    <x v="4"/>
    <d v="2023-08-13T00:00:00"/>
    <m/>
    <s v="Office Supplies"/>
    <s v="Delivered"/>
    <n v="748"/>
    <n v="85.95"/>
    <n v="79.16"/>
    <n v="32"/>
    <s v="Yes"/>
    <x v="99"/>
    <m/>
    <x v="80"/>
  </r>
  <r>
    <s v="PO-00771"/>
    <x v="0"/>
    <d v="2023-11-25T00:00:00"/>
    <d v="2023-12-03T00:00:00"/>
    <s v="Electronics"/>
    <s v="Pending"/>
    <n v="1092"/>
    <n v="65.17"/>
    <n v="63.11"/>
    <n v="21"/>
    <s v="Yes"/>
    <x v="0"/>
    <m/>
    <x v="0"/>
  </r>
  <r>
    <s v="PO-00772"/>
    <x v="3"/>
    <d v="2023-01-20T00:00:00"/>
    <d v="2023-02-02T00:00:00"/>
    <s v="Electronics"/>
    <s v="Delivered"/>
    <n v="226"/>
    <n v="102.47"/>
    <n v="99.16"/>
    <n v="28"/>
    <s v="Yes"/>
    <x v="13"/>
    <m/>
    <x v="0"/>
  </r>
  <r>
    <s v="PO-00773"/>
    <x v="1"/>
    <d v="2023-02-11T00:00:00"/>
    <d v="2023-02-20T00:00:00"/>
    <s v="Electronics"/>
    <s v="Delivered"/>
    <n v="1685"/>
    <n v="43.42"/>
    <n v="42.24"/>
    <n v="262"/>
    <s v="Yes"/>
    <x v="16"/>
    <m/>
    <x v="0"/>
  </r>
  <r>
    <s v="PO-00774"/>
    <x v="0"/>
    <d v="2022-07-23T00:00:00"/>
    <m/>
    <s v="Office Supplies"/>
    <s v="Delivered"/>
    <n v="445"/>
    <n v="68.94"/>
    <n v="60.35"/>
    <n v="7"/>
    <s v="Yes"/>
    <x v="100"/>
    <m/>
    <x v="81"/>
  </r>
  <r>
    <s v="PO-00775"/>
    <x v="2"/>
    <d v="2022-03-19T00:00:00"/>
    <d v="2022-04-07T00:00:00"/>
    <s v="Raw Materials"/>
    <s v="Delivered"/>
    <n v="494"/>
    <n v="94.82"/>
    <n v="81.89"/>
    <n v="29"/>
    <s v="Yes"/>
    <x v="3"/>
    <m/>
    <x v="0"/>
  </r>
  <r>
    <s v="PO-00776"/>
    <x v="3"/>
    <d v="2023-08-30T00:00:00"/>
    <d v="2023-09-11T00:00:00"/>
    <s v="MRO"/>
    <s v="Delivered"/>
    <n v="1306"/>
    <n v="21.05"/>
    <n v="18.27"/>
    <n v="128"/>
    <s v="Yes"/>
    <x v="4"/>
    <m/>
    <x v="0"/>
  </r>
  <r>
    <s v="PO-00777"/>
    <x v="3"/>
    <d v="2023-12-09T00:00:00"/>
    <d v="2023-12-11T00:00:00"/>
    <s v="Office Supplies"/>
    <s v="Delivered"/>
    <n v="1988"/>
    <n v="105.2"/>
    <n v="93.23"/>
    <n v="187"/>
    <s v="Yes"/>
    <x v="24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BB309-B337-4404-B0FC-99404FAD81CE}" name="PivotTable1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B8" firstHeaderRow="1" firstDataRow="1" firstDataCol="1" rowPageCount="1" colPageCount="1"/>
  <pivotFields count="14">
    <pivotField compact="0" outline="0" showAll="0" defaultSubtotal="0"/>
    <pivotField axis="axisRow" compact="0" outline="0" showAll="0" defaultSubtotal="0">
      <items count="5">
        <item x="0"/>
        <item x="3"/>
        <item x="1"/>
        <item x="4"/>
        <item x="2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dataField="1" compact="0" outline="0" multipleItemSelectionAllowed="1" showAll="0" sortType="ascending" defaultSubtotal="0">
      <items count="101">
        <item h="1" x="46"/>
        <item h="1" x="68"/>
        <item h="1" x="32"/>
        <item h="1" x="76"/>
        <item h="1" x="73"/>
        <item h="1" x="93"/>
        <item h="1" x="63"/>
        <item h="1" x="47"/>
        <item h="1" x="31"/>
        <item h="1" x="25"/>
        <item h="1" x="64"/>
        <item h="1" x="17"/>
        <item h="1" x="49"/>
        <item h="1" x="99"/>
        <item h="1" x="39"/>
        <item h="1" x="91"/>
        <item h="1" x="60"/>
        <item h="1" x="44"/>
        <item h="1" x="62"/>
        <item h="1" x="97"/>
        <item h="1" x="74"/>
        <item h="1" x="38"/>
        <item h="1" x="22"/>
        <item h="1" x="85"/>
        <item h="1" x="48"/>
        <item h="1" x="58"/>
        <item h="1" x="87"/>
        <item h="1" x="55"/>
        <item h="1" x="36"/>
        <item h="1" x="90"/>
        <item h="1" x="61"/>
        <item h="1" x="70"/>
        <item h="1" x="21"/>
        <item h="1" x="40"/>
        <item h="1" x="56"/>
        <item h="1" x="19"/>
        <item h="1" x="84"/>
        <item h="1" x="72"/>
        <item h="1" x="35"/>
        <item h="1" x="79"/>
        <item h="1" x="42"/>
        <item h="1" x="80"/>
        <item h="1" x="88"/>
        <item h="1" x="83"/>
        <item h="1" x="53"/>
        <item h="1" x="57"/>
        <item h="1" x="30"/>
        <item h="1" x="43"/>
        <item h="1" x="27"/>
        <item h="1" x="34"/>
        <item h="1" x="94"/>
        <item h="1" x="81"/>
        <item h="1" x="45"/>
        <item h="1" x="29"/>
        <item h="1" x="100"/>
        <item h="1" x="78"/>
        <item h="1" x="59"/>
        <item h="1" x="71"/>
        <item h="1" x="82"/>
        <item h="1" x="28"/>
        <item h="1" x="67"/>
        <item h="1" x="86"/>
        <item h="1" x="96"/>
        <item h="1" x="37"/>
        <item h="1" x="66"/>
        <item h="1" x="92"/>
        <item h="1" x="23"/>
        <item h="1" x="98"/>
        <item h="1" x="41"/>
        <item h="1" x="65"/>
        <item h="1" x="54"/>
        <item h="1" x="52"/>
        <item h="1" x="51"/>
        <item h="1" x="50"/>
        <item h="1" x="69"/>
        <item h="1" x="10"/>
        <item h="1" x="95"/>
        <item h="1" x="77"/>
        <item h="1" x="75"/>
        <item h="1" x="89"/>
        <item h="1" x="33"/>
        <item x="18"/>
        <item x="24"/>
        <item x="12"/>
        <item x="7"/>
        <item x="26"/>
        <item x="15"/>
        <item x="20"/>
        <item x="0"/>
        <item x="16"/>
        <item x="1"/>
        <item x="5"/>
        <item x="4"/>
        <item x="13"/>
        <item x="6"/>
        <item x="8"/>
        <item x="14"/>
        <item x="9"/>
        <item x="11"/>
        <item x="3"/>
        <item x="2"/>
      </items>
    </pivotField>
    <pivotField compact="0" outline="0" showAll="0" defaultSubtotal="0"/>
    <pivotField compact="0" outline="0" showAll="0" defaultSubtotal="0">
      <items count="82">
        <item x="0"/>
        <item x="14"/>
        <item x="70"/>
        <item x="56"/>
        <item x="58"/>
        <item x="76"/>
        <item x="1"/>
        <item x="50"/>
        <item x="31"/>
        <item x="32"/>
        <item x="33"/>
        <item x="35"/>
        <item x="46"/>
        <item x="22"/>
        <item x="79"/>
        <item x="6"/>
        <item x="73"/>
        <item x="47"/>
        <item x="18"/>
        <item x="77"/>
        <item x="67"/>
        <item x="48"/>
        <item x="9"/>
        <item x="63"/>
        <item x="52"/>
        <item x="40"/>
        <item x="59"/>
        <item x="81"/>
        <item x="10"/>
        <item x="26"/>
        <item x="62"/>
        <item x="75"/>
        <item x="15"/>
        <item x="8"/>
        <item x="24"/>
        <item x="11"/>
        <item x="38"/>
        <item x="34"/>
        <item x="64"/>
        <item x="69"/>
        <item x="61"/>
        <item x="23"/>
        <item x="60"/>
        <item x="16"/>
        <item x="53"/>
        <item x="65"/>
        <item x="3"/>
        <item x="37"/>
        <item x="21"/>
        <item x="4"/>
        <item x="51"/>
        <item x="42"/>
        <item x="71"/>
        <item x="17"/>
        <item x="36"/>
        <item x="68"/>
        <item x="39"/>
        <item x="29"/>
        <item x="66"/>
        <item x="5"/>
        <item x="19"/>
        <item x="55"/>
        <item x="78"/>
        <item x="43"/>
        <item x="25"/>
        <item x="41"/>
        <item x="72"/>
        <item x="20"/>
        <item x="80"/>
        <item x="30"/>
        <item x="2"/>
        <item x="45"/>
        <item x="7"/>
        <item x="12"/>
        <item x="28"/>
        <item x="44"/>
        <item x="74"/>
        <item x="54"/>
        <item x="57"/>
        <item x="13"/>
        <item x="49"/>
        <item x="27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11" hier="-1"/>
  </pageFields>
  <dataFields count="1">
    <dataField name="Average of Actual_Lead_Time" fld="11" subtotal="average" baseField="1" baseItem="0" numFmtId="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892C9-13D4-47DC-AD32-4E25A96AE99A}" name="Table1" displayName="Table1" ref="A1:U778" totalsRowShown="0" headerRowDxfId="15">
  <autoFilter ref="A1:U778" xr:uid="{EFD892C9-13D4-47DC-AD32-4E25A96AE99A}"/>
  <tableColumns count="21">
    <tableColumn id="1" xr3:uid="{3DC54658-5C89-4A70-857A-9DD8A240C3ED}" name="PO_ID"/>
    <tableColumn id="2" xr3:uid="{7B2AE453-93B1-4ADD-B9C9-2660E22E7F9C}" name="Supplier"/>
    <tableColumn id="3" xr3:uid="{43D205D8-FDB8-486C-A5CC-6B2381EAEE63}" name="Order_Date" dataDxfId="14"/>
    <tableColumn id="4" xr3:uid="{8F5B838C-D1DA-4791-95B6-8EC16841D174}" name="Delivery_Date" dataDxfId="13"/>
    <tableColumn id="5" xr3:uid="{98496D1A-894E-42CC-A141-52D893D5AE26}" name="Item_Category"/>
    <tableColumn id="6" xr3:uid="{6F46B181-7677-4DBD-8537-4A53045EBCD8}" name="Order_Status"/>
    <tableColumn id="7" xr3:uid="{E6845BBF-D398-42AB-B430-A053C5BBAD24}" name="Quantity"/>
    <tableColumn id="8" xr3:uid="{641AD901-436D-4F35-95BD-50725EE5341C}" name="Unit_Price" dataDxfId="12"/>
    <tableColumn id="9" xr3:uid="{9171EED9-1185-40AA-8D0D-47FBCA91914A}" name="Negotiated_Price" dataDxfId="11"/>
    <tableColumn id="10" xr3:uid="{BC4D131A-0F06-4DC6-B163-634F82192F4E}" name="Defective_Units"/>
    <tableColumn id="11" xr3:uid="{AE0E60F4-3DAC-4FC7-8349-F417AFF48236}" name="Compliance"/>
    <tableColumn id="12" xr3:uid="{47F95B79-9EAD-4290-A31A-1C196AC3E162}" name="Actual_Lead_Time">
      <calculatedColumnFormula xml:space="preserve"> INT(D2) - INT(C2)</calculatedColumnFormula>
    </tableColumn>
    <tableColumn id="14" xr3:uid="{9FD4283F-C529-42F6-BFD9-25C060BFAE85}" name="Standard_Lead_Time"/>
    <tableColumn id="13" xr3:uid="{3B754877-11C6-4C2D-97E6-FDE7F99983C0}" name="Delay_Days" dataDxfId="10">
      <calculatedColumnFormula>MAX(0, L2-M2)</calculatedColumnFormula>
    </tableColumn>
    <tableColumn id="17" xr3:uid="{F57B3547-2D97-469C-B97D-0D3E51F63EB6}" name="OTIF_Status" dataDxfId="9">
      <calculatedColumnFormula xml:space="preserve"> IF(AND(Table1[[#This Row],[Actual_Lead_Time]] &lt;= Table1[[#This Row],[Standard_Lead_Time]], OR(ISBLANK(J2), J2 = 0)), "OTIF", "Non-OTIF")</calculatedColumnFormula>
    </tableColumn>
    <tableColumn id="16" xr3:uid="{F6B28BF6-DD03-40AF-9E90-301E3D0E663A}" name="OTIF_Indicator" dataDxfId="8">
      <calculatedColumnFormula>IF(Table1[[#This Row],[OTIF_Status]] = "OTIF", 1, 0)</calculatedColumnFormula>
    </tableColumn>
    <tableColumn id="18" xr3:uid="{95ACDC58-7A5D-4B82-9DE0-FB864E3955DA}" name="Total_Line_Spend" dataDxfId="7">
      <calculatedColumnFormula xml:space="preserve"> IFERROR(G2 * H2, 0)</calculatedColumnFormula>
    </tableColumn>
    <tableColumn id="19" xr3:uid="{4ED1862E-2960-4DC3-8A50-6A68EAD26466}" name="Negotiated_Total" dataDxfId="6">
      <calculatedColumnFormula xml:space="preserve"> IFERROR(G2 * I2, 0)</calculatedColumnFormula>
    </tableColumn>
    <tableColumn id="20" xr3:uid="{1A24E574-6051-447E-93D0-27338F8BACC0}" name="Savings_Amount" dataDxfId="5">
      <calculatedColumnFormula>Table1[[#This Row],[Total_Line_Spend]]-Table1[[#This Row],[Negotiated_Total]]</calculatedColumnFormula>
    </tableColumn>
    <tableColumn id="21" xr3:uid="{282F7DD4-62C3-4DDB-965A-F1511F2B0FBE}" name="Risk_Classification" dataDxfId="4">
      <calculatedColumnFormula xml:space="preserve"> IF(Table1[[#This Row],[Delay_Days]] &gt; 4, "High Risk", IF(Table1[[#This Row],[Delay_Days]] &gt; 0, "Medium Risk", "Low Risk"))</calculatedColumnFormula>
    </tableColumn>
    <tableColumn id="15" xr3:uid="{7E908751-8BBB-4C3E-9262-3DD0C3779354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5555-96E0-435E-920B-2E826FF32573}">
  <dimension ref="A1:U778"/>
  <sheetViews>
    <sheetView workbookViewId="0"/>
  </sheetViews>
  <sheetFormatPr defaultRowHeight="15" x14ac:dyDescent="0.25"/>
  <cols>
    <col min="1" max="1" width="9.28515625" bestFit="1" customWidth="1"/>
    <col min="2" max="2" width="14.28515625" customWidth="1"/>
    <col min="3" max="3" width="13.42578125" customWidth="1"/>
    <col min="4" max="4" width="15.85546875" customWidth="1"/>
    <col min="5" max="5" width="16.28515625" customWidth="1"/>
    <col min="6" max="6" width="17" bestFit="1" customWidth="1"/>
    <col min="7" max="7" width="10.85546875" customWidth="1"/>
    <col min="8" max="8" width="12.28515625" customWidth="1"/>
    <col min="9" max="9" width="18.5703125" customWidth="1"/>
    <col min="10" max="10" width="17.5703125" customWidth="1"/>
    <col min="11" max="11" width="14" customWidth="1"/>
    <col min="12" max="12" width="19.140625" customWidth="1"/>
    <col min="13" max="13" width="22" bestFit="1" customWidth="1"/>
    <col min="14" max="14" width="13.7109375" bestFit="1" customWidth="1"/>
    <col min="15" max="15" width="13.85546875" bestFit="1" customWidth="1"/>
    <col min="16" max="16" width="16.28515625" bestFit="1" customWidth="1"/>
    <col min="17" max="17" width="19.140625" bestFit="1" customWidth="1"/>
    <col min="18" max="18" width="18.7109375" bestFit="1" customWidth="1"/>
    <col min="19" max="19" width="18.140625" bestFit="1" customWidth="1"/>
    <col min="20" max="20" width="20.710937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809</v>
      </c>
      <c r="M1" s="2" t="s">
        <v>811</v>
      </c>
      <c r="N1" t="s">
        <v>810</v>
      </c>
      <c r="O1" t="s">
        <v>816</v>
      </c>
      <c r="P1" t="s">
        <v>817</v>
      </c>
      <c r="Q1" t="s">
        <v>818</v>
      </c>
      <c r="R1" t="s">
        <v>819</v>
      </c>
      <c r="S1" t="s">
        <v>820</v>
      </c>
      <c r="T1" t="s">
        <v>821</v>
      </c>
      <c r="U1" s="2" t="s">
        <v>814</v>
      </c>
    </row>
    <row r="2" spans="1:21" x14ac:dyDescent="0.25">
      <c r="A2" t="s">
        <v>11</v>
      </c>
      <c r="B2" t="s">
        <v>804</v>
      </c>
      <c r="C2" s="1">
        <v>45216</v>
      </c>
      <c r="D2" s="1">
        <v>45224</v>
      </c>
      <c r="E2" t="s">
        <v>13</v>
      </c>
      <c r="F2" t="s">
        <v>14</v>
      </c>
      <c r="G2">
        <v>1176</v>
      </c>
      <c r="H2" s="5">
        <v>20.13</v>
      </c>
      <c r="I2" s="5">
        <v>17.809999999999999</v>
      </c>
      <c r="K2" t="s">
        <v>15</v>
      </c>
      <c r="L2">
        <f xml:space="preserve"> INT(D2) - INT(C2)</f>
        <v>8</v>
      </c>
      <c r="M2">
        <v>11</v>
      </c>
      <c r="N2">
        <f t="shared" ref="N2:N65" si="0">MAX(0, L2-M2)</f>
        <v>0</v>
      </c>
      <c r="O2" t="str">
        <f xml:space="preserve"> IF(AND(Table1[[#This Row],[Actual_Lead_Time]] &lt;= Table1[[#This Row],[Standard_Lead_Time]], OR(ISBLANK(J2), J2 = 0)), "OTIF", "Non-OTIF")</f>
        <v>OTIF</v>
      </c>
      <c r="P2">
        <f>IF(Table1[[#This Row],[OTIF_Status]] = "OTIF", 1, 0)</f>
        <v>1</v>
      </c>
      <c r="Q2" s="5">
        <f t="shared" ref="Q2:Q65" si="1" xml:space="preserve"> IFERROR(G2 * H2, 0)</f>
        <v>23672.879999999997</v>
      </c>
      <c r="R2" s="5">
        <f t="shared" ref="R2:R65" si="2" xml:space="preserve"> IFERROR(G2 * I2, 0)</f>
        <v>20944.559999999998</v>
      </c>
      <c r="S2" s="5">
        <f>Table1[[#This Row],[Total_Line_Spend]]-Table1[[#This Row],[Negotiated_Total]]</f>
        <v>2728.3199999999997</v>
      </c>
      <c r="T2" t="str">
        <f xml:space="preserve"> IF(Table1[[#This Row],[Delay_Days]] &gt; 4, "High Risk", IF(Table1[[#This Row],[Delay_Days]] &gt; 0, "Medium Risk", "Low Risk"))</f>
        <v>Low Risk</v>
      </c>
    </row>
    <row r="3" spans="1:21" x14ac:dyDescent="0.25">
      <c r="A3" t="s">
        <v>16</v>
      </c>
      <c r="B3" t="s">
        <v>805</v>
      </c>
      <c r="C3" s="1">
        <v>44676</v>
      </c>
      <c r="D3" s="1">
        <v>44686</v>
      </c>
      <c r="E3" t="s">
        <v>13</v>
      </c>
      <c r="F3" t="s">
        <v>18</v>
      </c>
      <c r="G3">
        <v>1509</v>
      </c>
      <c r="H3" s="5">
        <v>39.32</v>
      </c>
      <c r="I3" s="5">
        <v>37.340000000000003</v>
      </c>
      <c r="J3">
        <v>235</v>
      </c>
      <c r="K3" t="s">
        <v>15</v>
      </c>
      <c r="L3">
        <f t="shared" ref="L3:L66" si="3" xml:space="preserve"> INT(D3) - INT(C3)</f>
        <v>10</v>
      </c>
      <c r="M3">
        <v>11</v>
      </c>
      <c r="N3">
        <f t="shared" si="0"/>
        <v>0</v>
      </c>
      <c r="O3" t="str">
        <f xml:space="preserve"> IF(AND(Table1[[#This Row],[Actual_Lead_Time]] &lt;= Table1[[#This Row],[Standard_Lead_Time]], OR(ISBLANK(J3), J3 = 0)), "OTIF", "Non-OTIF")</f>
        <v>Non-OTIF</v>
      </c>
      <c r="P3">
        <f>IF(Table1[[#This Row],[OTIF_Status]] = "OTIF", 1, 0)</f>
        <v>0</v>
      </c>
      <c r="Q3" s="5">
        <f t="shared" si="1"/>
        <v>59333.88</v>
      </c>
      <c r="R3" s="5">
        <f t="shared" si="2"/>
        <v>56346.060000000005</v>
      </c>
      <c r="S3" s="5">
        <f>Table1[[#This Row],[Total_Line_Spend]]-Table1[[#This Row],[Negotiated_Total]]</f>
        <v>2987.8199999999924</v>
      </c>
      <c r="T3" t="str">
        <f xml:space="preserve"> IF(Table1[[#This Row],[Delay_Days]] &gt; 4, "High Risk", IF(Table1[[#This Row],[Delay_Days]] &gt; 0, "Medium Risk", "Low Risk"))</f>
        <v>Low Risk</v>
      </c>
    </row>
    <row r="4" spans="1:21" x14ac:dyDescent="0.25">
      <c r="A4" t="s">
        <v>19</v>
      </c>
      <c r="B4" t="s">
        <v>806</v>
      </c>
      <c r="C4" s="1">
        <v>44587</v>
      </c>
      <c r="D4" s="1">
        <v>44607</v>
      </c>
      <c r="E4" t="s">
        <v>21</v>
      </c>
      <c r="F4" t="s">
        <v>18</v>
      </c>
      <c r="G4">
        <v>910</v>
      </c>
      <c r="H4" s="5">
        <v>95.51</v>
      </c>
      <c r="I4" s="5">
        <v>92.26</v>
      </c>
      <c r="J4">
        <v>41</v>
      </c>
      <c r="K4" t="s">
        <v>15</v>
      </c>
      <c r="L4">
        <f t="shared" si="3"/>
        <v>20</v>
      </c>
      <c r="M4">
        <v>11</v>
      </c>
      <c r="N4">
        <f t="shared" si="0"/>
        <v>9</v>
      </c>
      <c r="O4" t="str">
        <f xml:space="preserve"> IF(AND(Table1[[#This Row],[Actual_Lead_Time]] &lt;= Table1[[#This Row],[Standard_Lead_Time]], OR(ISBLANK(J4), J4 = 0)), "OTIF", "Non-OTIF")</f>
        <v>Non-OTIF</v>
      </c>
      <c r="P4">
        <f>IF(Table1[[#This Row],[OTIF_Status]] = "OTIF", 1, 0)</f>
        <v>0</v>
      </c>
      <c r="Q4" s="5">
        <f t="shared" si="1"/>
        <v>86914.1</v>
      </c>
      <c r="R4" s="5">
        <f t="shared" si="2"/>
        <v>83956.6</v>
      </c>
      <c r="S4" s="5">
        <f>Table1[[#This Row],[Total_Line_Spend]]-Table1[[#This Row],[Negotiated_Total]]</f>
        <v>2957.5</v>
      </c>
      <c r="T4" t="str">
        <f xml:space="preserve"> IF(Table1[[#This Row],[Delay_Days]] &gt; 4, "High Risk", IF(Table1[[#This Row],[Delay_Days]] &gt; 0, "Medium Risk", "Low Risk"))</f>
        <v>High Risk</v>
      </c>
    </row>
    <row r="5" spans="1:21" x14ac:dyDescent="0.25">
      <c r="A5" t="s">
        <v>22</v>
      </c>
      <c r="B5" t="s">
        <v>807</v>
      </c>
      <c r="C5" s="1">
        <v>44843</v>
      </c>
      <c r="D5" s="1">
        <v>44862</v>
      </c>
      <c r="E5" t="s">
        <v>24</v>
      </c>
      <c r="F5" t="s">
        <v>18</v>
      </c>
      <c r="G5">
        <v>1344</v>
      </c>
      <c r="H5" s="5">
        <v>99.85</v>
      </c>
      <c r="I5" s="5">
        <v>95.52</v>
      </c>
      <c r="J5">
        <v>112</v>
      </c>
      <c r="K5" t="s">
        <v>15</v>
      </c>
      <c r="L5">
        <f t="shared" si="3"/>
        <v>19</v>
      </c>
      <c r="M5">
        <v>11</v>
      </c>
      <c r="N5">
        <f t="shared" si="0"/>
        <v>8</v>
      </c>
      <c r="O5" t="str">
        <f xml:space="preserve"> IF(AND(Table1[[#This Row],[Actual_Lead_Time]] &lt;= Table1[[#This Row],[Standard_Lead_Time]], OR(ISBLANK(J5), J5 = 0)), "OTIF", "Non-OTIF")</f>
        <v>Non-OTIF</v>
      </c>
      <c r="P5">
        <f>IF(Table1[[#This Row],[OTIF_Status]] = "OTIF", 1, 0)</f>
        <v>0</v>
      </c>
      <c r="Q5" s="5">
        <f t="shared" si="1"/>
        <v>134198.39999999999</v>
      </c>
      <c r="R5" s="5">
        <f t="shared" si="2"/>
        <v>128378.87999999999</v>
      </c>
      <c r="S5" s="5">
        <f>Table1[[#This Row],[Total_Line_Spend]]-Table1[[#This Row],[Negotiated_Total]]</f>
        <v>5819.5200000000041</v>
      </c>
      <c r="T5" t="str">
        <f xml:space="preserve"> IF(Table1[[#This Row],[Delay_Days]] &gt; 4, "High Risk", IF(Table1[[#This Row],[Delay_Days]] &gt; 0, "Medium Risk", "Low Risk"))</f>
        <v>High Risk</v>
      </c>
    </row>
    <row r="6" spans="1:21" x14ac:dyDescent="0.25">
      <c r="A6" t="s">
        <v>25</v>
      </c>
      <c r="B6" t="s">
        <v>805</v>
      </c>
      <c r="C6" s="1">
        <v>44812</v>
      </c>
      <c r="D6" s="1">
        <v>44824</v>
      </c>
      <c r="E6" t="s">
        <v>26</v>
      </c>
      <c r="F6" t="s">
        <v>18</v>
      </c>
      <c r="G6">
        <v>1180</v>
      </c>
      <c r="H6" s="5">
        <v>64.069999999999993</v>
      </c>
      <c r="I6" s="5">
        <v>60.53</v>
      </c>
      <c r="J6">
        <v>171</v>
      </c>
      <c r="K6" t="s">
        <v>27</v>
      </c>
      <c r="L6">
        <f t="shared" si="3"/>
        <v>12</v>
      </c>
      <c r="M6">
        <v>11</v>
      </c>
      <c r="N6">
        <f t="shared" si="0"/>
        <v>1</v>
      </c>
      <c r="O6" t="str">
        <f xml:space="preserve"> IF(AND(Table1[[#This Row],[Actual_Lead_Time]] &lt;= Table1[[#This Row],[Standard_Lead_Time]], OR(ISBLANK(J6), J6 = 0)), "OTIF", "Non-OTIF")</f>
        <v>Non-OTIF</v>
      </c>
      <c r="P6">
        <f>IF(Table1[[#This Row],[OTIF_Status]] = "OTIF", 1, 0)</f>
        <v>0</v>
      </c>
      <c r="Q6" s="5">
        <f t="shared" si="1"/>
        <v>75602.599999999991</v>
      </c>
      <c r="R6" s="5">
        <f t="shared" si="2"/>
        <v>71425.399999999994</v>
      </c>
      <c r="S6" s="5">
        <f>Table1[[#This Row],[Total_Line_Spend]]-Table1[[#This Row],[Negotiated_Total]]</f>
        <v>4177.1999999999971</v>
      </c>
      <c r="T6" t="str">
        <f xml:space="preserve"> IF(Table1[[#This Row],[Delay_Days]] &gt; 4, "High Risk", IF(Table1[[#This Row],[Delay_Days]] &gt; 0, "Medium Risk", "Low Risk"))</f>
        <v>Medium Risk</v>
      </c>
    </row>
    <row r="7" spans="1:21" x14ac:dyDescent="0.25">
      <c r="A7" t="s">
        <v>28</v>
      </c>
      <c r="B7" t="s">
        <v>808</v>
      </c>
      <c r="C7" s="1">
        <v>44790</v>
      </c>
      <c r="D7" s="1">
        <v>44802</v>
      </c>
      <c r="E7" t="s">
        <v>21</v>
      </c>
      <c r="F7" t="s">
        <v>18</v>
      </c>
      <c r="G7">
        <v>1145</v>
      </c>
      <c r="H7" s="5">
        <v>69.209999999999994</v>
      </c>
      <c r="I7" s="5">
        <v>63.57</v>
      </c>
      <c r="J7">
        <v>39</v>
      </c>
      <c r="K7" t="s">
        <v>15</v>
      </c>
      <c r="L7">
        <f t="shared" si="3"/>
        <v>12</v>
      </c>
      <c r="M7">
        <v>11</v>
      </c>
      <c r="N7">
        <f t="shared" si="0"/>
        <v>1</v>
      </c>
      <c r="O7" t="str">
        <f xml:space="preserve"> IF(AND(Table1[[#This Row],[Actual_Lead_Time]] &lt;= Table1[[#This Row],[Standard_Lead_Time]], OR(ISBLANK(J7), J7 = 0)), "OTIF", "Non-OTIF")</f>
        <v>Non-OTIF</v>
      </c>
      <c r="P7">
        <f>IF(Table1[[#This Row],[OTIF_Status]] = "OTIF", 1, 0)</f>
        <v>0</v>
      </c>
      <c r="Q7" s="5">
        <f t="shared" si="1"/>
        <v>79245.45</v>
      </c>
      <c r="R7" s="5">
        <f t="shared" si="2"/>
        <v>72787.649999999994</v>
      </c>
      <c r="S7" s="5">
        <f>Table1[[#This Row],[Total_Line_Spend]]-Table1[[#This Row],[Negotiated_Total]]</f>
        <v>6457.8000000000029</v>
      </c>
      <c r="T7" t="str">
        <f xml:space="preserve"> IF(Table1[[#This Row],[Delay_Days]] &gt; 4, "High Risk", IF(Table1[[#This Row],[Delay_Days]] &gt; 0, "Medium Risk", "Low Risk"))</f>
        <v>Medium Risk</v>
      </c>
    </row>
    <row r="8" spans="1:21" x14ac:dyDescent="0.25">
      <c r="A8" t="s">
        <v>30</v>
      </c>
      <c r="B8" t="s">
        <v>806</v>
      </c>
      <c r="C8" s="1">
        <v>44704</v>
      </c>
      <c r="D8" s="1">
        <v>44715</v>
      </c>
      <c r="E8" t="s">
        <v>21</v>
      </c>
      <c r="F8" t="s">
        <v>18</v>
      </c>
      <c r="G8">
        <v>1774</v>
      </c>
      <c r="H8" s="5">
        <v>51.37</v>
      </c>
      <c r="I8" s="5">
        <v>47.82</v>
      </c>
      <c r="J8">
        <v>96</v>
      </c>
      <c r="K8" t="s">
        <v>27</v>
      </c>
      <c r="L8">
        <f t="shared" si="3"/>
        <v>11</v>
      </c>
      <c r="M8">
        <v>11</v>
      </c>
      <c r="N8">
        <f t="shared" si="0"/>
        <v>0</v>
      </c>
      <c r="O8" t="str">
        <f xml:space="preserve"> IF(AND(Table1[[#This Row],[Actual_Lead_Time]] &lt;= Table1[[#This Row],[Standard_Lead_Time]], OR(ISBLANK(J8), J8 = 0)), "OTIF", "Non-OTIF")</f>
        <v>Non-OTIF</v>
      </c>
      <c r="P8">
        <f>IF(Table1[[#This Row],[OTIF_Status]] = "OTIF", 1, 0)</f>
        <v>0</v>
      </c>
      <c r="Q8" s="5">
        <f t="shared" si="1"/>
        <v>91130.37999999999</v>
      </c>
      <c r="R8" s="5">
        <f t="shared" si="2"/>
        <v>84832.680000000008</v>
      </c>
      <c r="S8" s="5">
        <f>Table1[[#This Row],[Total_Line_Spend]]-Table1[[#This Row],[Negotiated_Total]]</f>
        <v>6297.6999999999825</v>
      </c>
      <c r="T8" t="str">
        <f xml:space="preserve"> IF(Table1[[#This Row],[Delay_Days]] &gt; 4, "High Risk", IF(Table1[[#This Row],[Delay_Days]] &gt; 0, "Medium Risk", "Low Risk"))</f>
        <v>Low Risk</v>
      </c>
    </row>
    <row r="9" spans="1:21" x14ac:dyDescent="0.25">
      <c r="A9" t="s">
        <v>31</v>
      </c>
      <c r="B9" t="s">
        <v>804</v>
      </c>
      <c r="C9" s="1">
        <v>44666</v>
      </c>
      <c r="D9" s="1">
        <v>44680</v>
      </c>
      <c r="E9" t="s">
        <v>21</v>
      </c>
      <c r="F9" t="s">
        <v>18</v>
      </c>
      <c r="G9">
        <v>1094</v>
      </c>
      <c r="H9" s="5">
        <v>36.93</v>
      </c>
      <c r="I9" s="5">
        <v>32.78</v>
      </c>
      <c r="J9">
        <v>22</v>
      </c>
      <c r="K9" t="s">
        <v>15</v>
      </c>
      <c r="L9">
        <f t="shared" si="3"/>
        <v>14</v>
      </c>
      <c r="M9">
        <v>11</v>
      </c>
      <c r="N9">
        <f t="shared" si="0"/>
        <v>3</v>
      </c>
      <c r="O9" t="str">
        <f xml:space="preserve"> IF(AND(Table1[[#This Row],[Actual_Lead_Time]] &lt;= Table1[[#This Row],[Standard_Lead_Time]], OR(ISBLANK(J9), J9 = 0)), "OTIF", "Non-OTIF")</f>
        <v>Non-OTIF</v>
      </c>
      <c r="P9">
        <f>IF(Table1[[#This Row],[OTIF_Status]] = "OTIF", 1, 0)</f>
        <v>0</v>
      </c>
      <c r="Q9" s="5">
        <f t="shared" si="1"/>
        <v>40401.42</v>
      </c>
      <c r="R9" s="5">
        <f t="shared" si="2"/>
        <v>35861.32</v>
      </c>
      <c r="S9" s="5">
        <f>Table1[[#This Row],[Total_Line_Spend]]-Table1[[#This Row],[Negotiated_Total]]</f>
        <v>4540.0999999999985</v>
      </c>
      <c r="T9" t="str">
        <f xml:space="preserve"> IF(Table1[[#This Row],[Delay_Days]] &gt; 4, "High Risk", IF(Table1[[#This Row],[Delay_Days]] &gt; 0, "Medium Risk", "Low Risk"))</f>
        <v>Medium Risk</v>
      </c>
    </row>
    <row r="10" spans="1:21" x14ac:dyDescent="0.25">
      <c r="A10" t="s">
        <v>32</v>
      </c>
      <c r="B10" t="s">
        <v>806</v>
      </c>
      <c r="C10" s="1">
        <v>45254</v>
      </c>
      <c r="D10" s="1">
        <v>45258</v>
      </c>
      <c r="E10" t="s">
        <v>26</v>
      </c>
      <c r="F10" t="s">
        <v>33</v>
      </c>
      <c r="G10">
        <v>1688</v>
      </c>
      <c r="H10" s="5">
        <v>43.93</v>
      </c>
      <c r="I10" s="5">
        <v>39.89</v>
      </c>
      <c r="J10">
        <v>89</v>
      </c>
      <c r="K10" t="s">
        <v>15</v>
      </c>
      <c r="L10">
        <f t="shared" si="3"/>
        <v>4</v>
      </c>
      <c r="M10">
        <v>11</v>
      </c>
      <c r="N10">
        <f t="shared" si="0"/>
        <v>0</v>
      </c>
      <c r="O10" t="str">
        <f xml:space="preserve"> IF(AND(Table1[[#This Row],[Actual_Lead_Time]] &lt;= Table1[[#This Row],[Standard_Lead_Time]], OR(ISBLANK(J10), J10 = 0)), "OTIF", "Non-OTIF")</f>
        <v>Non-OTIF</v>
      </c>
      <c r="P10">
        <f>IF(Table1[[#This Row],[OTIF_Status]] = "OTIF", 1, 0)</f>
        <v>0</v>
      </c>
      <c r="Q10" s="5">
        <f t="shared" si="1"/>
        <v>74153.84</v>
      </c>
      <c r="R10" s="5">
        <f t="shared" si="2"/>
        <v>67334.320000000007</v>
      </c>
      <c r="S10" s="5">
        <f>Table1[[#This Row],[Total_Line_Spend]]-Table1[[#This Row],[Negotiated_Total]]</f>
        <v>6819.5199999999895</v>
      </c>
      <c r="T10" t="str">
        <f xml:space="preserve"> IF(Table1[[#This Row],[Delay_Days]] &gt; 4, "High Risk", IF(Table1[[#This Row],[Delay_Days]] &gt; 0, "Medium Risk", "Low Risk"))</f>
        <v>Low Risk</v>
      </c>
    </row>
    <row r="11" spans="1:21" x14ac:dyDescent="0.25">
      <c r="A11" t="s">
        <v>34</v>
      </c>
      <c r="B11" t="s">
        <v>806</v>
      </c>
      <c r="C11" s="1">
        <v>45120</v>
      </c>
      <c r="D11" s="1">
        <v>45132</v>
      </c>
      <c r="E11" t="s">
        <v>26</v>
      </c>
      <c r="F11" t="s">
        <v>35</v>
      </c>
      <c r="G11">
        <v>171</v>
      </c>
      <c r="H11" s="5">
        <v>76.87</v>
      </c>
      <c r="I11" s="5">
        <v>70.2</v>
      </c>
      <c r="J11">
        <v>8</v>
      </c>
      <c r="K11" t="s">
        <v>15</v>
      </c>
      <c r="L11">
        <f t="shared" si="3"/>
        <v>12</v>
      </c>
      <c r="M11">
        <v>11</v>
      </c>
      <c r="N11">
        <f t="shared" si="0"/>
        <v>1</v>
      </c>
      <c r="O11" t="str">
        <f xml:space="preserve"> IF(AND(Table1[[#This Row],[Actual_Lead_Time]] &lt;= Table1[[#This Row],[Standard_Lead_Time]], OR(ISBLANK(J11), J11 = 0)), "OTIF", "Non-OTIF")</f>
        <v>Non-OTIF</v>
      </c>
      <c r="P11">
        <f>IF(Table1[[#This Row],[OTIF_Status]] = "OTIF", 1, 0)</f>
        <v>0</v>
      </c>
      <c r="Q11" s="5">
        <f t="shared" si="1"/>
        <v>13144.77</v>
      </c>
      <c r="R11" s="5">
        <f t="shared" si="2"/>
        <v>12004.2</v>
      </c>
      <c r="S11" s="5">
        <f>Table1[[#This Row],[Total_Line_Spend]]-Table1[[#This Row],[Negotiated_Total]]</f>
        <v>1140.5699999999997</v>
      </c>
      <c r="T11" t="str">
        <f xml:space="preserve"> IF(Table1[[#This Row],[Delay_Days]] &gt; 4, "High Risk", IF(Table1[[#This Row],[Delay_Days]] &gt; 0, "Medium Risk", "Low Risk"))</f>
        <v>Medium Risk</v>
      </c>
    </row>
    <row r="12" spans="1:21" x14ac:dyDescent="0.25">
      <c r="A12" t="s">
        <v>36</v>
      </c>
      <c r="B12" t="s">
        <v>808</v>
      </c>
      <c r="C12" s="1">
        <v>44651</v>
      </c>
      <c r="D12" s="1">
        <v>44666</v>
      </c>
      <c r="E12" t="s">
        <v>26</v>
      </c>
      <c r="F12" t="s">
        <v>18</v>
      </c>
      <c r="G12">
        <v>5000</v>
      </c>
      <c r="H12" s="5">
        <v>78.489999999999995</v>
      </c>
      <c r="I12" s="5">
        <v>73.680000000000007</v>
      </c>
      <c r="J12">
        <v>18</v>
      </c>
      <c r="K12" t="s">
        <v>15</v>
      </c>
      <c r="L12">
        <f t="shared" si="3"/>
        <v>15</v>
      </c>
      <c r="M12">
        <v>11</v>
      </c>
      <c r="N12">
        <f t="shared" si="0"/>
        <v>4</v>
      </c>
      <c r="O12" t="str">
        <f xml:space="preserve"> IF(AND(Table1[[#This Row],[Actual_Lead_Time]] &lt;= Table1[[#This Row],[Standard_Lead_Time]], OR(ISBLANK(J12), J12 = 0)), "OTIF", "Non-OTIF")</f>
        <v>Non-OTIF</v>
      </c>
      <c r="P12">
        <f>IF(Table1[[#This Row],[OTIF_Status]] = "OTIF", 1, 0)</f>
        <v>0</v>
      </c>
      <c r="Q12" s="5">
        <f t="shared" si="1"/>
        <v>392450</v>
      </c>
      <c r="R12" s="5">
        <f t="shared" si="2"/>
        <v>368400.00000000006</v>
      </c>
      <c r="S12" s="5">
        <f>Table1[[#This Row],[Total_Line_Spend]]-Table1[[#This Row],[Negotiated_Total]]</f>
        <v>24049.999999999942</v>
      </c>
      <c r="T12" t="str">
        <f xml:space="preserve"> IF(Table1[[#This Row],[Delay_Days]] &gt; 4, "High Risk", IF(Table1[[#This Row],[Delay_Days]] &gt; 0, "Medium Risk", "Low Risk"))</f>
        <v>Medium Risk</v>
      </c>
    </row>
    <row r="13" spans="1:21" x14ac:dyDescent="0.25">
      <c r="A13" t="s">
        <v>37</v>
      </c>
      <c r="B13" t="s">
        <v>807</v>
      </c>
      <c r="C13" s="1">
        <v>45166</v>
      </c>
      <c r="D13" s="1">
        <v>45180</v>
      </c>
      <c r="E13" t="s">
        <v>26</v>
      </c>
      <c r="F13" t="s">
        <v>18</v>
      </c>
      <c r="G13">
        <v>5000</v>
      </c>
      <c r="H13" s="5">
        <v>88.96</v>
      </c>
      <c r="I13" s="5">
        <v>86.58</v>
      </c>
      <c r="J13">
        <v>115</v>
      </c>
      <c r="K13" t="s">
        <v>15</v>
      </c>
      <c r="L13">
        <f t="shared" si="3"/>
        <v>14</v>
      </c>
      <c r="M13">
        <v>11</v>
      </c>
      <c r="N13">
        <f t="shared" si="0"/>
        <v>3</v>
      </c>
      <c r="O13" t="str">
        <f xml:space="preserve"> IF(AND(Table1[[#This Row],[Actual_Lead_Time]] &lt;= Table1[[#This Row],[Standard_Lead_Time]], OR(ISBLANK(J13), J13 = 0)), "OTIF", "Non-OTIF")</f>
        <v>Non-OTIF</v>
      </c>
      <c r="P13">
        <f>IF(Table1[[#This Row],[OTIF_Status]] = "OTIF", 1, 0)</f>
        <v>0</v>
      </c>
      <c r="Q13" s="5">
        <f t="shared" si="1"/>
        <v>444799.99999999994</v>
      </c>
      <c r="R13" s="5">
        <f t="shared" si="2"/>
        <v>432900</v>
      </c>
      <c r="S13" s="5">
        <f>Table1[[#This Row],[Total_Line_Spend]]-Table1[[#This Row],[Negotiated_Total]]</f>
        <v>11899.999999999942</v>
      </c>
      <c r="T13" t="str">
        <f xml:space="preserve"> IF(Table1[[#This Row],[Delay_Days]] &gt; 4, "High Risk", IF(Table1[[#This Row],[Delay_Days]] &gt; 0, "Medium Risk", "Low Risk"))</f>
        <v>Medium Risk</v>
      </c>
    </row>
    <row r="14" spans="1:21" x14ac:dyDescent="0.25">
      <c r="A14" t="s">
        <v>38</v>
      </c>
      <c r="B14" t="s">
        <v>807</v>
      </c>
      <c r="C14" s="1">
        <v>44994</v>
      </c>
      <c r="D14" s="1">
        <v>45011</v>
      </c>
      <c r="E14" t="s">
        <v>39</v>
      </c>
      <c r="F14" t="s">
        <v>35</v>
      </c>
      <c r="G14">
        <v>5000</v>
      </c>
      <c r="H14" s="5">
        <v>86.74</v>
      </c>
      <c r="I14" s="5">
        <v>74.86</v>
      </c>
      <c r="J14">
        <v>51</v>
      </c>
      <c r="K14" t="s">
        <v>15</v>
      </c>
      <c r="L14">
        <f t="shared" si="3"/>
        <v>17</v>
      </c>
      <c r="M14">
        <v>11</v>
      </c>
      <c r="N14">
        <f t="shared" si="0"/>
        <v>6</v>
      </c>
      <c r="O14" t="str">
        <f xml:space="preserve"> IF(AND(Table1[[#This Row],[Actual_Lead_Time]] &lt;= Table1[[#This Row],[Standard_Lead_Time]], OR(ISBLANK(J14), J14 = 0)), "OTIF", "Non-OTIF")</f>
        <v>Non-OTIF</v>
      </c>
      <c r="P14">
        <f>IF(Table1[[#This Row],[OTIF_Status]] = "OTIF", 1, 0)</f>
        <v>0</v>
      </c>
      <c r="Q14" s="5">
        <f t="shared" si="1"/>
        <v>433700</v>
      </c>
      <c r="R14" s="5">
        <f t="shared" si="2"/>
        <v>374300</v>
      </c>
      <c r="S14" s="5">
        <f>Table1[[#This Row],[Total_Line_Spend]]-Table1[[#This Row],[Negotiated_Total]]</f>
        <v>59400</v>
      </c>
      <c r="T14" t="str">
        <f xml:space="preserve"> IF(Table1[[#This Row],[Delay_Days]] &gt; 4, "High Risk", IF(Table1[[#This Row],[Delay_Days]] &gt; 0, "Medium Risk", "Low Risk"))</f>
        <v>High Risk</v>
      </c>
    </row>
    <row r="15" spans="1:21" x14ac:dyDescent="0.25">
      <c r="A15" t="s">
        <v>40</v>
      </c>
      <c r="B15" t="s">
        <v>807</v>
      </c>
      <c r="C15" s="1">
        <v>44594</v>
      </c>
      <c r="D15" s="1">
        <v>44605</v>
      </c>
      <c r="E15" t="s">
        <v>21</v>
      </c>
      <c r="F15" t="s">
        <v>18</v>
      </c>
      <c r="G15">
        <v>5000</v>
      </c>
      <c r="H15" s="5">
        <v>18.3</v>
      </c>
      <c r="I15" s="5">
        <v>16.88</v>
      </c>
      <c r="K15" t="s">
        <v>15</v>
      </c>
      <c r="L15">
        <f t="shared" si="3"/>
        <v>11</v>
      </c>
      <c r="M15">
        <v>11</v>
      </c>
      <c r="N15">
        <f t="shared" si="0"/>
        <v>0</v>
      </c>
      <c r="O15" t="str">
        <f xml:space="preserve"> IF(AND(Table1[[#This Row],[Actual_Lead_Time]] &lt;= Table1[[#This Row],[Standard_Lead_Time]], OR(ISBLANK(J15), J15 = 0)), "OTIF", "Non-OTIF")</f>
        <v>OTIF</v>
      </c>
      <c r="P15">
        <f>IF(Table1[[#This Row],[OTIF_Status]] = "OTIF", 1, 0)</f>
        <v>1</v>
      </c>
      <c r="Q15" s="5">
        <f t="shared" si="1"/>
        <v>91500</v>
      </c>
      <c r="R15" s="5">
        <f t="shared" si="2"/>
        <v>84400</v>
      </c>
      <c r="S15" s="5">
        <f>Table1[[#This Row],[Total_Line_Spend]]-Table1[[#This Row],[Negotiated_Total]]</f>
        <v>7100</v>
      </c>
      <c r="T15" t="str">
        <f xml:space="preserve"> IF(Table1[[#This Row],[Delay_Days]] &gt; 4, "High Risk", IF(Table1[[#This Row],[Delay_Days]] &gt; 0, "Medium Risk", "Low Risk"))</f>
        <v>Low Risk</v>
      </c>
    </row>
    <row r="16" spans="1:21" x14ac:dyDescent="0.25">
      <c r="A16" t="s">
        <v>41</v>
      </c>
      <c r="B16" t="s">
        <v>805</v>
      </c>
      <c r="C16" s="1">
        <v>44592</v>
      </c>
      <c r="D16" s="1">
        <v>44610</v>
      </c>
      <c r="E16" t="s">
        <v>39</v>
      </c>
      <c r="F16" t="s">
        <v>35</v>
      </c>
      <c r="G16">
        <v>5000</v>
      </c>
      <c r="H16" s="5">
        <v>54.5</v>
      </c>
      <c r="I16" s="5">
        <v>48.45</v>
      </c>
      <c r="J16">
        <v>22</v>
      </c>
      <c r="K16" t="s">
        <v>15</v>
      </c>
      <c r="L16">
        <f t="shared" si="3"/>
        <v>18</v>
      </c>
      <c r="M16">
        <v>11</v>
      </c>
      <c r="N16">
        <f t="shared" si="0"/>
        <v>7</v>
      </c>
      <c r="O16" t="str">
        <f xml:space="preserve"> IF(AND(Table1[[#This Row],[Actual_Lead_Time]] &lt;= Table1[[#This Row],[Standard_Lead_Time]], OR(ISBLANK(J16), J16 = 0)), "OTIF", "Non-OTIF")</f>
        <v>Non-OTIF</v>
      </c>
      <c r="P16">
        <f>IF(Table1[[#This Row],[OTIF_Status]] = "OTIF", 1, 0)</f>
        <v>0</v>
      </c>
      <c r="Q16" s="5">
        <f t="shared" si="1"/>
        <v>272500</v>
      </c>
      <c r="R16" s="5">
        <f t="shared" si="2"/>
        <v>242250</v>
      </c>
      <c r="S16" s="5">
        <f>Table1[[#This Row],[Total_Line_Spend]]-Table1[[#This Row],[Negotiated_Total]]</f>
        <v>30250</v>
      </c>
      <c r="T16" t="str">
        <f xml:space="preserve"> IF(Table1[[#This Row],[Delay_Days]] &gt; 4, "High Risk", IF(Table1[[#This Row],[Delay_Days]] &gt; 0, "Medium Risk", "Low Risk"))</f>
        <v>High Risk</v>
      </c>
    </row>
    <row r="17" spans="1:20" x14ac:dyDescent="0.25">
      <c r="A17" t="s">
        <v>42</v>
      </c>
      <c r="B17" t="s">
        <v>807</v>
      </c>
      <c r="C17" s="1">
        <v>44657</v>
      </c>
      <c r="D17" s="1">
        <v>44672</v>
      </c>
      <c r="E17" t="s">
        <v>24</v>
      </c>
      <c r="F17" t="s">
        <v>18</v>
      </c>
      <c r="G17">
        <v>5000</v>
      </c>
      <c r="H17" s="5">
        <v>15.41</v>
      </c>
      <c r="I17" s="5">
        <v>15.12</v>
      </c>
      <c r="K17" t="s">
        <v>15</v>
      </c>
      <c r="L17">
        <f t="shared" si="3"/>
        <v>15</v>
      </c>
      <c r="M17">
        <v>11</v>
      </c>
      <c r="N17">
        <f t="shared" si="0"/>
        <v>4</v>
      </c>
      <c r="O17" t="str">
        <f xml:space="preserve"> IF(AND(Table1[[#This Row],[Actual_Lead_Time]] &lt;= Table1[[#This Row],[Standard_Lead_Time]], OR(ISBLANK(J17), J17 = 0)), "OTIF", "Non-OTIF")</f>
        <v>Non-OTIF</v>
      </c>
      <c r="P17">
        <f>IF(Table1[[#This Row],[OTIF_Status]] = "OTIF", 1, 0)</f>
        <v>0</v>
      </c>
      <c r="Q17" s="5">
        <f t="shared" si="1"/>
        <v>77050</v>
      </c>
      <c r="R17" s="5">
        <f t="shared" si="2"/>
        <v>75600</v>
      </c>
      <c r="S17" s="5">
        <f>Table1[[#This Row],[Total_Line_Spend]]-Table1[[#This Row],[Negotiated_Total]]</f>
        <v>1450</v>
      </c>
      <c r="T17" t="str">
        <f xml:space="preserve"> IF(Table1[[#This Row],[Delay_Days]] &gt; 4, "High Risk", IF(Table1[[#This Row],[Delay_Days]] &gt; 0, "Medium Risk", "Low Risk"))</f>
        <v>Medium Risk</v>
      </c>
    </row>
    <row r="18" spans="1:20" x14ac:dyDescent="0.25">
      <c r="A18" t="s">
        <v>43</v>
      </c>
      <c r="B18" t="s">
        <v>805</v>
      </c>
      <c r="C18" s="1">
        <v>44785</v>
      </c>
      <c r="D18" s="1">
        <v>44804</v>
      </c>
      <c r="E18" t="s">
        <v>21</v>
      </c>
      <c r="F18" t="s">
        <v>18</v>
      </c>
      <c r="G18">
        <v>1173</v>
      </c>
      <c r="H18" s="5">
        <v>61.54</v>
      </c>
      <c r="I18" s="5">
        <v>55.49</v>
      </c>
      <c r="J18">
        <v>172</v>
      </c>
      <c r="K18" t="s">
        <v>27</v>
      </c>
      <c r="L18">
        <f t="shared" si="3"/>
        <v>19</v>
      </c>
      <c r="M18">
        <v>11</v>
      </c>
      <c r="N18">
        <f t="shared" si="0"/>
        <v>8</v>
      </c>
      <c r="O18" t="str">
        <f xml:space="preserve"> IF(AND(Table1[[#This Row],[Actual_Lead_Time]] &lt;= Table1[[#This Row],[Standard_Lead_Time]], OR(ISBLANK(J18), J18 = 0)), "OTIF", "Non-OTIF")</f>
        <v>Non-OTIF</v>
      </c>
      <c r="P18">
        <f>IF(Table1[[#This Row],[OTIF_Status]] = "OTIF", 1, 0)</f>
        <v>0</v>
      </c>
      <c r="Q18" s="5">
        <f t="shared" si="1"/>
        <v>72186.42</v>
      </c>
      <c r="R18" s="5">
        <f t="shared" si="2"/>
        <v>65089.770000000004</v>
      </c>
      <c r="S18" s="5">
        <f>Table1[[#This Row],[Total_Line_Spend]]-Table1[[#This Row],[Negotiated_Total]]</f>
        <v>7096.6499999999942</v>
      </c>
      <c r="T18" t="str">
        <f xml:space="preserve"> IF(Table1[[#This Row],[Delay_Days]] &gt; 4, "High Risk", IF(Table1[[#This Row],[Delay_Days]] &gt; 0, "Medium Risk", "Low Risk"))</f>
        <v>High Risk</v>
      </c>
    </row>
    <row r="19" spans="1:20" x14ac:dyDescent="0.25">
      <c r="A19" t="s">
        <v>44</v>
      </c>
      <c r="B19" t="s">
        <v>808</v>
      </c>
      <c r="C19" s="1">
        <v>44800</v>
      </c>
      <c r="D19" s="1">
        <v>44808</v>
      </c>
      <c r="E19" t="s">
        <v>26</v>
      </c>
      <c r="F19" t="s">
        <v>18</v>
      </c>
      <c r="G19">
        <v>921</v>
      </c>
      <c r="H19" s="5">
        <v>51.48</v>
      </c>
      <c r="I19" s="5">
        <v>50.61</v>
      </c>
      <c r="K19" t="s">
        <v>15</v>
      </c>
      <c r="L19">
        <f t="shared" si="3"/>
        <v>8</v>
      </c>
      <c r="M19">
        <v>11</v>
      </c>
      <c r="N19">
        <f t="shared" si="0"/>
        <v>0</v>
      </c>
      <c r="O19" t="str">
        <f xml:space="preserve"> IF(AND(Table1[[#This Row],[Actual_Lead_Time]] &lt;= Table1[[#This Row],[Standard_Lead_Time]], OR(ISBLANK(J19), J19 = 0)), "OTIF", "Non-OTIF")</f>
        <v>OTIF</v>
      </c>
      <c r="P19">
        <f>IF(Table1[[#This Row],[OTIF_Status]] = "OTIF", 1, 0)</f>
        <v>1</v>
      </c>
      <c r="Q19" s="5">
        <f t="shared" si="1"/>
        <v>47413.079999999994</v>
      </c>
      <c r="R19" s="5">
        <f t="shared" si="2"/>
        <v>46611.81</v>
      </c>
      <c r="S19" s="5">
        <f>Table1[[#This Row],[Total_Line_Spend]]-Table1[[#This Row],[Negotiated_Total]]</f>
        <v>801.2699999999968</v>
      </c>
      <c r="T19" t="str">
        <f xml:space="preserve"> IF(Table1[[#This Row],[Delay_Days]] &gt; 4, "High Risk", IF(Table1[[#This Row],[Delay_Days]] &gt; 0, "Medium Risk", "Low Risk"))</f>
        <v>Low Risk</v>
      </c>
    </row>
    <row r="20" spans="1:20" x14ac:dyDescent="0.25">
      <c r="A20" t="s">
        <v>45</v>
      </c>
      <c r="B20" t="s">
        <v>806</v>
      </c>
      <c r="C20" s="1">
        <v>45079</v>
      </c>
      <c r="D20" s="1">
        <v>45082</v>
      </c>
      <c r="E20" t="s">
        <v>26</v>
      </c>
      <c r="F20" t="s">
        <v>33</v>
      </c>
      <c r="G20">
        <v>1737</v>
      </c>
      <c r="H20" s="5">
        <v>97.53</v>
      </c>
      <c r="I20" s="5">
        <v>87.37</v>
      </c>
      <c r="J20">
        <v>79</v>
      </c>
      <c r="K20" t="s">
        <v>15</v>
      </c>
      <c r="L20">
        <f t="shared" si="3"/>
        <v>3</v>
      </c>
      <c r="M20">
        <v>11</v>
      </c>
      <c r="N20">
        <f t="shared" si="0"/>
        <v>0</v>
      </c>
      <c r="O20" t="str">
        <f xml:space="preserve"> IF(AND(Table1[[#This Row],[Actual_Lead_Time]] &lt;= Table1[[#This Row],[Standard_Lead_Time]], OR(ISBLANK(J20), J20 = 0)), "OTIF", "Non-OTIF")</f>
        <v>Non-OTIF</v>
      </c>
      <c r="P20">
        <f>IF(Table1[[#This Row],[OTIF_Status]] = "OTIF", 1, 0)</f>
        <v>0</v>
      </c>
      <c r="Q20" s="5">
        <f t="shared" si="1"/>
        <v>169409.61000000002</v>
      </c>
      <c r="R20" s="5">
        <f t="shared" si="2"/>
        <v>151761.69</v>
      </c>
      <c r="S20" s="5">
        <f>Table1[[#This Row],[Total_Line_Spend]]-Table1[[#This Row],[Negotiated_Total]]</f>
        <v>17647.920000000013</v>
      </c>
      <c r="T20" t="str">
        <f xml:space="preserve"> IF(Table1[[#This Row],[Delay_Days]] &gt; 4, "High Risk", IF(Table1[[#This Row],[Delay_Days]] &gt; 0, "Medium Risk", "Low Risk"))</f>
        <v>Low Risk</v>
      </c>
    </row>
    <row r="21" spans="1:20" x14ac:dyDescent="0.25">
      <c r="A21" t="s">
        <v>46</v>
      </c>
      <c r="B21" t="s">
        <v>805</v>
      </c>
      <c r="C21" s="1">
        <v>45178</v>
      </c>
      <c r="D21" s="1">
        <v>45193</v>
      </c>
      <c r="E21" t="s">
        <v>26</v>
      </c>
      <c r="F21" t="s">
        <v>18</v>
      </c>
      <c r="G21">
        <v>180</v>
      </c>
      <c r="H21" s="5">
        <v>45.74</v>
      </c>
      <c r="I21" s="5">
        <v>38.89</v>
      </c>
      <c r="K21" t="s">
        <v>27</v>
      </c>
      <c r="L21">
        <f t="shared" si="3"/>
        <v>15</v>
      </c>
      <c r="M21">
        <v>11</v>
      </c>
      <c r="N21">
        <f t="shared" si="0"/>
        <v>4</v>
      </c>
      <c r="O21" t="str">
        <f xml:space="preserve"> IF(AND(Table1[[#This Row],[Actual_Lead_Time]] &lt;= Table1[[#This Row],[Standard_Lead_Time]], OR(ISBLANK(J21), J21 = 0)), "OTIF", "Non-OTIF")</f>
        <v>Non-OTIF</v>
      </c>
      <c r="P21">
        <f>IF(Table1[[#This Row],[OTIF_Status]] = "OTIF", 1, 0)</f>
        <v>0</v>
      </c>
      <c r="Q21" s="5">
        <f t="shared" si="1"/>
        <v>8233.2000000000007</v>
      </c>
      <c r="R21" s="5">
        <f t="shared" si="2"/>
        <v>7000.2</v>
      </c>
      <c r="S21" s="5">
        <f>Table1[[#This Row],[Total_Line_Spend]]-Table1[[#This Row],[Negotiated_Total]]</f>
        <v>1233.0000000000009</v>
      </c>
      <c r="T21" t="str">
        <f xml:space="preserve"> IF(Table1[[#This Row],[Delay_Days]] &gt; 4, "High Risk", IF(Table1[[#This Row],[Delay_Days]] &gt; 0, "Medium Risk", "Low Risk"))</f>
        <v>Medium Risk</v>
      </c>
    </row>
    <row r="22" spans="1:20" x14ac:dyDescent="0.25">
      <c r="A22" t="s">
        <v>47</v>
      </c>
      <c r="B22" t="s">
        <v>808</v>
      </c>
      <c r="C22" s="1">
        <v>44589</v>
      </c>
      <c r="D22" s="1">
        <v>44604</v>
      </c>
      <c r="E22" t="s">
        <v>39</v>
      </c>
      <c r="F22" t="s">
        <v>14</v>
      </c>
      <c r="G22">
        <v>1735</v>
      </c>
      <c r="H22" s="5">
        <v>20.54</v>
      </c>
      <c r="I22" s="5">
        <v>19.690000000000001</v>
      </c>
      <c r="J22">
        <v>49</v>
      </c>
      <c r="K22" t="s">
        <v>15</v>
      </c>
      <c r="L22">
        <f t="shared" si="3"/>
        <v>15</v>
      </c>
      <c r="M22">
        <v>11</v>
      </c>
      <c r="N22">
        <f t="shared" si="0"/>
        <v>4</v>
      </c>
      <c r="O22" t="str">
        <f xml:space="preserve"> IF(AND(Table1[[#This Row],[Actual_Lead_Time]] &lt;= Table1[[#This Row],[Standard_Lead_Time]], OR(ISBLANK(J22), J22 = 0)), "OTIF", "Non-OTIF")</f>
        <v>Non-OTIF</v>
      </c>
      <c r="P22">
        <f>IF(Table1[[#This Row],[OTIF_Status]] = "OTIF", 1, 0)</f>
        <v>0</v>
      </c>
      <c r="Q22" s="5">
        <f t="shared" si="1"/>
        <v>35636.9</v>
      </c>
      <c r="R22" s="5">
        <f t="shared" si="2"/>
        <v>34162.15</v>
      </c>
      <c r="S22" s="5">
        <f>Table1[[#This Row],[Total_Line_Spend]]-Table1[[#This Row],[Negotiated_Total]]</f>
        <v>1474.75</v>
      </c>
      <c r="T22" t="str">
        <f xml:space="preserve"> IF(Table1[[#This Row],[Delay_Days]] &gt; 4, "High Risk", IF(Table1[[#This Row],[Delay_Days]] &gt; 0, "Medium Risk", "Low Risk"))</f>
        <v>Medium Risk</v>
      </c>
    </row>
    <row r="23" spans="1:20" x14ac:dyDescent="0.25">
      <c r="A23" t="s">
        <v>48</v>
      </c>
      <c r="B23" t="s">
        <v>805</v>
      </c>
      <c r="C23" s="1">
        <v>45136</v>
      </c>
      <c r="D23" s="1">
        <v>45149</v>
      </c>
      <c r="E23" t="s">
        <v>26</v>
      </c>
      <c r="F23" t="s">
        <v>18</v>
      </c>
      <c r="G23">
        <v>1382</v>
      </c>
      <c r="H23" s="5">
        <v>24.93</v>
      </c>
      <c r="I23" s="5">
        <v>23.75</v>
      </c>
      <c r="K23" t="s">
        <v>15</v>
      </c>
      <c r="L23">
        <f t="shared" si="3"/>
        <v>13</v>
      </c>
      <c r="M23">
        <v>11</v>
      </c>
      <c r="N23">
        <f t="shared" si="0"/>
        <v>2</v>
      </c>
      <c r="O23" t="str">
        <f xml:space="preserve"> IF(AND(Table1[[#This Row],[Actual_Lead_Time]] &lt;= Table1[[#This Row],[Standard_Lead_Time]], OR(ISBLANK(J23), J23 = 0)), "OTIF", "Non-OTIF")</f>
        <v>Non-OTIF</v>
      </c>
      <c r="P23">
        <f>IF(Table1[[#This Row],[OTIF_Status]] = "OTIF", 1, 0)</f>
        <v>0</v>
      </c>
      <c r="Q23" s="5">
        <f t="shared" si="1"/>
        <v>34453.26</v>
      </c>
      <c r="R23" s="5">
        <f t="shared" si="2"/>
        <v>32822.5</v>
      </c>
      <c r="S23" s="5">
        <f>Table1[[#This Row],[Total_Line_Spend]]-Table1[[#This Row],[Negotiated_Total]]</f>
        <v>1630.760000000002</v>
      </c>
      <c r="T23" t="str">
        <f xml:space="preserve"> IF(Table1[[#This Row],[Delay_Days]] &gt; 4, "High Risk", IF(Table1[[#This Row],[Delay_Days]] &gt; 0, "Medium Risk", "Low Risk"))</f>
        <v>Medium Risk</v>
      </c>
    </row>
    <row r="24" spans="1:20" x14ac:dyDescent="0.25">
      <c r="A24" t="s">
        <v>49</v>
      </c>
      <c r="B24" t="s">
        <v>808</v>
      </c>
      <c r="C24" s="1">
        <v>44765</v>
      </c>
      <c r="D24" s="1">
        <v>44781</v>
      </c>
      <c r="E24" t="s">
        <v>21</v>
      </c>
      <c r="F24" t="s">
        <v>18</v>
      </c>
      <c r="G24">
        <v>819</v>
      </c>
      <c r="H24" s="5">
        <v>80.89</v>
      </c>
      <c r="I24" s="5">
        <v>77.03</v>
      </c>
      <c r="J24">
        <v>29</v>
      </c>
      <c r="K24" t="s">
        <v>15</v>
      </c>
      <c r="L24">
        <f t="shared" si="3"/>
        <v>16</v>
      </c>
      <c r="M24">
        <v>11</v>
      </c>
      <c r="N24">
        <f t="shared" si="0"/>
        <v>5</v>
      </c>
      <c r="O24" t="str">
        <f xml:space="preserve"> IF(AND(Table1[[#This Row],[Actual_Lead_Time]] &lt;= Table1[[#This Row],[Standard_Lead_Time]], OR(ISBLANK(J24), J24 = 0)), "OTIF", "Non-OTIF")</f>
        <v>Non-OTIF</v>
      </c>
      <c r="P24">
        <f>IF(Table1[[#This Row],[OTIF_Status]] = "OTIF", 1, 0)</f>
        <v>0</v>
      </c>
      <c r="Q24" s="5">
        <f t="shared" si="1"/>
        <v>66248.91</v>
      </c>
      <c r="R24" s="5">
        <f t="shared" si="2"/>
        <v>63087.57</v>
      </c>
      <c r="S24" s="5">
        <f>Table1[[#This Row],[Total_Line_Spend]]-Table1[[#This Row],[Negotiated_Total]]</f>
        <v>3161.3400000000038</v>
      </c>
      <c r="T24" t="str">
        <f xml:space="preserve"> IF(Table1[[#This Row],[Delay_Days]] &gt; 4, "High Risk", IF(Table1[[#This Row],[Delay_Days]] &gt; 0, "Medium Risk", "Low Risk"))</f>
        <v>High Risk</v>
      </c>
    </row>
    <row r="25" spans="1:20" x14ac:dyDescent="0.25">
      <c r="A25" t="s">
        <v>50</v>
      </c>
      <c r="B25" t="s">
        <v>807</v>
      </c>
      <c r="C25" s="1">
        <v>45227</v>
      </c>
      <c r="D25" s="1">
        <v>45233</v>
      </c>
      <c r="E25" t="s">
        <v>13</v>
      </c>
      <c r="F25" t="s">
        <v>33</v>
      </c>
      <c r="G25">
        <v>393</v>
      </c>
      <c r="H25" s="5">
        <v>72.53</v>
      </c>
      <c r="I25" s="5">
        <v>66.31</v>
      </c>
      <c r="J25">
        <v>42</v>
      </c>
      <c r="K25" t="s">
        <v>27</v>
      </c>
      <c r="L25">
        <f t="shared" si="3"/>
        <v>6</v>
      </c>
      <c r="M25">
        <v>11</v>
      </c>
      <c r="N25">
        <f t="shared" si="0"/>
        <v>0</v>
      </c>
      <c r="O25" t="str">
        <f xml:space="preserve"> IF(AND(Table1[[#This Row],[Actual_Lead_Time]] &lt;= Table1[[#This Row],[Standard_Lead_Time]], OR(ISBLANK(J25), J25 = 0)), "OTIF", "Non-OTIF")</f>
        <v>Non-OTIF</v>
      </c>
      <c r="P25">
        <f>IF(Table1[[#This Row],[OTIF_Status]] = "OTIF", 1, 0)</f>
        <v>0</v>
      </c>
      <c r="Q25" s="5">
        <f t="shared" si="1"/>
        <v>28504.29</v>
      </c>
      <c r="R25" s="5">
        <f t="shared" si="2"/>
        <v>26059.83</v>
      </c>
      <c r="S25" s="5">
        <f>Table1[[#This Row],[Total_Line_Spend]]-Table1[[#This Row],[Negotiated_Total]]</f>
        <v>2444.4599999999991</v>
      </c>
      <c r="T25" t="str">
        <f xml:space="preserve"> IF(Table1[[#This Row],[Delay_Days]] &gt; 4, "High Risk", IF(Table1[[#This Row],[Delay_Days]] &gt; 0, "Medium Risk", "Low Risk"))</f>
        <v>Low Risk</v>
      </c>
    </row>
    <row r="26" spans="1:20" x14ac:dyDescent="0.25">
      <c r="A26" t="s">
        <v>51</v>
      </c>
      <c r="B26" t="s">
        <v>807</v>
      </c>
      <c r="C26" s="1">
        <v>45280</v>
      </c>
      <c r="D26" s="1">
        <v>45292</v>
      </c>
      <c r="E26" t="s">
        <v>21</v>
      </c>
      <c r="F26" t="s">
        <v>18</v>
      </c>
      <c r="G26">
        <v>1565</v>
      </c>
      <c r="H26" s="5">
        <v>21.3</v>
      </c>
      <c r="I26" s="5">
        <v>20.09</v>
      </c>
      <c r="J26">
        <v>161</v>
      </c>
      <c r="K26" t="s">
        <v>15</v>
      </c>
      <c r="L26">
        <f t="shared" si="3"/>
        <v>12</v>
      </c>
      <c r="M26">
        <v>11</v>
      </c>
      <c r="N26">
        <f t="shared" si="0"/>
        <v>1</v>
      </c>
      <c r="O26" t="str">
        <f xml:space="preserve"> IF(AND(Table1[[#This Row],[Actual_Lead_Time]] &lt;= Table1[[#This Row],[Standard_Lead_Time]], OR(ISBLANK(J26), J26 = 0)), "OTIF", "Non-OTIF")</f>
        <v>Non-OTIF</v>
      </c>
      <c r="P26">
        <f>IF(Table1[[#This Row],[OTIF_Status]] = "OTIF", 1, 0)</f>
        <v>0</v>
      </c>
      <c r="Q26" s="5">
        <f t="shared" si="1"/>
        <v>33334.5</v>
      </c>
      <c r="R26" s="5">
        <f t="shared" si="2"/>
        <v>31440.85</v>
      </c>
      <c r="S26" s="5">
        <f>Table1[[#This Row],[Total_Line_Spend]]-Table1[[#This Row],[Negotiated_Total]]</f>
        <v>1893.6500000000015</v>
      </c>
      <c r="T26" t="str">
        <f xml:space="preserve"> IF(Table1[[#This Row],[Delay_Days]] &gt; 4, "High Risk", IF(Table1[[#This Row],[Delay_Days]] &gt; 0, "Medium Risk", "Low Risk"))</f>
        <v>Medium Risk</v>
      </c>
    </row>
    <row r="27" spans="1:20" x14ac:dyDescent="0.25">
      <c r="A27" t="s">
        <v>52</v>
      </c>
      <c r="B27" t="s">
        <v>808</v>
      </c>
      <c r="C27" s="1">
        <v>45120</v>
      </c>
      <c r="D27" s="1">
        <v>45131</v>
      </c>
      <c r="E27" t="s">
        <v>24</v>
      </c>
      <c r="F27" t="s">
        <v>18</v>
      </c>
      <c r="G27">
        <v>1487</v>
      </c>
      <c r="H27" s="5">
        <v>19.149999999999999</v>
      </c>
      <c r="I27" s="5">
        <v>17.239999999999998</v>
      </c>
      <c r="K27" t="s">
        <v>15</v>
      </c>
      <c r="L27">
        <f t="shared" si="3"/>
        <v>11</v>
      </c>
      <c r="M27">
        <v>11</v>
      </c>
      <c r="N27">
        <f t="shared" si="0"/>
        <v>0</v>
      </c>
      <c r="O27" t="str">
        <f xml:space="preserve"> IF(AND(Table1[[#This Row],[Actual_Lead_Time]] &lt;= Table1[[#This Row],[Standard_Lead_Time]], OR(ISBLANK(J27), J27 = 0)), "OTIF", "Non-OTIF")</f>
        <v>OTIF</v>
      </c>
      <c r="P27">
        <f>IF(Table1[[#This Row],[OTIF_Status]] = "OTIF", 1, 0)</f>
        <v>1</v>
      </c>
      <c r="Q27" s="5">
        <f t="shared" si="1"/>
        <v>28476.05</v>
      </c>
      <c r="R27" s="5">
        <f t="shared" si="2"/>
        <v>25635.879999999997</v>
      </c>
      <c r="S27" s="5">
        <f>Table1[[#This Row],[Total_Line_Spend]]-Table1[[#This Row],[Negotiated_Total]]</f>
        <v>2840.1700000000019</v>
      </c>
      <c r="T27" t="str">
        <f xml:space="preserve"> IF(Table1[[#This Row],[Delay_Days]] &gt; 4, "High Risk", IF(Table1[[#This Row],[Delay_Days]] &gt; 0, "Medium Risk", "Low Risk"))</f>
        <v>Low Risk</v>
      </c>
    </row>
    <row r="28" spans="1:20" x14ac:dyDescent="0.25">
      <c r="A28" t="s">
        <v>53</v>
      </c>
      <c r="B28" t="s">
        <v>804</v>
      </c>
      <c r="C28" s="1">
        <v>44991</v>
      </c>
      <c r="D28" s="1">
        <v>45011</v>
      </c>
      <c r="E28" t="s">
        <v>21</v>
      </c>
      <c r="F28" t="s">
        <v>18</v>
      </c>
      <c r="G28">
        <v>855</v>
      </c>
      <c r="H28" s="5">
        <v>78.2</v>
      </c>
      <c r="I28" s="5">
        <v>67.16</v>
      </c>
      <c r="J28">
        <v>17</v>
      </c>
      <c r="K28" t="s">
        <v>15</v>
      </c>
      <c r="L28">
        <f t="shared" si="3"/>
        <v>20</v>
      </c>
      <c r="M28">
        <v>11</v>
      </c>
      <c r="N28">
        <f t="shared" si="0"/>
        <v>9</v>
      </c>
      <c r="O28" t="str">
        <f xml:space="preserve"> IF(AND(Table1[[#This Row],[Actual_Lead_Time]] &lt;= Table1[[#This Row],[Standard_Lead_Time]], OR(ISBLANK(J28), J28 = 0)), "OTIF", "Non-OTIF")</f>
        <v>Non-OTIF</v>
      </c>
      <c r="P28">
        <f>IF(Table1[[#This Row],[OTIF_Status]] = "OTIF", 1, 0)</f>
        <v>0</v>
      </c>
      <c r="Q28" s="5">
        <f t="shared" si="1"/>
        <v>66861</v>
      </c>
      <c r="R28" s="5">
        <f t="shared" si="2"/>
        <v>57421.799999999996</v>
      </c>
      <c r="S28" s="5">
        <f>Table1[[#This Row],[Total_Line_Spend]]-Table1[[#This Row],[Negotiated_Total]]</f>
        <v>9439.2000000000044</v>
      </c>
      <c r="T28" t="str">
        <f xml:space="preserve"> IF(Table1[[#This Row],[Delay_Days]] &gt; 4, "High Risk", IF(Table1[[#This Row],[Delay_Days]] &gt; 0, "Medium Risk", "Low Risk"))</f>
        <v>High Risk</v>
      </c>
    </row>
    <row r="29" spans="1:20" x14ac:dyDescent="0.25">
      <c r="A29" t="s">
        <v>54</v>
      </c>
      <c r="B29" t="s">
        <v>808</v>
      </c>
      <c r="C29" s="1">
        <v>44787</v>
      </c>
      <c r="D29" s="1">
        <v>44796</v>
      </c>
      <c r="E29" t="s">
        <v>26</v>
      </c>
      <c r="F29" t="s">
        <v>18</v>
      </c>
      <c r="G29">
        <v>435</v>
      </c>
      <c r="H29" s="5">
        <v>17.13</v>
      </c>
      <c r="I29" s="5">
        <v>15.84</v>
      </c>
      <c r="J29">
        <v>8</v>
      </c>
      <c r="K29" t="s">
        <v>15</v>
      </c>
      <c r="L29">
        <f t="shared" si="3"/>
        <v>9</v>
      </c>
      <c r="M29">
        <v>11</v>
      </c>
      <c r="N29">
        <f t="shared" si="0"/>
        <v>0</v>
      </c>
      <c r="O29" t="str">
        <f xml:space="preserve"> IF(AND(Table1[[#This Row],[Actual_Lead_Time]] &lt;= Table1[[#This Row],[Standard_Lead_Time]], OR(ISBLANK(J29), J29 = 0)), "OTIF", "Non-OTIF")</f>
        <v>Non-OTIF</v>
      </c>
      <c r="P29">
        <f>IF(Table1[[#This Row],[OTIF_Status]] = "OTIF", 1, 0)</f>
        <v>0</v>
      </c>
      <c r="Q29" s="5">
        <f t="shared" si="1"/>
        <v>7451.5499999999993</v>
      </c>
      <c r="R29" s="5">
        <f t="shared" si="2"/>
        <v>6890.4</v>
      </c>
      <c r="S29" s="5">
        <f>Table1[[#This Row],[Total_Line_Spend]]-Table1[[#This Row],[Negotiated_Total]]</f>
        <v>561.14999999999964</v>
      </c>
      <c r="T29" t="str">
        <f xml:space="preserve"> IF(Table1[[#This Row],[Delay_Days]] &gt; 4, "High Risk", IF(Table1[[#This Row],[Delay_Days]] &gt; 0, "Medium Risk", "Low Risk"))</f>
        <v>Low Risk</v>
      </c>
    </row>
    <row r="30" spans="1:20" x14ac:dyDescent="0.25">
      <c r="A30" t="s">
        <v>55</v>
      </c>
      <c r="B30" t="s">
        <v>805</v>
      </c>
      <c r="C30" s="1">
        <v>45021</v>
      </c>
      <c r="D30" s="1">
        <v>45038</v>
      </c>
      <c r="E30" t="s">
        <v>21</v>
      </c>
      <c r="F30" t="s">
        <v>18</v>
      </c>
      <c r="G30">
        <v>1265</v>
      </c>
      <c r="H30" s="5">
        <v>90.26</v>
      </c>
      <c r="I30" s="5">
        <v>79.47</v>
      </c>
      <c r="J30">
        <v>187</v>
      </c>
      <c r="K30" t="s">
        <v>15</v>
      </c>
      <c r="L30">
        <f t="shared" si="3"/>
        <v>17</v>
      </c>
      <c r="M30">
        <v>11</v>
      </c>
      <c r="N30">
        <f t="shared" si="0"/>
        <v>6</v>
      </c>
      <c r="O30" t="str">
        <f xml:space="preserve"> IF(AND(Table1[[#This Row],[Actual_Lead_Time]] &lt;= Table1[[#This Row],[Standard_Lead_Time]], OR(ISBLANK(J30), J30 = 0)), "OTIF", "Non-OTIF")</f>
        <v>Non-OTIF</v>
      </c>
      <c r="P30">
        <f>IF(Table1[[#This Row],[OTIF_Status]] = "OTIF", 1, 0)</f>
        <v>0</v>
      </c>
      <c r="Q30" s="5">
        <f t="shared" si="1"/>
        <v>114178.90000000001</v>
      </c>
      <c r="R30" s="5">
        <f t="shared" si="2"/>
        <v>100529.55</v>
      </c>
      <c r="S30" s="5">
        <f>Table1[[#This Row],[Total_Line_Spend]]-Table1[[#This Row],[Negotiated_Total]]</f>
        <v>13649.350000000006</v>
      </c>
      <c r="T30" t="str">
        <f xml:space="preserve"> IF(Table1[[#This Row],[Delay_Days]] &gt; 4, "High Risk", IF(Table1[[#This Row],[Delay_Days]] &gt; 0, "Medium Risk", "Low Risk"))</f>
        <v>High Risk</v>
      </c>
    </row>
    <row r="31" spans="1:20" x14ac:dyDescent="0.25">
      <c r="A31" t="s">
        <v>56</v>
      </c>
      <c r="B31" t="s">
        <v>808</v>
      </c>
      <c r="C31" s="1">
        <v>45165</v>
      </c>
      <c r="D31" s="1">
        <v>45176</v>
      </c>
      <c r="E31" t="s">
        <v>21</v>
      </c>
      <c r="F31" t="s">
        <v>18</v>
      </c>
      <c r="G31">
        <v>1005</v>
      </c>
      <c r="H31" s="5">
        <v>80.55</v>
      </c>
      <c r="I31" s="5">
        <v>73.31</v>
      </c>
      <c r="J31">
        <v>30</v>
      </c>
      <c r="K31" t="s">
        <v>15</v>
      </c>
      <c r="L31">
        <f t="shared" si="3"/>
        <v>11</v>
      </c>
      <c r="M31">
        <v>11</v>
      </c>
      <c r="N31">
        <f t="shared" si="0"/>
        <v>0</v>
      </c>
      <c r="O31" t="str">
        <f xml:space="preserve"> IF(AND(Table1[[#This Row],[Actual_Lead_Time]] &lt;= Table1[[#This Row],[Standard_Lead_Time]], OR(ISBLANK(J31), J31 = 0)), "OTIF", "Non-OTIF")</f>
        <v>Non-OTIF</v>
      </c>
      <c r="P31">
        <f>IF(Table1[[#This Row],[OTIF_Status]] = "OTIF", 1, 0)</f>
        <v>0</v>
      </c>
      <c r="Q31" s="5">
        <f t="shared" si="1"/>
        <v>80952.75</v>
      </c>
      <c r="R31" s="5">
        <f t="shared" si="2"/>
        <v>73676.55</v>
      </c>
      <c r="S31" s="5">
        <f>Table1[[#This Row],[Total_Line_Spend]]-Table1[[#This Row],[Negotiated_Total]]</f>
        <v>7276.1999999999971</v>
      </c>
      <c r="T31" t="str">
        <f xml:space="preserve"> IF(Table1[[#This Row],[Delay_Days]] &gt; 4, "High Risk", IF(Table1[[#This Row],[Delay_Days]] &gt; 0, "Medium Risk", "Low Risk"))</f>
        <v>Low Risk</v>
      </c>
    </row>
    <row r="32" spans="1:20" x14ac:dyDescent="0.25">
      <c r="A32" t="s">
        <v>57</v>
      </c>
      <c r="B32" t="s">
        <v>806</v>
      </c>
      <c r="C32" s="1">
        <v>44846</v>
      </c>
      <c r="D32" s="1">
        <v>44860</v>
      </c>
      <c r="E32" t="s">
        <v>39</v>
      </c>
      <c r="F32" t="s">
        <v>18</v>
      </c>
      <c r="G32">
        <v>326</v>
      </c>
      <c r="H32" s="5">
        <v>18.100000000000001</v>
      </c>
      <c r="I32" s="5">
        <v>15.92</v>
      </c>
      <c r="K32" t="s">
        <v>27</v>
      </c>
      <c r="L32">
        <f t="shared" si="3"/>
        <v>14</v>
      </c>
      <c r="M32">
        <v>11</v>
      </c>
      <c r="N32">
        <f t="shared" si="0"/>
        <v>3</v>
      </c>
      <c r="O32" t="str">
        <f xml:space="preserve"> IF(AND(Table1[[#This Row],[Actual_Lead_Time]] &lt;= Table1[[#This Row],[Standard_Lead_Time]], OR(ISBLANK(J32), J32 = 0)), "OTIF", "Non-OTIF")</f>
        <v>Non-OTIF</v>
      </c>
      <c r="P32">
        <f>IF(Table1[[#This Row],[OTIF_Status]] = "OTIF", 1, 0)</f>
        <v>0</v>
      </c>
      <c r="Q32" s="5">
        <f t="shared" si="1"/>
        <v>5900.6</v>
      </c>
      <c r="R32" s="5">
        <f t="shared" si="2"/>
        <v>5189.92</v>
      </c>
      <c r="S32" s="5">
        <f>Table1[[#This Row],[Total_Line_Spend]]-Table1[[#This Row],[Negotiated_Total]]</f>
        <v>710.68000000000029</v>
      </c>
      <c r="T32" t="str">
        <f xml:space="preserve"> IF(Table1[[#This Row],[Delay_Days]] &gt; 4, "High Risk", IF(Table1[[#This Row],[Delay_Days]] &gt; 0, "Medium Risk", "Low Risk"))</f>
        <v>Medium Risk</v>
      </c>
    </row>
    <row r="33" spans="1:20" x14ac:dyDescent="0.25">
      <c r="A33" t="s">
        <v>58</v>
      </c>
      <c r="B33" t="s">
        <v>804</v>
      </c>
      <c r="C33" s="1">
        <v>44568</v>
      </c>
      <c r="D33" s="1">
        <v>44576</v>
      </c>
      <c r="E33" t="s">
        <v>13</v>
      </c>
      <c r="F33" t="s">
        <v>18</v>
      </c>
      <c r="G33">
        <v>1234</v>
      </c>
      <c r="H33" s="5">
        <v>17.64</v>
      </c>
      <c r="I33" s="5">
        <v>15.66</v>
      </c>
      <c r="J33">
        <v>26</v>
      </c>
      <c r="K33" t="s">
        <v>15</v>
      </c>
      <c r="L33">
        <f t="shared" si="3"/>
        <v>8</v>
      </c>
      <c r="M33">
        <v>11</v>
      </c>
      <c r="N33">
        <f t="shared" si="0"/>
        <v>0</v>
      </c>
      <c r="O33" t="str">
        <f xml:space="preserve"> IF(AND(Table1[[#This Row],[Actual_Lead_Time]] &lt;= Table1[[#This Row],[Standard_Lead_Time]], OR(ISBLANK(J33), J33 = 0)), "OTIF", "Non-OTIF")</f>
        <v>Non-OTIF</v>
      </c>
      <c r="P33">
        <f>IF(Table1[[#This Row],[OTIF_Status]] = "OTIF", 1, 0)</f>
        <v>0</v>
      </c>
      <c r="Q33" s="5">
        <f t="shared" si="1"/>
        <v>21767.760000000002</v>
      </c>
      <c r="R33" s="5">
        <f t="shared" si="2"/>
        <v>19324.439999999999</v>
      </c>
      <c r="S33" s="5">
        <f>Table1[[#This Row],[Total_Line_Spend]]-Table1[[#This Row],[Negotiated_Total]]</f>
        <v>2443.3200000000033</v>
      </c>
      <c r="T33" t="str">
        <f xml:space="preserve"> IF(Table1[[#This Row],[Delay_Days]] &gt; 4, "High Risk", IF(Table1[[#This Row],[Delay_Days]] &gt; 0, "Medium Risk", "Low Risk"))</f>
        <v>Low Risk</v>
      </c>
    </row>
    <row r="34" spans="1:20" x14ac:dyDescent="0.25">
      <c r="A34" t="s">
        <v>59</v>
      </c>
      <c r="B34" t="s">
        <v>808</v>
      </c>
      <c r="C34" s="1">
        <v>44725</v>
      </c>
      <c r="D34" s="1">
        <v>44741</v>
      </c>
      <c r="E34" t="s">
        <v>21</v>
      </c>
      <c r="F34" t="s">
        <v>18</v>
      </c>
      <c r="G34">
        <v>509</v>
      </c>
      <c r="H34" s="5">
        <v>101.27</v>
      </c>
      <c r="I34" s="5">
        <v>97.82</v>
      </c>
      <c r="J34">
        <v>19</v>
      </c>
      <c r="K34" t="s">
        <v>15</v>
      </c>
      <c r="L34">
        <f t="shared" si="3"/>
        <v>16</v>
      </c>
      <c r="M34">
        <v>11</v>
      </c>
      <c r="N34">
        <f t="shared" si="0"/>
        <v>5</v>
      </c>
      <c r="O34" t="str">
        <f xml:space="preserve"> IF(AND(Table1[[#This Row],[Actual_Lead_Time]] &lt;= Table1[[#This Row],[Standard_Lead_Time]], OR(ISBLANK(J34), J34 = 0)), "OTIF", "Non-OTIF")</f>
        <v>Non-OTIF</v>
      </c>
      <c r="P34">
        <f>IF(Table1[[#This Row],[OTIF_Status]] = "OTIF", 1, 0)</f>
        <v>0</v>
      </c>
      <c r="Q34" s="5">
        <f t="shared" si="1"/>
        <v>51546.43</v>
      </c>
      <c r="R34" s="5">
        <f t="shared" si="2"/>
        <v>49790.38</v>
      </c>
      <c r="S34" s="5">
        <f>Table1[[#This Row],[Total_Line_Spend]]-Table1[[#This Row],[Negotiated_Total]]</f>
        <v>1756.0500000000029</v>
      </c>
      <c r="T34" t="str">
        <f xml:space="preserve"> IF(Table1[[#This Row],[Delay_Days]] &gt; 4, "High Risk", IF(Table1[[#This Row],[Delay_Days]] &gt; 0, "Medium Risk", "Low Risk"))</f>
        <v>High Risk</v>
      </c>
    </row>
    <row r="35" spans="1:20" x14ac:dyDescent="0.25">
      <c r="A35" t="s">
        <v>60</v>
      </c>
      <c r="B35" t="s">
        <v>804</v>
      </c>
      <c r="C35" s="1">
        <v>45276</v>
      </c>
      <c r="D35" s="1">
        <v>45277</v>
      </c>
      <c r="E35" t="s">
        <v>24</v>
      </c>
      <c r="F35" t="s">
        <v>18</v>
      </c>
      <c r="G35">
        <v>1387</v>
      </c>
      <c r="H35" s="5">
        <v>48.71</v>
      </c>
      <c r="I35" s="5">
        <v>43.71</v>
      </c>
      <c r="J35">
        <v>27</v>
      </c>
      <c r="K35" t="s">
        <v>15</v>
      </c>
      <c r="L35">
        <f t="shared" si="3"/>
        <v>1</v>
      </c>
      <c r="M35">
        <v>11</v>
      </c>
      <c r="N35">
        <f t="shared" si="0"/>
        <v>0</v>
      </c>
      <c r="O35" t="str">
        <f xml:space="preserve"> IF(AND(Table1[[#This Row],[Actual_Lead_Time]] &lt;= Table1[[#This Row],[Standard_Lead_Time]], OR(ISBLANK(J35), J35 = 0)), "OTIF", "Non-OTIF")</f>
        <v>Non-OTIF</v>
      </c>
      <c r="P35">
        <f>IF(Table1[[#This Row],[OTIF_Status]] = "OTIF", 1, 0)</f>
        <v>0</v>
      </c>
      <c r="Q35" s="5">
        <f t="shared" si="1"/>
        <v>67560.77</v>
      </c>
      <c r="R35" s="5">
        <f t="shared" si="2"/>
        <v>60625.770000000004</v>
      </c>
      <c r="S35" s="5">
        <f>Table1[[#This Row],[Total_Line_Spend]]-Table1[[#This Row],[Negotiated_Total]]</f>
        <v>6935</v>
      </c>
      <c r="T35" t="str">
        <f xml:space="preserve"> IF(Table1[[#This Row],[Delay_Days]] &gt; 4, "High Risk", IF(Table1[[#This Row],[Delay_Days]] &gt; 0, "Medium Risk", "Low Risk"))</f>
        <v>Low Risk</v>
      </c>
    </row>
    <row r="36" spans="1:20" x14ac:dyDescent="0.25">
      <c r="A36" t="s">
        <v>61</v>
      </c>
      <c r="B36" t="s">
        <v>804</v>
      </c>
      <c r="C36" s="1">
        <v>44994</v>
      </c>
      <c r="D36" s="1">
        <v>45002</v>
      </c>
      <c r="E36" t="s">
        <v>21</v>
      </c>
      <c r="F36" t="s">
        <v>18</v>
      </c>
      <c r="G36">
        <v>71</v>
      </c>
      <c r="H36" s="5">
        <v>46.39</v>
      </c>
      <c r="I36" s="5">
        <v>43.18</v>
      </c>
      <c r="J36">
        <v>0</v>
      </c>
      <c r="K36" t="s">
        <v>15</v>
      </c>
      <c r="L36">
        <f t="shared" si="3"/>
        <v>8</v>
      </c>
      <c r="M36">
        <v>11</v>
      </c>
      <c r="N36">
        <f t="shared" si="0"/>
        <v>0</v>
      </c>
      <c r="O36" t="str">
        <f xml:space="preserve"> IF(AND(Table1[[#This Row],[Actual_Lead_Time]] &lt;= Table1[[#This Row],[Standard_Lead_Time]], OR(ISBLANK(J36), J36 = 0)), "OTIF", "Non-OTIF")</f>
        <v>OTIF</v>
      </c>
      <c r="P36">
        <f>IF(Table1[[#This Row],[OTIF_Status]] = "OTIF", 1, 0)</f>
        <v>1</v>
      </c>
      <c r="Q36" s="5">
        <f t="shared" si="1"/>
        <v>3293.69</v>
      </c>
      <c r="R36" s="5">
        <f t="shared" si="2"/>
        <v>3065.78</v>
      </c>
      <c r="S36" s="5">
        <f>Table1[[#This Row],[Total_Line_Spend]]-Table1[[#This Row],[Negotiated_Total]]</f>
        <v>227.90999999999985</v>
      </c>
      <c r="T36" t="str">
        <f xml:space="preserve"> IF(Table1[[#This Row],[Delay_Days]] &gt; 4, "High Risk", IF(Table1[[#This Row],[Delay_Days]] &gt; 0, "Medium Risk", "Low Risk"))</f>
        <v>Low Risk</v>
      </c>
    </row>
    <row r="37" spans="1:20" x14ac:dyDescent="0.25">
      <c r="A37" t="s">
        <v>62</v>
      </c>
      <c r="B37" t="s">
        <v>808</v>
      </c>
      <c r="C37" s="1">
        <v>44910</v>
      </c>
      <c r="D37" s="1">
        <v>44918</v>
      </c>
      <c r="E37" t="s">
        <v>13</v>
      </c>
      <c r="F37" t="s">
        <v>18</v>
      </c>
      <c r="G37">
        <v>302</v>
      </c>
      <c r="H37" s="5">
        <v>87.73</v>
      </c>
      <c r="I37" s="5">
        <v>81.52</v>
      </c>
      <c r="J37">
        <v>9</v>
      </c>
      <c r="K37" t="s">
        <v>15</v>
      </c>
      <c r="L37">
        <f t="shared" si="3"/>
        <v>8</v>
      </c>
      <c r="M37">
        <v>11</v>
      </c>
      <c r="N37">
        <f t="shared" si="0"/>
        <v>0</v>
      </c>
      <c r="O37" t="str">
        <f xml:space="preserve"> IF(AND(Table1[[#This Row],[Actual_Lead_Time]] &lt;= Table1[[#This Row],[Standard_Lead_Time]], OR(ISBLANK(J37), J37 = 0)), "OTIF", "Non-OTIF")</f>
        <v>Non-OTIF</v>
      </c>
      <c r="P37">
        <f>IF(Table1[[#This Row],[OTIF_Status]] = "OTIF", 1, 0)</f>
        <v>0</v>
      </c>
      <c r="Q37" s="5">
        <f t="shared" si="1"/>
        <v>26494.460000000003</v>
      </c>
      <c r="R37" s="5">
        <f t="shared" si="2"/>
        <v>24619.039999999997</v>
      </c>
      <c r="S37" s="5">
        <f>Table1[[#This Row],[Total_Line_Spend]]-Table1[[#This Row],[Negotiated_Total]]</f>
        <v>1875.4200000000055</v>
      </c>
      <c r="T37" t="str">
        <f xml:space="preserve"> IF(Table1[[#This Row],[Delay_Days]] &gt; 4, "High Risk", IF(Table1[[#This Row],[Delay_Days]] &gt; 0, "Medium Risk", "Low Risk"))</f>
        <v>Low Risk</v>
      </c>
    </row>
    <row r="38" spans="1:20" x14ac:dyDescent="0.25">
      <c r="A38" t="s">
        <v>63</v>
      </c>
      <c r="B38" t="s">
        <v>808</v>
      </c>
      <c r="C38" s="1">
        <v>44846</v>
      </c>
      <c r="D38" s="1">
        <v>44865</v>
      </c>
      <c r="E38" t="s">
        <v>13</v>
      </c>
      <c r="F38" t="s">
        <v>35</v>
      </c>
      <c r="G38">
        <v>797</v>
      </c>
      <c r="H38" s="5">
        <v>99.54</v>
      </c>
      <c r="I38" s="5">
        <v>91.37</v>
      </c>
      <c r="J38">
        <v>18</v>
      </c>
      <c r="K38" t="s">
        <v>15</v>
      </c>
      <c r="L38">
        <f t="shared" si="3"/>
        <v>19</v>
      </c>
      <c r="M38">
        <v>11</v>
      </c>
      <c r="N38">
        <f t="shared" si="0"/>
        <v>8</v>
      </c>
      <c r="O38" t="str">
        <f xml:space="preserve"> IF(AND(Table1[[#This Row],[Actual_Lead_Time]] &lt;= Table1[[#This Row],[Standard_Lead_Time]], OR(ISBLANK(J38), J38 = 0)), "OTIF", "Non-OTIF")</f>
        <v>Non-OTIF</v>
      </c>
      <c r="P38">
        <f>IF(Table1[[#This Row],[OTIF_Status]] = "OTIF", 1, 0)</f>
        <v>0</v>
      </c>
      <c r="Q38" s="5">
        <f t="shared" si="1"/>
        <v>79333.38</v>
      </c>
      <c r="R38" s="5">
        <f t="shared" si="2"/>
        <v>72821.89</v>
      </c>
      <c r="S38" s="5">
        <f>Table1[[#This Row],[Total_Line_Spend]]-Table1[[#This Row],[Negotiated_Total]]</f>
        <v>6511.4900000000052</v>
      </c>
      <c r="T38" t="str">
        <f xml:space="preserve"> IF(Table1[[#This Row],[Delay_Days]] &gt; 4, "High Risk", IF(Table1[[#This Row],[Delay_Days]] &gt; 0, "Medium Risk", "Low Risk"))</f>
        <v>High Risk</v>
      </c>
    </row>
    <row r="39" spans="1:20" x14ac:dyDescent="0.25">
      <c r="A39" t="s">
        <v>64</v>
      </c>
      <c r="B39" t="s">
        <v>807</v>
      </c>
      <c r="C39" s="1">
        <v>44721</v>
      </c>
      <c r="D39" s="1">
        <v>44739</v>
      </c>
      <c r="E39" t="s">
        <v>13</v>
      </c>
      <c r="F39" t="s">
        <v>35</v>
      </c>
      <c r="G39">
        <v>906</v>
      </c>
      <c r="H39" s="5">
        <v>101.21</v>
      </c>
      <c r="I39" s="5">
        <v>90.9</v>
      </c>
      <c r="J39">
        <v>94</v>
      </c>
      <c r="K39" t="s">
        <v>15</v>
      </c>
      <c r="L39">
        <f t="shared" si="3"/>
        <v>18</v>
      </c>
      <c r="M39">
        <v>11</v>
      </c>
      <c r="N39">
        <f t="shared" si="0"/>
        <v>7</v>
      </c>
      <c r="O39" t="str">
        <f xml:space="preserve"> IF(AND(Table1[[#This Row],[Actual_Lead_Time]] &lt;= Table1[[#This Row],[Standard_Lead_Time]], OR(ISBLANK(J39), J39 = 0)), "OTIF", "Non-OTIF")</f>
        <v>Non-OTIF</v>
      </c>
      <c r="P39">
        <f>IF(Table1[[#This Row],[OTIF_Status]] = "OTIF", 1, 0)</f>
        <v>0</v>
      </c>
      <c r="Q39" s="5">
        <f t="shared" si="1"/>
        <v>91696.26</v>
      </c>
      <c r="R39" s="5">
        <f t="shared" si="2"/>
        <v>82355.400000000009</v>
      </c>
      <c r="S39" s="5">
        <f>Table1[[#This Row],[Total_Line_Spend]]-Table1[[#This Row],[Negotiated_Total]]</f>
        <v>9340.859999999986</v>
      </c>
      <c r="T39" t="str">
        <f xml:space="preserve"> IF(Table1[[#This Row],[Delay_Days]] &gt; 4, "High Risk", IF(Table1[[#This Row],[Delay_Days]] &gt; 0, "Medium Risk", "Low Risk"))</f>
        <v>High Risk</v>
      </c>
    </row>
    <row r="40" spans="1:20" x14ac:dyDescent="0.25">
      <c r="A40" t="s">
        <v>65</v>
      </c>
      <c r="B40" t="s">
        <v>808</v>
      </c>
      <c r="C40" s="1">
        <v>44782</v>
      </c>
      <c r="D40" s="1">
        <v>44796</v>
      </c>
      <c r="E40" t="s">
        <v>13</v>
      </c>
      <c r="F40" t="s">
        <v>18</v>
      </c>
      <c r="G40">
        <v>1634</v>
      </c>
      <c r="H40" s="5">
        <v>80.53</v>
      </c>
      <c r="I40" s="5">
        <v>76.150000000000006</v>
      </c>
      <c r="J40">
        <v>50</v>
      </c>
      <c r="K40" t="s">
        <v>15</v>
      </c>
      <c r="L40">
        <f t="shared" si="3"/>
        <v>14</v>
      </c>
      <c r="M40">
        <v>11</v>
      </c>
      <c r="N40">
        <f t="shared" si="0"/>
        <v>3</v>
      </c>
      <c r="O40" t="str">
        <f xml:space="preserve"> IF(AND(Table1[[#This Row],[Actual_Lead_Time]] &lt;= Table1[[#This Row],[Standard_Lead_Time]], OR(ISBLANK(J40), J40 = 0)), "OTIF", "Non-OTIF")</f>
        <v>Non-OTIF</v>
      </c>
      <c r="P40">
        <f>IF(Table1[[#This Row],[OTIF_Status]] = "OTIF", 1, 0)</f>
        <v>0</v>
      </c>
      <c r="Q40" s="5">
        <f t="shared" si="1"/>
        <v>131586.01999999999</v>
      </c>
      <c r="R40" s="5">
        <f t="shared" si="2"/>
        <v>124429.1</v>
      </c>
      <c r="S40" s="5">
        <f>Table1[[#This Row],[Total_Line_Spend]]-Table1[[#This Row],[Negotiated_Total]]</f>
        <v>7156.9199999999837</v>
      </c>
      <c r="T40" t="str">
        <f xml:space="preserve"> IF(Table1[[#This Row],[Delay_Days]] &gt; 4, "High Risk", IF(Table1[[#This Row],[Delay_Days]] &gt; 0, "Medium Risk", "Low Risk"))</f>
        <v>Medium Risk</v>
      </c>
    </row>
    <row r="41" spans="1:20" x14ac:dyDescent="0.25">
      <c r="A41" t="s">
        <v>66</v>
      </c>
      <c r="B41" t="s">
        <v>808</v>
      </c>
      <c r="C41" s="1">
        <v>44906</v>
      </c>
      <c r="D41" s="1">
        <v>44917</v>
      </c>
      <c r="E41" t="s">
        <v>13</v>
      </c>
      <c r="F41" t="s">
        <v>18</v>
      </c>
      <c r="G41">
        <v>524</v>
      </c>
      <c r="H41" s="5">
        <v>46.28</v>
      </c>
      <c r="I41" s="5">
        <v>39.65</v>
      </c>
      <c r="J41">
        <v>14</v>
      </c>
      <c r="K41" t="s">
        <v>15</v>
      </c>
      <c r="L41">
        <f t="shared" si="3"/>
        <v>11</v>
      </c>
      <c r="M41">
        <v>11</v>
      </c>
      <c r="N41">
        <f t="shared" si="0"/>
        <v>0</v>
      </c>
      <c r="O41" t="str">
        <f xml:space="preserve"> IF(AND(Table1[[#This Row],[Actual_Lead_Time]] &lt;= Table1[[#This Row],[Standard_Lead_Time]], OR(ISBLANK(J41), J41 = 0)), "OTIF", "Non-OTIF")</f>
        <v>Non-OTIF</v>
      </c>
      <c r="P41">
        <f>IF(Table1[[#This Row],[OTIF_Status]] = "OTIF", 1, 0)</f>
        <v>0</v>
      </c>
      <c r="Q41" s="5">
        <f t="shared" si="1"/>
        <v>24250.720000000001</v>
      </c>
      <c r="R41" s="5">
        <f t="shared" si="2"/>
        <v>20776.599999999999</v>
      </c>
      <c r="S41" s="5">
        <f>Table1[[#This Row],[Total_Line_Spend]]-Table1[[#This Row],[Negotiated_Total]]</f>
        <v>3474.1200000000026</v>
      </c>
      <c r="T41" t="str">
        <f xml:space="preserve"> IF(Table1[[#This Row],[Delay_Days]] &gt; 4, "High Risk", IF(Table1[[#This Row],[Delay_Days]] &gt; 0, "Medium Risk", "Low Risk"))</f>
        <v>Low Risk</v>
      </c>
    </row>
    <row r="42" spans="1:20" x14ac:dyDescent="0.25">
      <c r="A42" t="s">
        <v>67</v>
      </c>
      <c r="B42" t="s">
        <v>807</v>
      </c>
      <c r="C42" s="1">
        <v>44666</v>
      </c>
      <c r="D42" s="1">
        <v>44678</v>
      </c>
      <c r="E42" t="s">
        <v>39</v>
      </c>
      <c r="F42" t="s">
        <v>18</v>
      </c>
      <c r="G42">
        <v>1132</v>
      </c>
      <c r="H42" s="5">
        <v>17.78</v>
      </c>
      <c r="I42" s="5">
        <v>15.36</v>
      </c>
      <c r="J42">
        <v>96</v>
      </c>
      <c r="K42" t="s">
        <v>15</v>
      </c>
      <c r="L42">
        <f t="shared" si="3"/>
        <v>12</v>
      </c>
      <c r="M42">
        <v>11</v>
      </c>
      <c r="N42">
        <f t="shared" si="0"/>
        <v>1</v>
      </c>
      <c r="O42" t="str">
        <f xml:space="preserve"> IF(AND(Table1[[#This Row],[Actual_Lead_Time]] &lt;= Table1[[#This Row],[Standard_Lead_Time]], OR(ISBLANK(J42), J42 = 0)), "OTIF", "Non-OTIF")</f>
        <v>Non-OTIF</v>
      </c>
      <c r="P42">
        <f>IF(Table1[[#This Row],[OTIF_Status]] = "OTIF", 1, 0)</f>
        <v>0</v>
      </c>
      <c r="Q42" s="5">
        <f t="shared" si="1"/>
        <v>20126.960000000003</v>
      </c>
      <c r="R42" s="5">
        <f t="shared" si="2"/>
        <v>17387.52</v>
      </c>
      <c r="S42" s="5">
        <f>Table1[[#This Row],[Total_Line_Spend]]-Table1[[#This Row],[Negotiated_Total]]</f>
        <v>2739.4400000000023</v>
      </c>
      <c r="T42" t="str">
        <f xml:space="preserve"> IF(Table1[[#This Row],[Delay_Days]] &gt; 4, "High Risk", IF(Table1[[#This Row],[Delay_Days]] &gt; 0, "Medium Risk", "Low Risk"))</f>
        <v>Medium Risk</v>
      </c>
    </row>
    <row r="43" spans="1:20" x14ac:dyDescent="0.25">
      <c r="A43" t="s">
        <v>68</v>
      </c>
      <c r="B43" t="s">
        <v>807</v>
      </c>
      <c r="C43" s="1">
        <v>44656</v>
      </c>
      <c r="D43" s="1">
        <v>44665</v>
      </c>
      <c r="E43" t="s">
        <v>13</v>
      </c>
      <c r="F43" t="s">
        <v>18</v>
      </c>
      <c r="G43">
        <v>560</v>
      </c>
      <c r="H43" s="5">
        <v>81.14</v>
      </c>
      <c r="I43" s="5">
        <v>77.87</v>
      </c>
      <c r="J43">
        <v>34</v>
      </c>
      <c r="K43" t="s">
        <v>27</v>
      </c>
      <c r="L43">
        <f t="shared" si="3"/>
        <v>9</v>
      </c>
      <c r="M43">
        <v>11</v>
      </c>
      <c r="N43">
        <f t="shared" si="0"/>
        <v>0</v>
      </c>
      <c r="O43" t="str">
        <f xml:space="preserve"> IF(AND(Table1[[#This Row],[Actual_Lead_Time]] &lt;= Table1[[#This Row],[Standard_Lead_Time]], OR(ISBLANK(J43), J43 = 0)), "OTIF", "Non-OTIF")</f>
        <v>Non-OTIF</v>
      </c>
      <c r="P43">
        <f>IF(Table1[[#This Row],[OTIF_Status]] = "OTIF", 1, 0)</f>
        <v>0</v>
      </c>
      <c r="Q43" s="5">
        <f t="shared" si="1"/>
        <v>45438.400000000001</v>
      </c>
      <c r="R43" s="5">
        <f t="shared" si="2"/>
        <v>43607.200000000004</v>
      </c>
      <c r="S43" s="5">
        <f>Table1[[#This Row],[Total_Line_Spend]]-Table1[[#This Row],[Negotiated_Total]]</f>
        <v>1831.1999999999971</v>
      </c>
      <c r="T43" t="str">
        <f xml:space="preserve"> IF(Table1[[#This Row],[Delay_Days]] &gt; 4, "High Risk", IF(Table1[[#This Row],[Delay_Days]] &gt; 0, "Medium Risk", "Low Risk"))</f>
        <v>Low Risk</v>
      </c>
    </row>
    <row r="44" spans="1:20" x14ac:dyDescent="0.25">
      <c r="A44" t="s">
        <v>69</v>
      </c>
      <c r="B44" t="s">
        <v>806</v>
      </c>
      <c r="C44" s="1">
        <v>44951</v>
      </c>
      <c r="D44" s="1">
        <v>44959</v>
      </c>
      <c r="E44" t="s">
        <v>39</v>
      </c>
      <c r="F44" t="s">
        <v>18</v>
      </c>
      <c r="G44">
        <v>1755</v>
      </c>
      <c r="H44" s="5">
        <v>63.87</v>
      </c>
      <c r="I44" s="5">
        <v>58.4</v>
      </c>
      <c r="J44">
        <v>85</v>
      </c>
      <c r="K44" t="s">
        <v>15</v>
      </c>
      <c r="L44">
        <f t="shared" si="3"/>
        <v>8</v>
      </c>
      <c r="M44">
        <v>11</v>
      </c>
      <c r="N44">
        <f t="shared" si="0"/>
        <v>0</v>
      </c>
      <c r="O44" t="str">
        <f xml:space="preserve"> IF(AND(Table1[[#This Row],[Actual_Lead_Time]] &lt;= Table1[[#This Row],[Standard_Lead_Time]], OR(ISBLANK(J44), J44 = 0)), "OTIF", "Non-OTIF")</f>
        <v>Non-OTIF</v>
      </c>
      <c r="P44">
        <f>IF(Table1[[#This Row],[OTIF_Status]] = "OTIF", 1, 0)</f>
        <v>0</v>
      </c>
      <c r="Q44" s="5">
        <f t="shared" si="1"/>
        <v>112091.84999999999</v>
      </c>
      <c r="R44" s="5">
        <f t="shared" si="2"/>
        <v>102492</v>
      </c>
      <c r="S44" s="5">
        <f>Table1[[#This Row],[Total_Line_Spend]]-Table1[[#This Row],[Negotiated_Total]]</f>
        <v>9599.8499999999913</v>
      </c>
      <c r="T44" t="str">
        <f xml:space="preserve"> IF(Table1[[#This Row],[Delay_Days]] &gt; 4, "High Risk", IF(Table1[[#This Row],[Delay_Days]] &gt; 0, "Medium Risk", "Low Risk"))</f>
        <v>Low Risk</v>
      </c>
    </row>
    <row r="45" spans="1:20" x14ac:dyDescent="0.25">
      <c r="A45" t="s">
        <v>70</v>
      </c>
      <c r="B45" t="s">
        <v>808</v>
      </c>
      <c r="C45" s="1">
        <v>44661</v>
      </c>
      <c r="D45" s="1">
        <v>44668</v>
      </c>
      <c r="E45" t="s">
        <v>21</v>
      </c>
      <c r="F45" t="s">
        <v>18</v>
      </c>
      <c r="G45">
        <v>1549</v>
      </c>
      <c r="H45" s="5">
        <v>48.9</v>
      </c>
      <c r="I45" s="5">
        <v>42.42</v>
      </c>
      <c r="J45">
        <v>48</v>
      </c>
      <c r="K45" t="s">
        <v>15</v>
      </c>
      <c r="L45">
        <f t="shared" si="3"/>
        <v>7</v>
      </c>
      <c r="M45">
        <v>11</v>
      </c>
      <c r="N45">
        <f t="shared" si="0"/>
        <v>0</v>
      </c>
      <c r="O45" t="str">
        <f xml:space="preserve"> IF(AND(Table1[[#This Row],[Actual_Lead_Time]] &lt;= Table1[[#This Row],[Standard_Lead_Time]], OR(ISBLANK(J45), J45 = 0)), "OTIF", "Non-OTIF")</f>
        <v>Non-OTIF</v>
      </c>
      <c r="P45">
        <f>IF(Table1[[#This Row],[OTIF_Status]] = "OTIF", 1, 0)</f>
        <v>0</v>
      </c>
      <c r="Q45" s="5">
        <f t="shared" si="1"/>
        <v>75746.099999999991</v>
      </c>
      <c r="R45" s="5">
        <f t="shared" si="2"/>
        <v>65708.58</v>
      </c>
      <c r="S45" s="5">
        <f>Table1[[#This Row],[Total_Line_Spend]]-Table1[[#This Row],[Negotiated_Total]]</f>
        <v>10037.51999999999</v>
      </c>
      <c r="T45" t="str">
        <f xml:space="preserve"> IF(Table1[[#This Row],[Delay_Days]] &gt; 4, "High Risk", IF(Table1[[#This Row],[Delay_Days]] &gt; 0, "Medium Risk", "Low Risk"))</f>
        <v>Low Risk</v>
      </c>
    </row>
    <row r="46" spans="1:20" x14ac:dyDescent="0.25">
      <c r="A46" t="s">
        <v>71</v>
      </c>
      <c r="B46" t="s">
        <v>805</v>
      </c>
      <c r="C46" s="1">
        <v>44929</v>
      </c>
      <c r="D46" s="1">
        <v>44947</v>
      </c>
      <c r="E46" t="s">
        <v>21</v>
      </c>
      <c r="F46" t="s">
        <v>18</v>
      </c>
      <c r="G46">
        <v>749</v>
      </c>
      <c r="H46" s="5">
        <v>97.07</v>
      </c>
      <c r="I46" s="5">
        <v>94.16</v>
      </c>
      <c r="J46">
        <v>123</v>
      </c>
      <c r="K46" t="s">
        <v>15</v>
      </c>
      <c r="L46">
        <f t="shared" si="3"/>
        <v>18</v>
      </c>
      <c r="M46">
        <v>11</v>
      </c>
      <c r="N46">
        <f t="shared" si="0"/>
        <v>7</v>
      </c>
      <c r="O46" t="str">
        <f xml:space="preserve"> IF(AND(Table1[[#This Row],[Actual_Lead_Time]] &lt;= Table1[[#This Row],[Standard_Lead_Time]], OR(ISBLANK(J46), J46 = 0)), "OTIF", "Non-OTIF")</f>
        <v>Non-OTIF</v>
      </c>
      <c r="P46">
        <f>IF(Table1[[#This Row],[OTIF_Status]] = "OTIF", 1, 0)</f>
        <v>0</v>
      </c>
      <c r="Q46" s="5">
        <f t="shared" si="1"/>
        <v>72705.429999999993</v>
      </c>
      <c r="R46" s="5">
        <f t="shared" si="2"/>
        <v>70525.84</v>
      </c>
      <c r="S46" s="5">
        <f>Table1[[#This Row],[Total_Line_Spend]]-Table1[[#This Row],[Negotiated_Total]]</f>
        <v>2179.5899999999965</v>
      </c>
      <c r="T46" t="str">
        <f xml:space="preserve"> IF(Table1[[#This Row],[Delay_Days]] &gt; 4, "High Risk", IF(Table1[[#This Row],[Delay_Days]] &gt; 0, "Medium Risk", "Low Risk"))</f>
        <v>High Risk</v>
      </c>
    </row>
    <row r="47" spans="1:20" x14ac:dyDescent="0.25">
      <c r="A47" t="s">
        <v>72</v>
      </c>
      <c r="B47" t="s">
        <v>804</v>
      </c>
      <c r="C47" s="1">
        <v>44914</v>
      </c>
      <c r="D47" s="1">
        <v>44925</v>
      </c>
      <c r="E47" t="s">
        <v>39</v>
      </c>
      <c r="F47" t="s">
        <v>18</v>
      </c>
      <c r="G47">
        <v>1025</v>
      </c>
      <c r="H47" s="5">
        <v>21.11</v>
      </c>
      <c r="I47" s="5">
        <v>19.25</v>
      </c>
      <c r="J47">
        <v>15</v>
      </c>
      <c r="K47" t="s">
        <v>15</v>
      </c>
      <c r="L47">
        <f t="shared" si="3"/>
        <v>11</v>
      </c>
      <c r="M47">
        <v>11</v>
      </c>
      <c r="N47">
        <f t="shared" si="0"/>
        <v>0</v>
      </c>
      <c r="O47" t="str">
        <f xml:space="preserve"> IF(AND(Table1[[#This Row],[Actual_Lead_Time]] &lt;= Table1[[#This Row],[Standard_Lead_Time]], OR(ISBLANK(J47), J47 = 0)), "OTIF", "Non-OTIF")</f>
        <v>Non-OTIF</v>
      </c>
      <c r="P47">
        <f>IF(Table1[[#This Row],[OTIF_Status]] = "OTIF", 1, 0)</f>
        <v>0</v>
      </c>
      <c r="Q47" s="5">
        <f t="shared" si="1"/>
        <v>21637.75</v>
      </c>
      <c r="R47" s="5">
        <f t="shared" si="2"/>
        <v>19731.25</v>
      </c>
      <c r="S47" s="5">
        <f>Table1[[#This Row],[Total_Line_Spend]]-Table1[[#This Row],[Negotiated_Total]]</f>
        <v>1906.5</v>
      </c>
      <c r="T47" t="str">
        <f xml:space="preserve"> IF(Table1[[#This Row],[Delay_Days]] &gt; 4, "High Risk", IF(Table1[[#This Row],[Delay_Days]] &gt; 0, "Medium Risk", "Low Risk"))</f>
        <v>Low Risk</v>
      </c>
    </row>
    <row r="48" spans="1:20" x14ac:dyDescent="0.25">
      <c r="A48" t="s">
        <v>73</v>
      </c>
      <c r="B48" t="s">
        <v>807</v>
      </c>
      <c r="C48" s="1">
        <v>45180</v>
      </c>
      <c r="D48" s="1">
        <v>45187</v>
      </c>
      <c r="E48" t="s">
        <v>26</v>
      </c>
      <c r="F48" t="s">
        <v>18</v>
      </c>
      <c r="G48">
        <v>1856</v>
      </c>
      <c r="H48" s="5">
        <v>59.77</v>
      </c>
      <c r="I48" s="5">
        <v>50.81</v>
      </c>
      <c r="J48">
        <v>191</v>
      </c>
      <c r="K48" t="s">
        <v>15</v>
      </c>
      <c r="L48">
        <f t="shared" si="3"/>
        <v>7</v>
      </c>
      <c r="M48">
        <v>11</v>
      </c>
      <c r="N48">
        <f t="shared" si="0"/>
        <v>0</v>
      </c>
      <c r="O48" t="str">
        <f xml:space="preserve"> IF(AND(Table1[[#This Row],[Actual_Lead_Time]] &lt;= Table1[[#This Row],[Standard_Lead_Time]], OR(ISBLANK(J48), J48 = 0)), "OTIF", "Non-OTIF")</f>
        <v>Non-OTIF</v>
      </c>
      <c r="P48">
        <f>IF(Table1[[#This Row],[OTIF_Status]] = "OTIF", 1, 0)</f>
        <v>0</v>
      </c>
      <c r="Q48" s="5">
        <f t="shared" si="1"/>
        <v>110933.12000000001</v>
      </c>
      <c r="R48" s="5">
        <f t="shared" si="2"/>
        <v>94303.360000000001</v>
      </c>
      <c r="S48" s="5">
        <f>Table1[[#This Row],[Total_Line_Spend]]-Table1[[#This Row],[Negotiated_Total]]</f>
        <v>16629.760000000009</v>
      </c>
      <c r="T48" t="str">
        <f xml:space="preserve"> IF(Table1[[#This Row],[Delay_Days]] &gt; 4, "High Risk", IF(Table1[[#This Row],[Delay_Days]] &gt; 0, "Medium Risk", "Low Risk"))</f>
        <v>Low Risk</v>
      </c>
    </row>
    <row r="49" spans="1:20" x14ac:dyDescent="0.25">
      <c r="A49" t="s">
        <v>74</v>
      </c>
      <c r="B49" t="s">
        <v>808</v>
      </c>
      <c r="C49" s="1">
        <v>44832</v>
      </c>
      <c r="D49" s="1">
        <v>44848</v>
      </c>
      <c r="E49" t="s">
        <v>13</v>
      </c>
      <c r="F49" t="s">
        <v>18</v>
      </c>
      <c r="G49">
        <v>239</v>
      </c>
      <c r="H49" s="5">
        <v>11.46</v>
      </c>
      <c r="I49" s="5">
        <v>11.28</v>
      </c>
      <c r="J49">
        <v>4</v>
      </c>
      <c r="K49" t="s">
        <v>15</v>
      </c>
      <c r="L49">
        <f t="shared" si="3"/>
        <v>16</v>
      </c>
      <c r="M49">
        <v>11</v>
      </c>
      <c r="N49">
        <f t="shared" si="0"/>
        <v>5</v>
      </c>
      <c r="O49" t="str">
        <f xml:space="preserve"> IF(AND(Table1[[#This Row],[Actual_Lead_Time]] &lt;= Table1[[#This Row],[Standard_Lead_Time]], OR(ISBLANK(J49), J49 = 0)), "OTIF", "Non-OTIF")</f>
        <v>Non-OTIF</v>
      </c>
      <c r="P49">
        <f>IF(Table1[[#This Row],[OTIF_Status]] = "OTIF", 1, 0)</f>
        <v>0</v>
      </c>
      <c r="Q49" s="5">
        <f t="shared" si="1"/>
        <v>2738.94</v>
      </c>
      <c r="R49" s="5">
        <f t="shared" si="2"/>
        <v>2695.92</v>
      </c>
      <c r="S49" s="5">
        <f>Table1[[#This Row],[Total_Line_Spend]]-Table1[[#This Row],[Negotiated_Total]]</f>
        <v>43.019999999999982</v>
      </c>
      <c r="T49" t="str">
        <f xml:space="preserve"> IF(Table1[[#This Row],[Delay_Days]] &gt; 4, "High Risk", IF(Table1[[#This Row],[Delay_Days]] &gt; 0, "Medium Risk", "Low Risk"))</f>
        <v>High Risk</v>
      </c>
    </row>
    <row r="50" spans="1:20" x14ac:dyDescent="0.25">
      <c r="A50" t="s">
        <v>75</v>
      </c>
      <c r="B50" t="s">
        <v>805</v>
      </c>
      <c r="C50" s="1">
        <v>44606</v>
      </c>
      <c r="D50" s="1">
        <v>44625</v>
      </c>
      <c r="E50" t="s">
        <v>13</v>
      </c>
      <c r="F50" t="s">
        <v>35</v>
      </c>
      <c r="G50">
        <v>1007</v>
      </c>
      <c r="H50" s="5">
        <v>52.44</v>
      </c>
      <c r="I50" s="5">
        <v>46.06</v>
      </c>
      <c r="J50">
        <v>167</v>
      </c>
      <c r="K50" t="s">
        <v>15</v>
      </c>
      <c r="L50">
        <f t="shared" si="3"/>
        <v>19</v>
      </c>
      <c r="M50">
        <v>11</v>
      </c>
      <c r="N50">
        <f t="shared" si="0"/>
        <v>8</v>
      </c>
      <c r="O50" t="str">
        <f xml:space="preserve"> IF(AND(Table1[[#This Row],[Actual_Lead_Time]] &lt;= Table1[[#This Row],[Standard_Lead_Time]], OR(ISBLANK(J50), J50 = 0)), "OTIF", "Non-OTIF")</f>
        <v>Non-OTIF</v>
      </c>
      <c r="P50">
        <f>IF(Table1[[#This Row],[OTIF_Status]] = "OTIF", 1, 0)</f>
        <v>0</v>
      </c>
      <c r="Q50" s="5">
        <f t="shared" si="1"/>
        <v>52807.079999999994</v>
      </c>
      <c r="R50" s="5">
        <f t="shared" si="2"/>
        <v>46382.420000000006</v>
      </c>
      <c r="S50" s="5">
        <f>Table1[[#This Row],[Total_Line_Spend]]-Table1[[#This Row],[Negotiated_Total]]</f>
        <v>6424.6599999999889</v>
      </c>
      <c r="T50" t="str">
        <f xml:space="preserve"> IF(Table1[[#This Row],[Delay_Days]] &gt; 4, "High Risk", IF(Table1[[#This Row],[Delay_Days]] &gt; 0, "Medium Risk", "Low Risk"))</f>
        <v>High Risk</v>
      </c>
    </row>
    <row r="51" spans="1:20" x14ac:dyDescent="0.25">
      <c r="A51" t="s">
        <v>76</v>
      </c>
      <c r="B51" t="s">
        <v>804</v>
      </c>
      <c r="C51" s="1">
        <v>45032</v>
      </c>
      <c r="D51" s="1">
        <v>45043</v>
      </c>
      <c r="E51" t="s">
        <v>21</v>
      </c>
      <c r="F51" t="s">
        <v>35</v>
      </c>
      <c r="G51">
        <v>736</v>
      </c>
      <c r="H51" s="5">
        <v>16.2</v>
      </c>
      <c r="I51" s="5">
        <v>15.33</v>
      </c>
      <c r="J51">
        <v>18</v>
      </c>
      <c r="K51" t="s">
        <v>15</v>
      </c>
      <c r="L51">
        <f t="shared" si="3"/>
        <v>11</v>
      </c>
      <c r="M51">
        <v>11</v>
      </c>
      <c r="N51">
        <f t="shared" si="0"/>
        <v>0</v>
      </c>
      <c r="O51" t="str">
        <f xml:space="preserve"> IF(AND(Table1[[#This Row],[Actual_Lead_Time]] &lt;= Table1[[#This Row],[Standard_Lead_Time]], OR(ISBLANK(J51), J51 = 0)), "OTIF", "Non-OTIF")</f>
        <v>Non-OTIF</v>
      </c>
      <c r="P51">
        <f>IF(Table1[[#This Row],[OTIF_Status]] = "OTIF", 1, 0)</f>
        <v>0</v>
      </c>
      <c r="Q51" s="5">
        <f t="shared" si="1"/>
        <v>11923.199999999999</v>
      </c>
      <c r="R51" s="5">
        <f t="shared" si="2"/>
        <v>11282.88</v>
      </c>
      <c r="S51" s="5">
        <f>Table1[[#This Row],[Total_Line_Spend]]-Table1[[#This Row],[Negotiated_Total]]</f>
        <v>640.31999999999971</v>
      </c>
      <c r="T51" t="str">
        <f xml:space="preserve"> IF(Table1[[#This Row],[Delay_Days]] &gt; 4, "High Risk", IF(Table1[[#This Row],[Delay_Days]] &gt; 0, "Medium Risk", "Low Risk"))</f>
        <v>Low Risk</v>
      </c>
    </row>
    <row r="52" spans="1:20" x14ac:dyDescent="0.25">
      <c r="A52" t="s">
        <v>77</v>
      </c>
      <c r="B52" t="s">
        <v>808</v>
      </c>
      <c r="C52" s="1">
        <v>45111</v>
      </c>
      <c r="D52" s="1">
        <v>45121</v>
      </c>
      <c r="E52" t="s">
        <v>39</v>
      </c>
      <c r="F52" t="s">
        <v>18</v>
      </c>
      <c r="G52">
        <v>1007</v>
      </c>
      <c r="H52" s="5">
        <v>22.56</v>
      </c>
      <c r="I52" s="5">
        <v>19.59</v>
      </c>
      <c r="K52" t="s">
        <v>15</v>
      </c>
      <c r="L52">
        <f t="shared" si="3"/>
        <v>10</v>
      </c>
      <c r="M52">
        <v>11</v>
      </c>
      <c r="N52">
        <f t="shared" si="0"/>
        <v>0</v>
      </c>
      <c r="O52" t="str">
        <f xml:space="preserve"> IF(AND(Table1[[#This Row],[Actual_Lead_Time]] &lt;= Table1[[#This Row],[Standard_Lead_Time]], OR(ISBLANK(J52), J52 = 0)), "OTIF", "Non-OTIF")</f>
        <v>OTIF</v>
      </c>
      <c r="P52">
        <f>IF(Table1[[#This Row],[OTIF_Status]] = "OTIF", 1, 0)</f>
        <v>1</v>
      </c>
      <c r="Q52" s="5">
        <f t="shared" si="1"/>
        <v>22717.919999999998</v>
      </c>
      <c r="R52" s="5">
        <f t="shared" si="2"/>
        <v>19727.13</v>
      </c>
      <c r="S52" s="5">
        <f>Table1[[#This Row],[Total_Line_Spend]]-Table1[[#This Row],[Negotiated_Total]]</f>
        <v>2990.7899999999972</v>
      </c>
      <c r="T52" t="str">
        <f xml:space="preserve"> IF(Table1[[#This Row],[Delay_Days]] &gt; 4, "High Risk", IF(Table1[[#This Row],[Delay_Days]] &gt; 0, "Medium Risk", "Low Risk"))</f>
        <v>Low Risk</v>
      </c>
    </row>
    <row r="53" spans="1:20" x14ac:dyDescent="0.25">
      <c r="A53" t="s">
        <v>78</v>
      </c>
      <c r="B53" t="s">
        <v>805</v>
      </c>
      <c r="C53" s="1">
        <v>44689</v>
      </c>
      <c r="D53" s="1">
        <v>44700</v>
      </c>
      <c r="E53" t="s">
        <v>13</v>
      </c>
      <c r="F53" t="s">
        <v>18</v>
      </c>
      <c r="G53">
        <v>612</v>
      </c>
      <c r="H53" s="5">
        <v>20.99</v>
      </c>
      <c r="I53" s="5">
        <v>19.75</v>
      </c>
      <c r="J53">
        <v>102</v>
      </c>
      <c r="K53" t="s">
        <v>15</v>
      </c>
      <c r="L53">
        <f t="shared" si="3"/>
        <v>11</v>
      </c>
      <c r="M53">
        <v>11</v>
      </c>
      <c r="N53">
        <f t="shared" si="0"/>
        <v>0</v>
      </c>
      <c r="O53" t="str">
        <f xml:space="preserve"> IF(AND(Table1[[#This Row],[Actual_Lead_Time]] &lt;= Table1[[#This Row],[Standard_Lead_Time]], OR(ISBLANK(J53), J53 = 0)), "OTIF", "Non-OTIF")</f>
        <v>Non-OTIF</v>
      </c>
      <c r="P53">
        <f>IF(Table1[[#This Row],[OTIF_Status]] = "OTIF", 1, 0)</f>
        <v>0</v>
      </c>
      <c r="Q53" s="5">
        <f t="shared" si="1"/>
        <v>12845.88</v>
      </c>
      <c r="R53" s="5">
        <f t="shared" si="2"/>
        <v>12087</v>
      </c>
      <c r="S53" s="5">
        <f>Table1[[#This Row],[Total_Line_Spend]]-Table1[[#This Row],[Negotiated_Total]]</f>
        <v>758.8799999999992</v>
      </c>
      <c r="T53" t="str">
        <f xml:space="preserve"> IF(Table1[[#This Row],[Delay_Days]] &gt; 4, "High Risk", IF(Table1[[#This Row],[Delay_Days]] &gt; 0, "Medium Risk", "Low Risk"))</f>
        <v>Low Risk</v>
      </c>
    </row>
    <row r="54" spans="1:20" x14ac:dyDescent="0.25">
      <c r="A54" t="s">
        <v>79</v>
      </c>
      <c r="B54" t="s">
        <v>804</v>
      </c>
      <c r="C54" s="1">
        <v>44949</v>
      </c>
      <c r="D54" s="1">
        <v>44959</v>
      </c>
      <c r="E54" t="s">
        <v>21</v>
      </c>
      <c r="F54" t="s">
        <v>35</v>
      </c>
      <c r="G54">
        <v>1949</v>
      </c>
      <c r="H54" s="5">
        <v>72.53</v>
      </c>
      <c r="I54" s="5">
        <v>63.26</v>
      </c>
      <c r="J54">
        <v>48</v>
      </c>
      <c r="K54" t="s">
        <v>27</v>
      </c>
      <c r="L54">
        <f t="shared" si="3"/>
        <v>10</v>
      </c>
      <c r="M54">
        <v>11</v>
      </c>
      <c r="N54">
        <f t="shared" si="0"/>
        <v>0</v>
      </c>
      <c r="O54" t="str">
        <f xml:space="preserve"> IF(AND(Table1[[#This Row],[Actual_Lead_Time]] &lt;= Table1[[#This Row],[Standard_Lead_Time]], OR(ISBLANK(J54), J54 = 0)), "OTIF", "Non-OTIF")</f>
        <v>Non-OTIF</v>
      </c>
      <c r="P54">
        <f>IF(Table1[[#This Row],[OTIF_Status]] = "OTIF", 1, 0)</f>
        <v>0</v>
      </c>
      <c r="Q54" s="5">
        <f t="shared" si="1"/>
        <v>141360.97</v>
      </c>
      <c r="R54" s="5">
        <f t="shared" si="2"/>
        <v>123293.73999999999</v>
      </c>
      <c r="S54" s="5">
        <f>Table1[[#This Row],[Total_Line_Spend]]-Table1[[#This Row],[Negotiated_Total]]</f>
        <v>18067.23000000001</v>
      </c>
      <c r="T54" t="str">
        <f xml:space="preserve"> IF(Table1[[#This Row],[Delay_Days]] &gt; 4, "High Risk", IF(Table1[[#This Row],[Delay_Days]] &gt; 0, "Medium Risk", "Low Risk"))</f>
        <v>Low Risk</v>
      </c>
    </row>
    <row r="55" spans="1:20" x14ac:dyDescent="0.25">
      <c r="A55" t="s">
        <v>80</v>
      </c>
      <c r="B55" t="s">
        <v>805</v>
      </c>
      <c r="C55" s="1">
        <v>44642</v>
      </c>
      <c r="D55" s="1">
        <v>44648</v>
      </c>
      <c r="E55" t="s">
        <v>13</v>
      </c>
      <c r="F55" t="s">
        <v>14</v>
      </c>
      <c r="G55">
        <v>1640</v>
      </c>
      <c r="H55" s="5">
        <v>77.92</v>
      </c>
      <c r="I55" s="5">
        <v>76.41</v>
      </c>
      <c r="J55">
        <v>262</v>
      </c>
      <c r="K55" t="s">
        <v>27</v>
      </c>
      <c r="L55">
        <f t="shared" si="3"/>
        <v>6</v>
      </c>
      <c r="M55">
        <v>11</v>
      </c>
      <c r="N55">
        <f t="shared" si="0"/>
        <v>0</v>
      </c>
      <c r="O55" t="str">
        <f xml:space="preserve"> IF(AND(Table1[[#This Row],[Actual_Lead_Time]] &lt;= Table1[[#This Row],[Standard_Lead_Time]], OR(ISBLANK(J55), J55 = 0)), "OTIF", "Non-OTIF")</f>
        <v>Non-OTIF</v>
      </c>
      <c r="P55">
        <f>IF(Table1[[#This Row],[OTIF_Status]] = "OTIF", 1, 0)</f>
        <v>0</v>
      </c>
      <c r="Q55" s="5">
        <f t="shared" si="1"/>
        <v>127788.8</v>
      </c>
      <c r="R55" s="5">
        <f t="shared" si="2"/>
        <v>125312.4</v>
      </c>
      <c r="S55" s="5">
        <f>Table1[[#This Row],[Total_Line_Spend]]-Table1[[#This Row],[Negotiated_Total]]</f>
        <v>2476.4000000000087</v>
      </c>
      <c r="T55" t="str">
        <f xml:space="preserve"> IF(Table1[[#This Row],[Delay_Days]] &gt; 4, "High Risk", IF(Table1[[#This Row],[Delay_Days]] &gt; 0, "Medium Risk", "Low Risk"))</f>
        <v>Low Risk</v>
      </c>
    </row>
    <row r="56" spans="1:20" x14ac:dyDescent="0.25">
      <c r="A56" t="s">
        <v>81</v>
      </c>
      <c r="B56" t="s">
        <v>807</v>
      </c>
      <c r="C56" s="1">
        <v>45127</v>
      </c>
      <c r="D56" s="1">
        <v>45145</v>
      </c>
      <c r="E56" t="s">
        <v>39</v>
      </c>
      <c r="F56" t="s">
        <v>18</v>
      </c>
      <c r="G56">
        <v>1317</v>
      </c>
      <c r="H56" s="5">
        <v>68.13</v>
      </c>
      <c r="I56" s="5">
        <v>60.52</v>
      </c>
      <c r="J56">
        <v>136</v>
      </c>
      <c r="K56" t="s">
        <v>15</v>
      </c>
      <c r="L56">
        <f t="shared" si="3"/>
        <v>18</v>
      </c>
      <c r="M56">
        <v>11</v>
      </c>
      <c r="N56">
        <f t="shared" si="0"/>
        <v>7</v>
      </c>
      <c r="O56" t="str">
        <f xml:space="preserve"> IF(AND(Table1[[#This Row],[Actual_Lead_Time]] &lt;= Table1[[#This Row],[Standard_Lead_Time]], OR(ISBLANK(J56), J56 = 0)), "OTIF", "Non-OTIF")</f>
        <v>Non-OTIF</v>
      </c>
      <c r="P56">
        <f>IF(Table1[[#This Row],[OTIF_Status]] = "OTIF", 1, 0)</f>
        <v>0</v>
      </c>
      <c r="Q56" s="5">
        <f t="shared" si="1"/>
        <v>89727.209999999992</v>
      </c>
      <c r="R56" s="5">
        <f t="shared" si="2"/>
        <v>79704.840000000011</v>
      </c>
      <c r="S56" s="5">
        <f>Table1[[#This Row],[Total_Line_Spend]]-Table1[[#This Row],[Negotiated_Total]]</f>
        <v>10022.369999999981</v>
      </c>
      <c r="T56" t="str">
        <f xml:space="preserve"> IF(Table1[[#This Row],[Delay_Days]] &gt; 4, "High Risk", IF(Table1[[#This Row],[Delay_Days]] &gt; 0, "Medium Risk", "Low Risk"))</f>
        <v>High Risk</v>
      </c>
    </row>
    <row r="57" spans="1:20" x14ac:dyDescent="0.25">
      <c r="A57" t="s">
        <v>82</v>
      </c>
      <c r="B57" t="s">
        <v>808</v>
      </c>
      <c r="C57" s="1">
        <v>44862</v>
      </c>
      <c r="D57" s="1">
        <v>44864</v>
      </c>
      <c r="E57" t="s">
        <v>26</v>
      </c>
      <c r="F57" t="s">
        <v>18</v>
      </c>
      <c r="G57">
        <v>881</v>
      </c>
      <c r="H57" s="5">
        <v>100.94</v>
      </c>
      <c r="I57" s="5">
        <v>95.05</v>
      </c>
      <c r="J57">
        <v>30</v>
      </c>
      <c r="K57" t="s">
        <v>15</v>
      </c>
      <c r="L57">
        <f t="shared" si="3"/>
        <v>2</v>
      </c>
      <c r="M57">
        <v>11</v>
      </c>
      <c r="N57">
        <f t="shared" si="0"/>
        <v>0</v>
      </c>
      <c r="O57" t="str">
        <f xml:space="preserve"> IF(AND(Table1[[#This Row],[Actual_Lead_Time]] &lt;= Table1[[#This Row],[Standard_Lead_Time]], OR(ISBLANK(J57), J57 = 0)), "OTIF", "Non-OTIF")</f>
        <v>Non-OTIF</v>
      </c>
      <c r="P57">
        <f>IF(Table1[[#This Row],[OTIF_Status]] = "OTIF", 1, 0)</f>
        <v>0</v>
      </c>
      <c r="Q57" s="5">
        <f t="shared" si="1"/>
        <v>88928.14</v>
      </c>
      <c r="R57" s="5">
        <f t="shared" si="2"/>
        <v>83739.05</v>
      </c>
      <c r="S57" s="5">
        <f>Table1[[#This Row],[Total_Line_Spend]]-Table1[[#This Row],[Negotiated_Total]]</f>
        <v>5189.0899999999965</v>
      </c>
      <c r="T57" t="str">
        <f xml:space="preserve"> IF(Table1[[#This Row],[Delay_Days]] &gt; 4, "High Risk", IF(Table1[[#This Row],[Delay_Days]] &gt; 0, "Medium Risk", "Low Risk"))</f>
        <v>Low Risk</v>
      </c>
    </row>
    <row r="58" spans="1:20" x14ac:dyDescent="0.25">
      <c r="A58" t="s">
        <v>83</v>
      </c>
      <c r="B58" t="s">
        <v>805</v>
      </c>
      <c r="C58" s="1">
        <v>45205</v>
      </c>
      <c r="D58" s="1">
        <v>45216</v>
      </c>
      <c r="E58" t="s">
        <v>24</v>
      </c>
      <c r="F58" t="s">
        <v>18</v>
      </c>
      <c r="G58">
        <v>1578</v>
      </c>
      <c r="H58" s="5">
        <v>48.33</v>
      </c>
      <c r="I58" s="5">
        <v>42.77</v>
      </c>
      <c r="J58">
        <v>206</v>
      </c>
      <c r="K58" t="s">
        <v>15</v>
      </c>
      <c r="L58">
        <f t="shared" si="3"/>
        <v>11</v>
      </c>
      <c r="M58">
        <v>11</v>
      </c>
      <c r="N58">
        <f t="shared" si="0"/>
        <v>0</v>
      </c>
      <c r="O58" t="str">
        <f xml:space="preserve"> IF(AND(Table1[[#This Row],[Actual_Lead_Time]] &lt;= Table1[[#This Row],[Standard_Lead_Time]], OR(ISBLANK(J58), J58 = 0)), "OTIF", "Non-OTIF")</f>
        <v>Non-OTIF</v>
      </c>
      <c r="P58">
        <f>IF(Table1[[#This Row],[OTIF_Status]] = "OTIF", 1, 0)</f>
        <v>0</v>
      </c>
      <c r="Q58" s="5">
        <f t="shared" si="1"/>
        <v>76264.739999999991</v>
      </c>
      <c r="R58" s="5">
        <f t="shared" si="2"/>
        <v>67491.06</v>
      </c>
      <c r="S58" s="5">
        <f>Table1[[#This Row],[Total_Line_Spend]]-Table1[[#This Row],[Negotiated_Total]]</f>
        <v>8773.679999999993</v>
      </c>
      <c r="T58" t="str">
        <f xml:space="preserve"> IF(Table1[[#This Row],[Delay_Days]] &gt; 4, "High Risk", IF(Table1[[#This Row],[Delay_Days]] &gt; 0, "Medium Risk", "Low Risk"))</f>
        <v>Low Risk</v>
      </c>
    </row>
    <row r="59" spans="1:20" x14ac:dyDescent="0.25">
      <c r="A59" t="s">
        <v>84</v>
      </c>
      <c r="B59" t="s">
        <v>805</v>
      </c>
      <c r="C59" s="1">
        <v>45195</v>
      </c>
      <c r="D59" s="1">
        <v>45200</v>
      </c>
      <c r="E59" t="s">
        <v>21</v>
      </c>
      <c r="F59" t="s">
        <v>18</v>
      </c>
      <c r="G59">
        <v>1204</v>
      </c>
      <c r="H59" s="5">
        <v>39.29</v>
      </c>
      <c r="I59" s="5">
        <v>35.44</v>
      </c>
      <c r="K59" t="s">
        <v>15</v>
      </c>
      <c r="L59">
        <f t="shared" si="3"/>
        <v>5</v>
      </c>
      <c r="M59">
        <v>11</v>
      </c>
      <c r="N59">
        <f t="shared" si="0"/>
        <v>0</v>
      </c>
      <c r="O59" t="str">
        <f xml:space="preserve"> IF(AND(Table1[[#This Row],[Actual_Lead_Time]] &lt;= Table1[[#This Row],[Standard_Lead_Time]], OR(ISBLANK(J59), J59 = 0)), "OTIF", "Non-OTIF")</f>
        <v>OTIF</v>
      </c>
      <c r="P59">
        <f>IF(Table1[[#This Row],[OTIF_Status]] = "OTIF", 1, 0)</f>
        <v>1</v>
      </c>
      <c r="Q59" s="5">
        <f t="shared" si="1"/>
        <v>47305.159999999996</v>
      </c>
      <c r="R59" s="5">
        <f t="shared" si="2"/>
        <v>42669.759999999995</v>
      </c>
      <c r="S59" s="5">
        <f>Table1[[#This Row],[Total_Line_Spend]]-Table1[[#This Row],[Negotiated_Total]]</f>
        <v>4635.4000000000015</v>
      </c>
      <c r="T59" t="str">
        <f xml:space="preserve"> IF(Table1[[#This Row],[Delay_Days]] &gt; 4, "High Risk", IF(Table1[[#This Row],[Delay_Days]] &gt; 0, "Medium Risk", "Low Risk"))</f>
        <v>Low Risk</v>
      </c>
    </row>
    <row r="60" spans="1:20" x14ac:dyDescent="0.25">
      <c r="A60" t="s">
        <v>85</v>
      </c>
      <c r="B60" t="s">
        <v>808</v>
      </c>
      <c r="C60" s="1">
        <v>44932</v>
      </c>
      <c r="D60" s="1">
        <v>44948</v>
      </c>
      <c r="E60" t="s">
        <v>21</v>
      </c>
      <c r="F60" t="s">
        <v>35</v>
      </c>
      <c r="G60">
        <v>1558</v>
      </c>
      <c r="H60" s="5">
        <v>93.46</v>
      </c>
      <c r="I60" s="5">
        <v>91.27</v>
      </c>
      <c r="J60">
        <v>39</v>
      </c>
      <c r="K60" t="s">
        <v>15</v>
      </c>
      <c r="L60">
        <f t="shared" si="3"/>
        <v>16</v>
      </c>
      <c r="M60">
        <v>11</v>
      </c>
      <c r="N60">
        <f t="shared" si="0"/>
        <v>5</v>
      </c>
      <c r="O60" t="str">
        <f xml:space="preserve"> IF(AND(Table1[[#This Row],[Actual_Lead_Time]] &lt;= Table1[[#This Row],[Standard_Lead_Time]], OR(ISBLANK(J60), J60 = 0)), "OTIF", "Non-OTIF")</f>
        <v>Non-OTIF</v>
      </c>
      <c r="P60">
        <f>IF(Table1[[#This Row],[OTIF_Status]] = "OTIF", 1, 0)</f>
        <v>0</v>
      </c>
      <c r="Q60" s="5">
        <f t="shared" si="1"/>
        <v>145610.68</v>
      </c>
      <c r="R60" s="5">
        <f t="shared" si="2"/>
        <v>142198.66</v>
      </c>
      <c r="S60" s="5">
        <f>Table1[[#This Row],[Total_Line_Spend]]-Table1[[#This Row],[Negotiated_Total]]</f>
        <v>3412.0199999999895</v>
      </c>
      <c r="T60" t="str">
        <f xml:space="preserve"> IF(Table1[[#This Row],[Delay_Days]] &gt; 4, "High Risk", IF(Table1[[#This Row],[Delay_Days]] &gt; 0, "Medium Risk", "Low Risk"))</f>
        <v>High Risk</v>
      </c>
    </row>
    <row r="61" spans="1:20" x14ac:dyDescent="0.25">
      <c r="A61" t="s">
        <v>86</v>
      </c>
      <c r="B61" t="s">
        <v>804</v>
      </c>
      <c r="C61" s="1">
        <v>45153</v>
      </c>
      <c r="D61" s="1">
        <v>45154</v>
      </c>
      <c r="E61" t="s">
        <v>24</v>
      </c>
      <c r="F61" t="s">
        <v>18</v>
      </c>
      <c r="G61">
        <v>1892</v>
      </c>
      <c r="H61" s="5">
        <v>32.99</v>
      </c>
      <c r="I61" s="5">
        <v>28.81</v>
      </c>
      <c r="J61">
        <v>35</v>
      </c>
      <c r="K61" t="s">
        <v>15</v>
      </c>
      <c r="L61">
        <f t="shared" si="3"/>
        <v>1</v>
      </c>
      <c r="M61">
        <v>11</v>
      </c>
      <c r="N61">
        <f t="shared" si="0"/>
        <v>0</v>
      </c>
      <c r="O61" t="str">
        <f xml:space="preserve"> IF(AND(Table1[[#This Row],[Actual_Lead_Time]] &lt;= Table1[[#This Row],[Standard_Lead_Time]], OR(ISBLANK(J61), J61 = 0)), "OTIF", "Non-OTIF")</f>
        <v>Non-OTIF</v>
      </c>
      <c r="P61">
        <f>IF(Table1[[#This Row],[OTIF_Status]] = "OTIF", 1, 0)</f>
        <v>0</v>
      </c>
      <c r="Q61" s="5">
        <f t="shared" si="1"/>
        <v>62417.08</v>
      </c>
      <c r="R61" s="5">
        <f t="shared" si="2"/>
        <v>54508.52</v>
      </c>
      <c r="S61" s="5">
        <f>Table1[[#This Row],[Total_Line_Spend]]-Table1[[#This Row],[Negotiated_Total]]</f>
        <v>7908.5600000000049</v>
      </c>
      <c r="T61" t="str">
        <f xml:space="preserve"> IF(Table1[[#This Row],[Delay_Days]] &gt; 4, "High Risk", IF(Table1[[#This Row],[Delay_Days]] &gt; 0, "Medium Risk", "Low Risk"))</f>
        <v>Low Risk</v>
      </c>
    </row>
    <row r="62" spans="1:20" x14ac:dyDescent="0.25">
      <c r="A62" t="s">
        <v>87</v>
      </c>
      <c r="B62" t="s">
        <v>808</v>
      </c>
      <c r="C62" s="1">
        <v>44758</v>
      </c>
      <c r="D62" s="1">
        <v>44774</v>
      </c>
      <c r="E62" t="s">
        <v>24</v>
      </c>
      <c r="F62" t="s">
        <v>18</v>
      </c>
      <c r="G62">
        <v>696</v>
      </c>
      <c r="H62" s="5">
        <v>99.59</v>
      </c>
      <c r="I62" s="5">
        <v>90.18</v>
      </c>
      <c r="J62">
        <v>25</v>
      </c>
      <c r="K62" t="s">
        <v>15</v>
      </c>
      <c r="L62">
        <f t="shared" si="3"/>
        <v>16</v>
      </c>
      <c r="M62">
        <v>11</v>
      </c>
      <c r="N62">
        <f t="shared" si="0"/>
        <v>5</v>
      </c>
      <c r="O62" t="str">
        <f xml:space="preserve"> IF(AND(Table1[[#This Row],[Actual_Lead_Time]] &lt;= Table1[[#This Row],[Standard_Lead_Time]], OR(ISBLANK(J62), J62 = 0)), "OTIF", "Non-OTIF")</f>
        <v>Non-OTIF</v>
      </c>
      <c r="P62">
        <f>IF(Table1[[#This Row],[OTIF_Status]] = "OTIF", 1, 0)</f>
        <v>0</v>
      </c>
      <c r="Q62" s="5">
        <f t="shared" si="1"/>
        <v>69314.64</v>
      </c>
      <c r="R62" s="5">
        <f t="shared" si="2"/>
        <v>62765.280000000006</v>
      </c>
      <c r="S62" s="5">
        <f>Table1[[#This Row],[Total_Line_Spend]]-Table1[[#This Row],[Negotiated_Total]]</f>
        <v>6549.3599999999933</v>
      </c>
      <c r="T62" t="str">
        <f xml:space="preserve"> IF(Table1[[#This Row],[Delay_Days]] &gt; 4, "High Risk", IF(Table1[[#This Row],[Delay_Days]] &gt; 0, "Medium Risk", "Low Risk"))</f>
        <v>High Risk</v>
      </c>
    </row>
    <row r="63" spans="1:20" x14ac:dyDescent="0.25">
      <c r="A63" t="s">
        <v>88</v>
      </c>
      <c r="B63" t="s">
        <v>805</v>
      </c>
      <c r="C63" s="1">
        <v>45283</v>
      </c>
      <c r="D63" s="1">
        <v>45294</v>
      </c>
      <c r="E63" t="s">
        <v>21</v>
      </c>
      <c r="F63" t="s">
        <v>33</v>
      </c>
      <c r="G63">
        <v>70</v>
      </c>
      <c r="H63" s="5">
        <v>12.37</v>
      </c>
      <c r="I63" s="5">
        <v>11.04</v>
      </c>
      <c r="J63">
        <v>10</v>
      </c>
      <c r="K63" t="s">
        <v>15</v>
      </c>
      <c r="L63">
        <f t="shared" si="3"/>
        <v>11</v>
      </c>
      <c r="M63">
        <v>11</v>
      </c>
      <c r="N63">
        <f t="shared" si="0"/>
        <v>0</v>
      </c>
      <c r="O63" t="str">
        <f xml:space="preserve"> IF(AND(Table1[[#This Row],[Actual_Lead_Time]] &lt;= Table1[[#This Row],[Standard_Lead_Time]], OR(ISBLANK(J63), J63 = 0)), "OTIF", "Non-OTIF")</f>
        <v>Non-OTIF</v>
      </c>
      <c r="P63">
        <f>IF(Table1[[#This Row],[OTIF_Status]] = "OTIF", 1, 0)</f>
        <v>0</v>
      </c>
      <c r="Q63" s="5">
        <f t="shared" si="1"/>
        <v>865.9</v>
      </c>
      <c r="R63" s="5">
        <f t="shared" si="2"/>
        <v>772.8</v>
      </c>
      <c r="S63" s="5">
        <f>Table1[[#This Row],[Total_Line_Spend]]-Table1[[#This Row],[Negotiated_Total]]</f>
        <v>93.100000000000023</v>
      </c>
      <c r="T63" t="str">
        <f xml:space="preserve"> IF(Table1[[#This Row],[Delay_Days]] &gt; 4, "High Risk", IF(Table1[[#This Row],[Delay_Days]] &gt; 0, "Medium Risk", "Low Risk"))</f>
        <v>Low Risk</v>
      </c>
    </row>
    <row r="64" spans="1:20" x14ac:dyDescent="0.25">
      <c r="A64" t="s">
        <v>89</v>
      </c>
      <c r="B64" t="s">
        <v>806</v>
      </c>
      <c r="C64" s="1">
        <v>44633</v>
      </c>
      <c r="D64" s="1">
        <v>44635</v>
      </c>
      <c r="E64" t="s">
        <v>26</v>
      </c>
      <c r="F64" t="s">
        <v>18</v>
      </c>
      <c r="G64">
        <v>890</v>
      </c>
      <c r="H64" s="5">
        <v>98.26</v>
      </c>
      <c r="I64" s="5">
        <v>93.14</v>
      </c>
      <c r="J64">
        <v>49</v>
      </c>
      <c r="K64" t="s">
        <v>15</v>
      </c>
      <c r="L64">
        <f t="shared" si="3"/>
        <v>2</v>
      </c>
      <c r="M64">
        <v>11</v>
      </c>
      <c r="N64">
        <f t="shared" si="0"/>
        <v>0</v>
      </c>
      <c r="O64" t="str">
        <f xml:space="preserve"> IF(AND(Table1[[#This Row],[Actual_Lead_Time]] &lt;= Table1[[#This Row],[Standard_Lead_Time]], OR(ISBLANK(J64), J64 = 0)), "OTIF", "Non-OTIF")</f>
        <v>Non-OTIF</v>
      </c>
      <c r="P64">
        <f>IF(Table1[[#This Row],[OTIF_Status]] = "OTIF", 1, 0)</f>
        <v>0</v>
      </c>
      <c r="Q64" s="5">
        <f t="shared" si="1"/>
        <v>87451.400000000009</v>
      </c>
      <c r="R64" s="5">
        <f t="shared" si="2"/>
        <v>82894.600000000006</v>
      </c>
      <c r="S64" s="5">
        <f>Table1[[#This Row],[Total_Line_Spend]]-Table1[[#This Row],[Negotiated_Total]]</f>
        <v>4556.8000000000029</v>
      </c>
      <c r="T64" t="str">
        <f xml:space="preserve"> IF(Table1[[#This Row],[Delay_Days]] &gt; 4, "High Risk", IF(Table1[[#This Row],[Delay_Days]] &gt; 0, "Medium Risk", "Low Risk"))</f>
        <v>Low Risk</v>
      </c>
    </row>
    <row r="65" spans="1:20" x14ac:dyDescent="0.25">
      <c r="A65" t="s">
        <v>90</v>
      </c>
      <c r="B65" t="s">
        <v>804</v>
      </c>
      <c r="C65" s="1">
        <v>44608</v>
      </c>
      <c r="D65" s="1">
        <v>44624</v>
      </c>
      <c r="E65" t="s">
        <v>21</v>
      </c>
      <c r="F65" t="s">
        <v>18</v>
      </c>
      <c r="G65">
        <v>216</v>
      </c>
      <c r="H65" s="5">
        <v>13.95</v>
      </c>
      <c r="I65" s="5">
        <v>12.31</v>
      </c>
      <c r="J65">
        <v>5</v>
      </c>
      <c r="K65" t="s">
        <v>15</v>
      </c>
      <c r="L65">
        <f t="shared" si="3"/>
        <v>16</v>
      </c>
      <c r="M65">
        <v>11</v>
      </c>
      <c r="N65">
        <f t="shared" si="0"/>
        <v>5</v>
      </c>
      <c r="O65" t="str">
        <f xml:space="preserve"> IF(AND(Table1[[#This Row],[Actual_Lead_Time]] &lt;= Table1[[#This Row],[Standard_Lead_Time]], OR(ISBLANK(J65), J65 = 0)), "OTIF", "Non-OTIF")</f>
        <v>Non-OTIF</v>
      </c>
      <c r="P65">
        <f>IF(Table1[[#This Row],[OTIF_Status]] = "OTIF", 1, 0)</f>
        <v>0</v>
      </c>
      <c r="Q65" s="5">
        <f t="shared" si="1"/>
        <v>3013.2</v>
      </c>
      <c r="R65" s="5">
        <f t="shared" si="2"/>
        <v>2658.96</v>
      </c>
      <c r="S65" s="5">
        <f>Table1[[#This Row],[Total_Line_Spend]]-Table1[[#This Row],[Negotiated_Total]]</f>
        <v>354.23999999999978</v>
      </c>
      <c r="T65" t="str">
        <f xml:space="preserve"> IF(Table1[[#This Row],[Delay_Days]] &gt; 4, "High Risk", IF(Table1[[#This Row],[Delay_Days]] &gt; 0, "Medium Risk", "Low Risk"))</f>
        <v>High Risk</v>
      </c>
    </row>
    <row r="66" spans="1:20" x14ac:dyDescent="0.25">
      <c r="A66" t="s">
        <v>91</v>
      </c>
      <c r="B66" t="s">
        <v>805</v>
      </c>
      <c r="C66" s="1">
        <v>45239</v>
      </c>
      <c r="D66" s="1">
        <v>45242</v>
      </c>
      <c r="E66" t="s">
        <v>24</v>
      </c>
      <c r="F66" t="s">
        <v>18</v>
      </c>
      <c r="G66">
        <v>1347</v>
      </c>
      <c r="H66" s="5">
        <v>100.13</v>
      </c>
      <c r="I66" s="5">
        <v>94.3</v>
      </c>
      <c r="J66">
        <v>200</v>
      </c>
      <c r="K66" t="s">
        <v>15</v>
      </c>
      <c r="L66">
        <f t="shared" si="3"/>
        <v>3</v>
      </c>
      <c r="M66">
        <v>11</v>
      </c>
      <c r="N66">
        <f t="shared" ref="N66:N129" si="4">MAX(0, L66-M66)</f>
        <v>0</v>
      </c>
      <c r="O66" t="str">
        <f xml:space="preserve"> IF(AND(Table1[[#This Row],[Actual_Lead_Time]] &lt;= Table1[[#This Row],[Standard_Lead_Time]], OR(ISBLANK(J66), J66 = 0)), "OTIF", "Non-OTIF")</f>
        <v>Non-OTIF</v>
      </c>
      <c r="P66">
        <f>IF(Table1[[#This Row],[OTIF_Status]] = "OTIF", 1, 0)</f>
        <v>0</v>
      </c>
      <c r="Q66" s="5">
        <f t="shared" ref="Q66:Q129" si="5" xml:space="preserve"> IFERROR(G66 * H66, 0)</f>
        <v>134875.10999999999</v>
      </c>
      <c r="R66" s="5">
        <f t="shared" ref="R66:R129" si="6" xml:space="preserve"> IFERROR(G66 * I66, 0)</f>
        <v>127022.09999999999</v>
      </c>
      <c r="S66" s="5">
        <f>Table1[[#This Row],[Total_Line_Spend]]-Table1[[#This Row],[Negotiated_Total]]</f>
        <v>7853.0099999999948</v>
      </c>
      <c r="T66" t="str">
        <f xml:space="preserve"> IF(Table1[[#This Row],[Delay_Days]] &gt; 4, "High Risk", IF(Table1[[#This Row],[Delay_Days]] &gt; 0, "Medium Risk", "Low Risk"))</f>
        <v>Low Risk</v>
      </c>
    </row>
    <row r="67" spans="1:20" x14ac:dyDescent="0.25">
      <c r="A67" t="s">
        <v>92</v>
      </c>
      <c r="B67" t="s">
        <v>806</v>
      </c>
      <c r="C67" s="1">
        <v>44795</v>
      </c>
      <c r="D67" s="1">
        <v>44798</v>
      </c>
      <c r="E67" t="s">
        <v>13</v>
      </c>
      <c r="F67" t="s">
        <v>33</v>
      </c>
      <c r="G67">
        <v>437</v>
      </c>
      <c r="H67" s="5">
        <v>59.51</v>
      </c>
      <c r="I67" s="5">
        <v>56.45</v>
      </c>
      <c r="J67">
        <v>25</v>
      </c>
      <c r="K67" t="s">
        <v>27</v>
      </c>
      <c r="L67">
        <f t="shared" ref="L67:L130" si="7" xml:space="preserve"> INT(D67) - INT(C67)</f>
        <v>3</v>
      </c>
      <c r="M67">
        <v>11</v>
      </c>
      <c r="N67">
        <f t="shared" si="4"/>
        <v>0</v>
      </c>
      <c r="O67" t="str">
        <f xml:space="preserve"> IF(AND(Table1[[#This Row],[Actual_Lead_Time]] &lt;= Table1[[#This Row],[Standard_Lead_Time]], OR(ISBLANK(J67), J67 = 0)), "OTIF", "Non-OTIF")</f>
        <v>Non-OTIF</v>
      </c>
      <c r="P67">
        <f>IF(Table1[[#This Row],[OTIF_Status]] = "OTIF", 1, 0)</f>
        <v>0</v>
      </c>
      <c r="Q67" s="5">
        <f t="shared" si="5"/>
        <v>26005.87</v>
      </c>
      <c r="R67" s="5">
        <f t="shared" si="6"/>
        <v>24668.65</v>
      </c>
      <c r="S67" s="5">
        <f>Table1[[#This Row],[Total_Line_Spend]]-Table1[[#This Row],[Negotiated_Total]]</f>
        <v>1337.2199999999975</v>
      </c>
      <c r="T67" t="str">
        <f xml:space="preserve"> IF(Table1[[#This Row],[Delay_Days]] &gt; 4, "High Risk", IF(Table1[[#This Row],[Delay_Days]] &gt; 0, "Medium Risk", "Low Risk"))</f>
        <v>Low Risk</v>
      </c>
    </row>
    <row r="68" spans="1:20" x14ac:dyDescent="0.25">
      <c r="A68" t="s">
        <v>93</v>
      </c>
      <c r="B68" t="s">
        <v>804</v>
      </c>
      <c r="C68" s="1">
        <v>44858</v>
      </c>
      <c r="D68" s="1">
        <v>44860</v>
      </c>
      <c r="E68" t="s">
        <v>39</v>
      </c>
      <c r="F68" t="s">
        <v>18</v>
      </c>
      <c r="G68">
        <v>650</v>
      </c>
      <c r="H68" s="5">
        <v>103.84</v>
      </c>
      <c r="I68" s="5">
        <v>88.28</v>
      </c>
      <c r="J68">
        <v>12</v>
      </c>
      <c r="K68" t="s">
        <v>15</v>
      </c>
      <c r="L68">
        <f t="shared" si="7"/>
        <v>2</v>
      </c>
      <c r="M68">
        <v>11</v>
      </c>
      <c r="N68">
        <f t="shared" si="4"/>
        <v>0</v>
      </c>
      <c r="O68" t="str">
        <f xml:space="preserve"> IF(AND(Table1[[#This Row],[Actual_Lead_Time]] &lt;= Table1[[#This Row],[Standard_Lead_Time]], OR(ISBLANK(J68), J68 = 0)), "OTIF", "Non-OTIF")</f>
        <v>Non-OTIF</v>
      </c>
      <c r="P68">
        <f>IF(Table1[[#This Row],[OTIF_Status]] = "OTIF", 1, 0)</f>
        <v>0</v>
      </c>
      <c r="Q68" s="5">
        <f t="shared" si="5"/>
        <v>67496</v>
      </c>
      <c r="R68" s="5">
        <f t="shared" si="6"/>
        <v>57382</v>
      </c>
      <c r="S68" s="5">
        <f>Table1[[#This Row],[Total_Line_Spend]]-Table1[[#This Row],[Negotiated_Total]]</f>
        <v>10114</v>
      </c>
      <c r="T68" t="str">
        <f xml:space="preserve"> IF(Table1[[#This Row],[Delay_Days]] &gt; 4, "High Risk", IF(Table1[[#This Row],[Delay_Days]] &gt; 0, "Medium Risk", "Low Risk"))</f>
        <v>Low Risk</v>
      </c>
    </row>
    <row r="69" spans="1:20" x14ac:dyDescent="0.25">
      <c r="A69" t="s">
        <v>94</v>
      </c>
      <c r="B69" t="s">
        <v>807</v>
      </c>
      <c r="C69" s="1">
        <v>44643</v>
      </c>
      <c r="D69" s="1">
        <v>44662</v>
      </c>
      <c r="E69" t="s">
        <v>13</v>
      </c>
      <c r="F69" t="s">
        <v>18</v>
      </c>
      <c r="G69">
        <v>365</v>
      </c>
      <c r="H69" s="5">
        <v>16.809999999999999</v>
      </c>
      <c r="I69" s="5">
        <v>15.41</v>
      </c>
      <c r="J69">
        <v>38</v>
      </c>
      <c r="K69" t="s">
        <v>15</v>
      </c>
      <c r="L69">
        <f t="shared" si="7"/>
        <v>19</v>
      </c>
      <c r="M69">
        <v>11</v>
      </c>
      <c r="N69">
        <f t="shared" si="4"/>
        <v>8</v>
      </c>
      <c r="O69" t="str">
        <f xml:space="preserve"> IF(AND(Table1[[#This Row],[Actual_Lead_Time]] &lt;= Table1[[#This Row],[Standard_Lead_Time]], OR(ISBLANK(J69), J69 = 0)), "OTIF", "Non-OTIF")</f>
        <v>Non-OTIF</v>
      </c>
      <c r="P69">
        <f>IF(Table1[[#This Row],[OTIF_Status]] = "OTIF", 1, 0)</f>
        <v>0</v>
      </c>
      <c r="Q69" s="5">
        <f t="shared" si="5"/>
        <v>6135.65</v>
      </c>
      <c r="R69" s="5">
        <f t="shared" si="6"/>
        <v>5624.65</v>
      </c>
      <c r="S69" s="5">
        <f>Table1[[#This Row],[Total_Line_Spend]]-Table1[[#This Row],[Negotiated_Total]]</f>
        <v>511</v>
      </c>
      <c r="T69" t="str">
        <f xml:space="preserve"> IF(Table1[[#This Row],[Delay_Days]] &gt; 4, "High Risk", IF(Table1[[#This Row],[Delay_Days]] &gt; 0, "Medium Risk", "Low Risk"))</f>
        <v>High Risk</v>
      </c>
    </row>
    <row r="70" spans="1:20" x14ac:dyDescent="0.25">
      <c r="A70" t="s">
        <v>95</v>
      </c>
      <c r="B70" t="s">
        <v>808</v>
      </c>
      <c r="C70" s="1">
        <v>44800</v>
      </c>
      <c r="D70" s="1">
        <v>44811</v>
      </c>
      <c r="E70" t="s">
        <v>26</v>
      </c>
      <c r="F70" t="s">
        <v>14</v>
      </c>
      <c r="G70">
        <v>63</v>
      </c>
      <c r="H70" s="5">
        <v>61.94</v>
      </c>
      <c r="I70" s="5">
        <v>53.8</v>
      </c>
      <c r="K70" t="s">
        <v>15</v>
      </c>
      <c r="L70">
        <f t="shared" si="7"/>
        <v>11</v>
      </c>
      <c r="M70">
        <v>11</v>
      </c>
      <c r="N70">
        <f t="shared" si="4"/>
        <v>0</v>
      </c>
      <c r="O70" t="str">
        <f xml:space="preserve"> IF(AND(Table1[[#This Row],[Actual_Lead_Time]] &lt;= Table1[[#This Row],[Standard_Lead_Time]], OR(ISBLANK(J70), J70 = 0)), "OTIF", "Non-OTIF")</f>
        <v>OTIF</v>
      </c>
      <c r="P70">
        <f>IF(Table1[[#This Row],[OTIF_Status]] = "OTIF", 1, 0)</f>
        <v>1</v>
      </c>
      <c r="Q70" s="5">
        <f t="shared" si="5"/>
        <v>3902.22</v>
      </c>
      <c r="R70" s="5">
        <f t="shared" si="6"/>
        <v>3389.3999999999996</v>
      </c>
      <c r="S70" s="5">
        <f>Table1[[#This Row],[Total_Line_Spend]]-Table1[[#This Row],[Negotiated_Total]]</f>
        <v>512.82000000000016</v>
      </c>
      <c r="T70" t="str">
        <f xml:space="preserve"> IF(Table1[[#This Row],[Delay_Days]] &gt; 4, "High Risk", IF(Table1[[#This Row],[Delay_Days]] &gt; 0, "Medium Risk", "Low Risk"))</f>
        <v>Low Risk</v>
      </c>
    </row>
    <row r="71" spans="1:20" x14ac:dyDescent="0.25">
      <c r="A71" t="s">
        <v>96</v>
      </c>
      <c r="B71" t="s">
        <v>804</v>
      </c>
      <c r="C71" s="1">
        <v>44665</v>
      </c>
      <c r="D71" s="1">
        <v>44673</v>
      </c>
      <c r="E71" t="s">
        <v>21</v>
      </c>
      <c r="F71" t="s">
        <v>18</v>
      </c>
      <c r="G71">
        <v>291</v>
      </c>
      <c r="H71" s="5">
        <v>98.7</v>
      </c>
      <c r="I71" s="5">
        <v>87.02</v>
      </c>
      <c r="J71">
        <v>9</v>
      </c>
      <c r="K71" t="s">
        <v>15</v>
      </c>
      <c r="L71">
        <f t="shared" si="7"/>
        <v>8</v>
      </c>
      <c r="M71">
        <v>11</v>
      </c>
      <c r="N71">
        <f t="shared" si="4"/>
        <v>0</v>
      </c>
      <c r="O71" t="str">
        <f xml:space="preserve"> IF(AND(Table1[[#This Row],[Actual_Lead_Time]] &lt;= Table1[[#This Row],[Standard_Lead_Time]], OR(ISBLANK(J71), J71 = 0)), "OTIF", "Non-OTIF")</f>
        <v>Non-OTIF</v>
      </c>
      <c r="P71">
        <f>IF(Table1[[#This Row],[OTIF_Status]] = "OTIF", 1, 0)</f>
        <v>0</v>
      </c>
      <c r="Q71" s="5">
        <f t="shared" si="5"/>
        <v>28721.7</v>
      </c>
      <c r="R71" s="5">
        <f t="shared" si="6"/>
        <v>25322.82</v>
      </c>
      <c r="S71" s="5">
        <f>Table1[[#This Row],[Total_Line_Spend]]-Table1[[#This Row],[Negotiated_Total]]</f>
        <v>3398.880000000001</v>
      </c>
      <c r="T71" t="str">
        <f xml:space="preserve"> IF(Table1[[#This Row],[Delay_Days]] &gt; 4, "High Risk", IF(Table1[[#This Row],[Delay_Days]] &gt; 0, "Medium Risk", "Low Risk"))</f>
        <v>Low Risk</v>
      </c>
    </row>
    <row r="72" spans="1:20" x14ac:dyDescent="0.25">
      <c r="A72" t="s">
        <v>97</v>
      </c>
      <c r="B72" t="s">
        <v>804</v>
      </c>
      <c r="C72" s="1">
        <v>44951</v>
      </c>
      <c r="D72" s="1">
        <v>44965</v>
      </c>
      <c r="E72" t="s">
        <v>21</v>
      </c>
      <c r="F72" t="s">
        <v>14</v>
      </c>
      <c r="G72">
        <v>826</v>
      </c>
      <c r="H72" s="5">
        <v>60.5</v>
      </c>
      <c r="I72" s="5">
        <v>57.18</v>
      </c>
      <c r="J72">
        <v>18</v>
      </c>
      <c r="K72" t="s">
        <v>15</v>
      </c>
      <c r="L72">
        <f t="shared" si="7"/>
        <v>14</v>
      </c>
      <c r="M72">
        <v>11</v>
      </c>
      <c r="N72">
        <f t="shared" si="4"/>
        <v>3</v>
      </c>
      <c r="O72" t="str">
        <f xml:space="preserve"> IF(AND(Table1[[#This Row],[Actual_Lead_Time]] &lt;= Table1[[#This Row],[Standard_Lead_Time]], OR(ISBLANK(J72), J72 = 0)), "OTIF", "Non-OTIF")</f>
        <v>Non-OTIF</v>
      </c>
      <c r="P72">
        <f>IF(Table1[[#This Row],[OTIF_Status]] = "OTIF", 1, 0)</f>
        <v>0</v>
      </c>
      <c r="Q72" s="5">
        <f t="shared" si="5"/>
        <v>49973</v>
      </c>
      <c r="R72" s="5">
        <f t="shared" si="6"/>
        <v>47230.68</v>
      </c>
      <c r="S72" s="5">
        <f>Table1[[#This Row],[Total_Line_Spend]]-Table1[[#This Row],[Negotiated_Total]]</f>
        <v>2742.3199999999997</v>
      </c>
      <c r="T72" t="str">
        <f xml:space="preserve"> IF(Table1[[#This Row],[Delay_Days]] &gt; 4, "High Risk", IF(Table1[[#This Row],[Delay_Days]] &gt; 0, "Medium Risk", "Low Risk"))</f>
        <v>Medium Risk</v>
      </c>
    </row>
    <row r="73" spans="1:20" x14ac:dyDescent="0.25">
      <c r="A73" t="s">
        <v>98</v>
      </c>
      <c r="B73" t="s">
        <v>805</v>
      </c>
      <c r="C73" s="1">
        <v>44846</v>
      </c>
      <c r="D73" s="1">
        <v>44866</v>
      </c>
      <c r="E73" t="s">
        <v>39</v>
      </c>
      <c r="F73" t="s">
        <v>35</v>
      </c>
      <c r="G73">
        <v>1419</v>
      </c>
      <c r="H73" s="5">
        <v>69.64</v>
      </c>
      <c r="I73" s="5">
        <v>59.28</v>
      </c>
      <c r="J73">
        <v>194</v>
      </c>
      <c r="K73" t="s">
        <v>15</v>
      </c>
      <c r="L73">
        <f t="shared" si="7"/>
        <v>20</v>
      </c>
      <c r="M73">
        <v>11</v>
      </c>
      <c r="N73">
        <f t="shared" si="4"/>
        <v>9</v>
      </c>
      <c r="O73" t="str">
        <f xml:space="preserve"> IF(AND(Table1[[#This Row],[Actual_Lead_Time]] &lt;= Table1[[#This Row],[Standard_Lead_Time]], OR(ISBLANK(J73), J73 = 0)), "OTIF", "Non-OTIF")</f>
        <v>Non-OTIF</v>
      </c>
      <c r="P73">
        <f>IF(Table1[[#This Row],[OTIF_Status]] = "OTIF", 1, 0)</f>
        <v>0</v>
      </c>
      <c r="Q73" s="5">
        <f t="shared" si="5"/>
        <v>98819.16</v>
      </c>
      <c r="R73" s="5">
        <f t="shared" si="6"/>
        <v>84118.32</v>
      </c>
      <c r="S73" s="5">
        <f>Table1[[#This Row],[Total_Line_Spend]]-Table1[[#This Row],[Negotiated_Total]]</f>
        <v>14700.839999999997</v>
      </c>
      <c r="T73" t="str">
        <f xml:space="preserve"> IF(Table1[[#This Row],[Delay_Days]] &gt; 4, "High Risk", IF(Table1[[#This Row],[Delay_Days]] &gt; 0, "Medium Risk", "Low Risk"))</f>
        <v>High Risk</v>
      </c>
    </row>
    <row r="74" spans="1:20" x14ac:dyDescent="0.25">
      <c r="A74" t="s">
        <v>99</v>
      </c>
      <c r="B74" t="s">
        <v>806</v>
      </c>
      <c r="C74" s="1">
        <v>45026</v>
      </c>
      <c r="D74" s="1">
        <v>45043</v>
      </c>
      <c r="E74" t="s">
        <v>13</v>
      </c>
      <c r="F74" t="s">
        <v>18</v>
      </c>
      <c r="G74">
        <v>614</v>
      </c>
      <c r="H74" s="5">
        <v>78.06</v>
      </c>
      <c r="I74" s="5">
        <v>73.95</v>
      </c>
      <c r="J74">
        <v>40</v>
      </c>
      <c r="K74" t="s">
        <v>15</v>
      </c>
      <c r="L74">
        <f t="shared" si="7"/>
        <v>17</v>
      </c>
      <c r="M74">
        <v>11</v>
      </c>
      <c r="N74">
        <f t="shared" si="4"/>
        <v>6</v>
      </c>
      <c r="O74" t="str">
        <f xml:space="preserve"> IF(AND(Table1[[#This Row],[Actual_Lead_Time]] &lt;= Table1[[#This Row],[Standard_Lead_Time]], OR(ISBLANK(J74), J74 = 0)), "OTIF", "Non-OTIF")</f>
        <v>Non-OTIF</v>
      </c>
      <c r="P74">
        <f>IF(Table1[[#This Row],[OTIF_Status]] = "OTIF", 1, 0)</f>
        <v>0</v>
      </c>
      <c r="Q74" s="5">
        <f t="shared" si="5"/>
        <v>47928.840000000004</v>
      </c>
      <c r="R74" s="5">
        <f t="shared" si="6"/>
        <v>45405.3</v>
      </c>
      <c r="S74" s="5">
        <f>Table1[[#This Row],[Total_Line_Spend]]-Table1[[#This Row],[Negotiated_Total]]</f>
        <v>2523.5400000000009</v>
      </c>
      <c r="T74" t="str">
        <f xml:space="preserve"> IF(Table1[[#This Row],[Delay_Days]] &gt; 4, "High Risk", IF(Table1[[#This Row],[Delay_Days]] &gt; 0, "Medium Risk", "Low Risk"))</f>
        <v>High Risk</v>
      </c>
    </row>
    <row r="75" spans="1:20" x14ac:dyDescent="0.25">
      <c r="A75" t="s">
        <v>100</v>
      </c>
      <c r="B75" t="s">
        <v>804</v>
      </c>
      <c r="C75" s="1">
        <v>45212</v>
      </c>
      <c r="D75" s="1">
        <v>45227</v>
      </c>
      <c r="E75" t="s">
        <v>39</v>
      </c>
      <c r="F75" t="s">
        <v>18</v>
      </c>
      <c r="G75">
        <v>947</v>
      </c>
      <c r="H75" s="5">
        <v>56.25</v>
      </c>
      <c r="I75" s="5">
        <v>54.25</v>
      </c>
      <c r="J75">
        <v>19</v>
      </c>
      <c r="K75" t="s">
        <v>15</v>
      </c>
      <c r="L75">
        <f t="shared" si="7"/>
        <v>15</v>
      </c>
      <c r="M75">
        <v>11</v>
      </c>
      <c r="N75">
        <f t="shared" si="4"/>
        <v>4</v>
      </c>
      <c r="O75" t="str">
        <f xml:space="preserve"> IF(AND(Table1[[#This Row],[Actual_Lead_Time]] &lt;= Table1[[#This Row],[Standard_Lead_Time]], OR(ISBLANK(J75), J75 = 0)), "OTIF", "Non-OTIF")</f>
        <v>Non-OTIF</v>
      </c>
      <c r="P75">
        <f>IF(Table1[[#This Row],[OTIF_Status]] = "OTIF", 1, 0)</f>
        <v>0</v>
      </c>
      <c r="Q75" s="5">
        <f t="shared" si="5"/>
        <v>53268.75</v>
      </c>
      <c r="R75" s="5">
        <f t="shared" si="6"/>
        <v>51374.75</v>
      </c>
      <c r="S75" s="5">
        <f>Table1[[#This Row],[Total_Line_Spend]]-Table1[[#This Row],[Negotiated_Total]]</f>
        <v>1894</v>
      </c>
      <c r="T75" t="str">
        <f xml:space="preserve"> IF(Table1[[#This Row],[Delay_Days]] &gt; 4, "High Risk", IF(Table1[[#This Row],[Delay_Days]] &gt; 0, "Medium Risk", "Low Risk"))</f>
        <v>Medium Risk</v>
      </c>
    </row>
    <row r="76" spans="1:20" x14ac:dyDescent="0.25">
      <c r="A76" t="s">
        <v>101</v>
      </c>
      <c r="B76" t="s">
        <v>808</v>
      </c>
      <c r="C76" s="1">
        <v>44935</v>
      </c>
      <c r="D76" s="1">
        <v>44954</v>
      </c>
      <c r="E76" t="s">
        <v>26</v>
      </c>
      <c r="F76" t="s">
        <v>18</v>
      </c>
      <c r="G76">
        <v>1413</v>
      </c>
      <c r="H76" s="5">
        <v>70.47</v>
      </c>
      <c r="I76" s="5">
        <v>69.650000000000006</v>
      </c>
      <c r="K76" t="s">
        <v>15</v>
      </c>
      <c r="L76">
        <f t="shared" si="7"/>
        <v>19</v>
      </c>
      <c r="M76">
        <v>11</v>
      </c>
      <c r="N76">
        <f t="shared" si="4"/>
        <v>8</v>
      </c>
      <c r="O76" t="str">
        <f xml:space="preserve"> IF(AND(Table1[[#This Row],[Actual_Lead_Time]] &lt;= Table1[[#This Row],[Standard_Lead_Time]], OR(ISBLANK(J76), J76 = 0)), "OTIF", "Non-OTIF")</f>
        <v>Non-OTIF</v>
      </c>
      <c r="P76">
        <f>IF(Table1[[#This Row],[OTIF_Status]] = "OTIF", 1, 0)</f>
        <v>0</v>
      </c>
      <c r="Q76" s="5">
        <f t="shared" si="5"/>
        <v>99574.11</v>
      </c>
      <c r="R76" s="5">
        <f t="shared" si="6"/>
        <v>98415.450000000012</v>
      </c>
      <c r="S76" s="5">
        <f>Table1[[#This Row],[Total_Line_Spend]]-Table1[[#This Row],[Negotiated_Total]]</f>
        <v>1158.6599999999889</v>
      </c>
      <c r="T76" t="str">
        <f xml:space="preserve"> IF(Table1[[#This Row],[Delay_Days]] &gt; 4, "High Risk", IF(Table1[[#This Row],[Delay_Days]] &gt; 0, "Medium Risk", "Low Risk"))</f>
        <v>High Risk</v>
      </c>
    </row>
    <row r="77" spans="1:20" x14ac:dyDescent="0.25">
      <c r="A77" t="s">
        <v>102</v>
      </c>
      <c r="B77" t="s">
        <v>804</v>
      </c>
      <c r="C77" s="1">
        <v>44728</v>
      </c>
      <c r="D77" s="1">
        <v>44739</v>
      </c>
      <c r="E77" t="s">
        <v>13</v>
      </c>
      <c r="F77" t="s">
        <v>33</v>
      </c>
      <c r="G77">
        <v>141</v>
      </c>
      <c r="H77" s="5">
        <v>64.150000000000006</v>
      </c>
      <c r="I77" s="5">
        <v>58.32</v>
      </c>
      <c r="K77" t="s">
        <v>15</v>
      </c>
      <c r="L77">
        <f t="shared" si="7"/>
        <v>11</v>
      </c>
      <c r="M77">
        <v>11</v>
      </c>
      <c r="N77">
        <f t="shared" si="4"/>
        <v>0</v>
      </c>
      <c r="O77" t="str">
        <f xml:space="preserve"> IF(AND(Table1[[#This Row],[Actual_Lead_Time]] &lt;= Table1[[#This Row],[Standard_Lead_Time]], OR(ISBLANK(J77), J77 = 0)), "OTIF", "Non-OTIF")</f>
        <v>OTIF</v>
      </c>
      <c r="P77">
        <f>IF(Table1[[#This Row],[OTIF_Status]] = "OTIF", 1, 0)</f>
        <v>1</v>
      </c>
      <c r="Q77" s="5">
        <f t="shared" si="5"/>
        <v>9045.1500000000015</v>
      </c>
      <c r="R77" s="5">
        <f t="shared" si="6"/>
        <v>8223.1200000000008</v>
      </c>
      <c r="S77" s="5">
        <f>Table1[[#This Row],[Total_Line_Spend]]-Table1[[#This Row],[Negotiated_Total]]</f>
        <v>822.03000000000065</v>
      </c>
      <c r="T77" t="str">
        <f xml:space="preserve"> IF(Table1[[#This Row],[Delay_Days]] &gt; 4, "High Risk", IF(Table1[[#This Row],[Delay_Days]] &gt; 0, "Medium Risk", "Low Risk"))</f>
        <v>Low Risk</v>
      </c>
    </row>
    <row r="78" spans="1:20" x14ac:dyDescent="0.25">
      <c r="A78" t="s">
        <v>103</v>
      </c>
      <c r="B78" t="s">
        <v>804</v>
      </c>
      <c r="C78" s="1">
        <v>44941</v>
      </c>
      <c r="D78" s="1">
        <v>44961</v>
      </c>
      <c r="E78" t="s">
        <v>13</v>
      </c>
      <c r="F78" t="s">
        <v>18</v>
      </c>
      <c r="G78">
        <v>1440</v>
      </c>
      <c r="H78" s="5">
        <v>96.57</v>
      </c>
      <c r="I78" s="5">
        <v>83.87</v>
      </c>
      <c r="J78">
        <v>36</v>
      </c>
      <c r="K78" t="s">
        <v>15</v>
      </c>
      <c r="L78">
        <f t="shared" si="7"/>
        <v>20</v>
      </c>
      <c r="M78">
        <v>11</v>
      </c>
      <c r="N78">
        <f t="shared" si="4"/>
        <v>9</v>
      </c>
      <c r="O78" t="str">
        <f xml:space="preserve"> IF(AND(Table1[[#This Row],[Actual_Lead_Time]] &lt;= Table1[[#This Row],[Standard_Lead_Time]], OR(ISBLANK(J78), J78 = 0)), "OTIF", "Non-OTIF")</f>
        <v>Non-OTIF</v>
      </c>
      <c r="P78">
        <f>IF(Table1[[#This Row],[OTIF_Status]] = "OTIF", 1, 0)</f>
        <v>0</v>
      </c>
      <c r="Q78" s="5">
        <f t="shared" si="5"/>
        <v>139060.79999999999</v>
      </c>
      <c r="R78" s="5">
        <f t="shared" si="6"/>
        <v>120772.8</v>
      </c>
      <c r="S78" s="5">
        <f>Table1[[#This Row],[Total_Line_Spend]]-Table1[[#This Row],[Negotiated_Total]]</f>
        <v>18287.999999999985</v>
      </c>
      <c r="T78" t="str">
        <f xml:space="preserve"> IF(Table1[[#This Row],[Delay_Days]] &gt; 4, "High Risk", IF(Table1[[#This Row],[Delay_Days]] &gt; 0, "Medium Risk", "Low Risk"))</f>
        <v>High Risk</v>
      </c>
    </row>
    <row r="79" spans="1:20" x14ac:dyDescent="0.25">
      <c r="A79" t="s">
        <v>104</v>
      </c>
      <c r="B79" t="s">
        <v>805</v>
      </c>
      <c r="C79" s="1">
        <v>44925</v>
      </c>
      <c r="D79" s="1">
        <v>44929</v>
      </c>
      <c r="E79" t="s">
        <v>26</v>
      </c>
      <c r="F79" t="s">
        <v>18</v>
      </c>
      <c r="G79">
        <v>1005</v>
      </c>
      <c r="H79" s="5">
        <v>14.87</v>
      </c>
      <c r="I79" s="5">
        <v>12.79</v>
      </c>
      <c r="K79" t="s">
        <v>27</v>
      </c>
      <c r="L79">
        <f t="shared" si="7"/>
        <v>4</v>
      </c>
      <c r="M79">
        <v>11</v>
      </c>
      <c r="N79">
        <f t="shared" si="4"/>
        <v>0</v>
      </c>
      <c r="O79" t="str">
        <f xml:space="preserve"> IF(AND(Table1[[#This Row],[Actual_Lead_Time]] &lt;= Table1[[#This Row],[Standard_Lead_Time]], OR(ISBLANK(J79), J79 = 0)), "OTIF", "Non-OTIF")</f>
        <v>OTIF</v>
      </c>
      <c r="P79">
        <f>IF(Table1[[#This Row],[OTIF_Status]] = "OTIF", 1, 0)</f>
        <v>1</v>
      </c>
      <c r="Q79" s="5">
        <f t="shared" si="5"/>
        <v>14944.349999999999</v>
      </c>
      <c r="R79" s="5">
        <f t="shared" si="6"/>
        <v>12853.949999999999</v>
      </c>
      <c r="S79" s="5">
        <f>Table1[[#This Row],[Total_Line_Spend]]-Table1[[#This Row],[Negotiated_Total]]</f>
        <v>2090.3999999999996</v>
      </c>
      <c r="T79" t="str">
        <f xml:space="preserve"> IF(Table1[[#This Row],[Delay_Days]] &gt; 4, "High Risk", IF(Table1[[#This Row],[Delay_Days]] &gt; 0, "Medium Risk", "Low Risk"))</f>
        <v>Low Risk</v>
      </c>
    </row>
    <row r="80" spans="1:20" x14ac:dyDescent="0.25">
      <c r="A80" t="s">
        <v>105</v>
      </c>
      <c r="B80" t="s">
        <v>804</v>
      </c>
      <c r="C80" s="1">
        <v>44776</v>
      </c>
      <c r="D80" s="1">
        <v>44787</v>
      </c>
      <c r="E80" t="s">
        <v>21</v>
      </c>
      <c r="F80" t="s">
        <v>18</v>
      </c>
      <c r="G80">
        <v>1528</v>
      </c>
      <c r="H80" s="5">
        <v>36.520000000000003</v>
      </c>
      <c r="I80" s="5">
        <v>33</v>
      </c>
      <c r="J80">
        <v>31</v>
      </c>
      <c r="K80" t="s">
        <v>27</v>
      </c>
      <c r="L80">
        <f t="shared" si="7"/>
        <v>11</v>
      </c>
      <c r="M80">
        <v>11</v>
      </c>
      <c r="N80">
        <f t="shared" si="4"/>
        <v>0</v>
      </c>
      <c r="O80" t="str">
        <f xml:space="preserve"> IF(AND(Table1[[#This Row],[Actual_Lead_Time]] &lt;= Table1[[#This Row],[Standard_Lead_Time]], OR(ISBLANK(J80), J80 = 0)), "OTIF", "Non-OTIF")</f>
        <v>Non-OTIF</v>
      </c>
      <c r="P80">
        <f>IF(Table1[[#This Row],[OTIF_Status]] = "OTIF", 1, 0)</f>
        <v>0</v>
      </c>
      <c r="Q80" s="5">
        <f t="shared" si="5"/>
        <v>55802.560000000005</v>
      </c>
      <c r="R80" s="5">
        <f t="shared" si="6"/>
        <v>50424</v>
      </c>
      <c r="S80" s="5">
        <f>Table1[[#This Row],[Total_Line_Spend]]-Table1[[#This Row],[Negotiated_Total]]</f>
        <v>5378.5600000000049</v>
      </c>
      <c r="T80" t="str">
        <f xml:space="preserve"> IF(Table1[[#This Row],[Delay_Days]] &gt; 4, "High Risk", IF(Table1[[#This Row],[Delay_Days]] &gt; 0, "Medium Risk", "Low Risk"))</f>
        <v>Low Risk</v>
      </c>
    </row>
    <row r="81" spans="1:20" x14ac:dyDescent="0.25">
      <c r="A81" t="s">
        <v>106</v>
      </c>
      <c r="B81" t="s">
        <v>806</v>
      </c>
      <c r="C81" s="1">
        <v>45248</v>
      </c>
      <c r="D81" s="1">
        <v>45255</v>
      </c>
      <c r="E81" t="s">
        <v>21</v>
      </c>
      <c r="F81" t="s">
        <v>18</v>
      </c>
      <c r="G81">
        <v>1501</v>
      </c>
      <c r="H81" s="5">
        <v>106.05</v>
      </c>
      <c r="I81" s="5">
        <v>100.99</v>
      </c>
      <c r="J81">
        <v>77</v>
      </c>
      <c r="K81" t="s">
        <v>27</v>
      </c>
      <c r="L81">
        <f t="shared" si="7"/>
        <v>7</v>
      </c>
      <c r="M81">
        <v>11</v>
      </c>
      <c r="N81">
        <f t="shared" si="4"/>
        <v>0</v>
      </c>
      <c r="O81" t="str">
        <f xml:space="preserve"> IF(AND(Table1[[#This Row],[Actual_Lead_Time]] &lt;= Table1[[#This Row],[Standard_Lead_Time]], OR(ISBLANK(J81), J81 = 0)), "OTIF", "Non-OTIF")</f>
        <v>Non-OTIF</v>
      </c>
      <c r="P81">
        <f>IF(Table1[[#This Row],[OTIF_Status]] = "OTIF", 1, 0)</f>
        <v>0</v>
      </c>
      <c r="Q81" s="5">
        <f t="shared" si="5"/>
        <v>159181.04999999999</v>
      </c>
      <c r="R81" s="5">
        <f t="shared" si="6"/>
        <v>151585.99</v>
      </c>
      <c r="S81" s="5">
        <f>Table1[[#This Row],[Total_Line_Spend]]-Table1[[#This Row],[Negotiated_Total]]</f>
        <v>7595.0599999999977</v>
      </c>
      <c r="T81" t="str">
        <f xml:space="preserve"> IF(Table1[[#This Row],[Delay_Days]] &gt; 4, "High Risk", IF(Table1[[#This Row],[Delay_Days]] &gt; 0, "Medium Risk", "Low Risk"))</f>
        <v>Low Risk</v>
      </c>
    </row>
    <row r="82" spans="1:20" x14ac:dyDescent="0.25">
      <c r="A82" t="s">
        <v>107</v>
      </c>
      <c r="B82" t="s">
        <v>805</v>
      </c>
      <c r="C82" s="1">
        <v>44835</v>
      </c>
      <c r="D82" s="1">
        <v>44838</v>
      </c>
      <c r="E82" t="s">
        <v>24</v>
      </c>
      <c r="F82" t="s">
        <v>18</v>
      </c>
      <c r="G82">
        <v>558</v>
      </c>
      <c r="H82" s="5">
        <v>94.18</v>
      </c>
      <c r="I82" s="5">
        <v>81.400000000000006</v>
      </c>
      <c r="K82" t="s">
        <v>27</v>
      </c>
      <c r="L82">
        <f t="shared" si="7"/>
        <v>3</v>
      </c>
      <c r="M82">
        <v>11</v>
      </c>
      <c r="N82">
        <f t="shared" si="4"/>
        <v>0</v>
      </c>
      <c r="O82" t="str">
        <f xml:space="preserve"> IF(AND(Table1[[#This Row],[Actual_Lead_Time]] &lt;= Table1[[#This Row],[Standard_Lead_Time]], OR(ISBLANK(J82), J82 = 0)), "OTIF", "Non-OTIF")</f>
        <v>OTIF</v>
      </c>
      <c r="P82">
        <f>IF(Table1[[#This Row],[OTIF_Status]] = "OTIF", 1, 0)</f>
        <v>1</v>
      </c>
      <c r="Q82" s="5">
        <f t="shared" si="5"/>
        <v>52552.44</v>
      </c>
      <c r="R82" s="5">
        <f t="shared" si="6"/>
        <v>45421.200000000004</v>
      </c>
      <c r="S82" s="5">
        <f>Table1[[#This Row],[Total_Line_Spend]]-Table1[[#This Row],[Negotiated_Total]]</f>
        <v>7131.239999999998</v>
      </c>
      <c r="T82" t="str">
        <f xml:space="preserve"> IF(Table1[[#This Row],[Delay_Days]] &gt; 4, "High Risk", IF(Table1[[#This Row],[Delay_Days]] &gt; 0, "Medium Risk", "Low Risk"))</f>
        <v>Low Risk</v>
      </c>
    </row>
    <row r="83" spans="1:20" x14ac:dyDescent="0.25">
      <c r="A83" t="s">
        <v>108</v>
      </c>
      <c r="B83" t="s">
        <v>807</v>
      </c>
      <c r="C83" s="1">
        <v>45280</v>
      </c>
      <c r="D83" s="1">
        <v>45286</v>
      </c>
      <c r="E83" t="s">
        <v>21</v>
      </c>
      <c r="F83" t="s">
        <v>18</v>
      </c>
      <c r="G83">
        <v>825</v>
      </c>
      <c r="H83" s="5">
        <v>56.88</v>
      </c>
      <c r="I83" s="5">
        <v>50.84</v>
      </c>
      <c r="K83" t="s">
        <v>15</v>
      </c>
      <c r="L83">
        <f t="shared" si="7"/>
        <v>6</v>
      </c>
      <c r="M83">
        <v>11</v>
      </c>
      <c r="N83">
        <f t="shared" si="4"/>
        <v>0</v>
      </c>
      <c r="O83" t="str">
        <f xml:space="preserve"> IF(AND(Table1[[#This Row],[Actual_Lead_Time]] &lt;= Table1[[#This Row],[Standard_Lead_Time]], OR(ISBLANK(J83), J83 = 0)), "OTIF", "Non-OTIF")</f>
        <v>OTIF</v>
      </c>
      <c r="P83">
        <f>IF(Table1[[#This Row],[OTIF_Status]] = "OTIF", 1, 0)</f>
        <v>1</v>
      </c>
      <c r="Q83" s="5">
        <f t="shared" si="5"/>
        <v>46926</v>
      </c>
      <c r="R83" s="5">
        <f t="shared" si="6"/>
        <v>41943</v>
      </c>
      <c r="S83" s="5">
        <f>Table1[[#This Row],[Total_Line_Spend]]-Table1[[#This Row],[Negotiated_Total]]</f>
        <v>4983</v>
      </c>
      <c r="T83" t="str">
        <f xml:space="preserve"> IF(Table1[[#This Row],[Delay_Days]] &gt; 4, "High Risk", IF(Table1[[#This Row],[Delay_Days]] &gt; 0, "Medium Risk", "Low Risk"))</f>
        <v>Low Risk</v>
      </c>
    </row>
    <row r="84" spans="1:20" x14ac:dyDescent="0.25">
      <c r="A84" t="s">
        <v>109</v>
      </c>
      <c r="B84" t="s">
        <v>807</v>
      </c>
      <c r="C84" s="1">
        <v>45261</v>
      </c>
      <c r="D84" s="1">
        <v>45267</v>
      </c>
      <c r="E84" t="s">
        <v>39</v>
      </c>
      <c r="F84" t="s">
        <v>14</v>
      </c>
      <c r="G84">
        <v>84</v>
      </c>
      <c r="H84" s="5">
        <v>73.38</v>
      </c>
      <c r="I84" s="5">
        <v>71.42</v>
      </c>
      <c r="J84">
        <v>9</v>
      </c>
      <c r="K84" t="s">
        <v>15</v>
      </c>
      <c r="L84">
        <f t="shared" si="7"/>
        <v>6</v>
      </c>
      <c r="M84">
        <v>11</v>
      </c>
      <c r="N84">
        <f t="shared" si="4"/>
        <v>0</v>
      </c>
      <c r="O84" t="str">
        <f xml:space="preserve"> IF(AND(Table1[[#This Row],[Actual_Lead_Time]] &lt;= Table1[[#This Row],[Standard_Lead_Time]], OR(ISBLANK(J84), J84 = 0)), "OTIF", "Non-OTIF")</f>
        <v>Non-OTIF</v>
      </c>
      <c r="P84">
        <f>IF(Table1[[#This Row],[OTIF_Status]] = "OTIF", 1, 0)</f>
        <v>0</v>
      </c>
      <c r="Q84" s="5">
        <f t="shared" si="5"/>
        <v>6163.92</v>
      </c>
      <c r="R84" s="5">
        <f t="shared" si="6"/>
        <v>5999.28</v>
      </c>
      <c r="S84" s="5">
        <f>Table1[[#This Row],[Total_Line_Spend]]-Table1[[#This Row],[Negotiated_Total]]</f>
        <v>164.64000000000033</v>
      </c>
      <c r="T84" t="str">
        <f xml:space="preserve"> IF(Table1[[#This Row],[Delay_Days]] &gt; 4, "High Risk", IF(Table1[[#This Row],[Delay_Days]] &gt; 0, "Medium Risk", "Low Risk"))</f>
        <v>Low Risk</v>
      </c>
    </row>
    <row r="85" spans="1:20" x14ac:dyDescent="0.25">
      <c r="A85" t="s">
        <v>110</v>
      </c>
      <c r="B85" t="s">
        <v>805</v>
      </c>
      <c r="C85" s="1">
        <v>45225</v>
      </c>
      <c r="D85" s="1">
        <v>45240</v>
      </c>
      <c r="E85" t="s">
        <v>26</v>
      </c>
      <c r="F85" t="s">
        <v>18</v>
      </c>
      <c r="G85">
        <v>255</v>
      </c>
      <c r="H85" s="5">
        <v>38.64</v>
      </c>
      <c r="I85" s="5">
        <v>33.590000000000003</v>
      </c>
      <c r="J85">
        <v>27</v>
      </c>
      <c r="K85" t="s">
        <v>27</v>
      </c>
      <c r="L85">
        <f t="shared" si="7"/>
        <v>15</v>
      </c>
      <c r="M85">
        <v>11</v>
      </c>
      <c r="N85">
        <f t="shared" si="4"/>
        <v>4</v>
      </c>
      <c r="O85" t="str">
        <f xml:space="preserve"> IF(AND(Table1[[#This Row],[Actual_Lead_Time]] &lt;= Table1[[#This Row],[Standard_Lead_Time]], OR(ISBLANK(J85), J85 = 0)), "OTIF", "Non-OTIF")</f>
        <v>Non-OTIF</v>
      </c>
      <c r="P85">
        <f>IF(Table1[[#This Row],[OTIF_Status]] = "OTIF", 1, 0)</f>
        <v>0</v>
      </c>
      <c r="Q85" s="5">
        <f t="shared" si="5"/>
        <v>9853.2000000000007</v>
      </c>
      <c r="R85" s="5">
        <f t="shared" si="6"/>
        <v>8565.4500000000007</v>
      </c>
      <c r="S85" s="5">
        <f>Table1[[#This Row],[Total_Line_Spend]]-Table1[[#This Row],[Negotiated_Total]]</f>
        <v>1287.75</v>
      </c>
      <c r="T85" t="str">
        <f xml:space="preserve"> IF(Table1[[#This Row],[Delay_Days]] &gt; 4, "High Risk", IF(Table1[[#This Row],[Delay_Days]] &gt; 0, "Medium Risk", "Low Risk"))</f>
        <v>Medium Risk</v>
      </c>
    </row>
    <row r="86" spans="1:20" x14ac:dyDescent="0.25">
      <c r="A86" t="s">
        <v>111</v>
      </c>
      <c r="B86" t="s">
        <v>806</v>
      </c>
      <c r="C86" s="1">
        <v>44635</v>
      </c>
      <c r="D86" s="1">
        <v>44651</v>
      </c>
      <c r="E86" t="s">
        <v>21</v>
      </c>
      <c r="F86" t="s">
        <v>18</v>
      </c>
      <c r="G86">
        <v>1154</v>
      </c>
      <c r="H86" s="5">
        <v>27.2</v>
      </c>
      <c r="I86" s="5">
        <v>26.07</v>
      </c>
      <c r="J86">
        <v>58</v>
      </c>
      <c r="K86" t="s">
        <v>15</v>
      </c>
      <c r="L86">
        <f t="shared" si="7"/>
        <v>16</v>
      </c>
      <c r="M86">
        <v>11</v>
      </c>
      <c r="N86">
        <f t="shared" si="4"/>
        <v>5</v>
      </c>
      <c r="O86" t="str">
        <f xml:space="preserve"> IF(AND(Table1[[#This Row],[Actual_Lead_Time]] &lt;= Table1[[#This Row],[Standard_Lead_Time]], OR(ISBLANK(J86), J86 = 0)), "OTIF", "Non-OTIF")</f>
        <v>Non-OTIF</v>
      </c>
      <c r="P86">
        <f>IF(Table1[[#This Row],[OTIF_Status]] = "OTIF", 1, 0)</f>
        <v>0</v>
      </c>
      <c r="Q86" s="5">
        <f t="shared" si="5"/>
        <v>31388.799999999999</v>
      </c>
      <c r="R86" s="5">
        <f t="shared" si="6"/>
        <v>30084.78</v>
      </c>
      <c r="S86" s="5">
        <f>Table1[[#This Row],[Total_Line_Spend]]-Table1[[#This Row],[Negotiated_Total]]</f>
        <v>1304.0200000000004</v>
      </c>
      <c r="T86" t="str">
        <f xml:space="preserve"> IF(Table1[[#This Row],[Delay_Days]] &gt; 4, "High Risk", IF(Table1[[#This Row],[Delay_Days]] &gt; 0, "Medium Risk", "Low Risk"))</f>
        <v>High Risk</v>
      </c>
    </row>
    <row r="87" spans="1:20" x14ac:dyDescent="0.25">
      <c r="A87" t="s">
        <v>112</v>
      </c>
      <c r="B87" t="s">
        <v>805</v>
      </c>
      <c r="C87" s="1">
        <v>45185</v>
      </c>
      <c r="D87" s="1">
        <v>45193</v>
      </c>
      <c r="E87" t="s">
        <v>13</v>
      </c>
      <c r="F87" t="s">
        <v>18</v>
      </c>
      <c r="G87">
        <v>1635</v>
      </c>
      <c r="H87" s="5">
        <v>56.91</v>
      </c>
      <c r="I87" s="5">
        <v>54.37</v>
      </c>
      <c r="J87">
        <v>262</v>
      </c>
      <c r="K87" t="s">
        <v>27</v>
      </c>
      <c r="L87">
        <f t="shared" si="7"/>
        <v>8</v>
      </c>
      <c r="M87">
        <v>11</v>
      </c>
      <c r="N87">
        <f t="shared" si="4"/>
        <v>0</v>
      </c>
      <c r="O87" t="str">
        <f xml:space="preserve"> IF(AND(Table1[[#This Row],[Actual_Lead_Time]] &lt;= Table1[[#This Row],[Standard_Lead_Time]], OR(ISBLANK(J87), J87 = 0)), "OTIF", "Non-OTIF")</f>
        <v>Non-OTIF</v>
      </c>
      <c r="P87">
        <f>IF(Table1[[#This Row],[OTIF_Status]] = "OTIF", 1, 0)</f>
        <v>0</v>
      </c>
      <c r="Q87" s="5">
        <f t="shared" si="5"/>
        <v>93047.849999999991</v>
      </c>
      <c r="R87" s="5">
        <f t="shared" si="6"/>
        <v>88894.95</v>
      </c>
      <c r="S87" s="5">
        <f>Table1[[#This Row],[Total_Line_Spend]]-Table1[[#This Row],[Negotiated_Total]]</f>
        <v>4152.8999999999942</v>
      </c>
      <c r="T87" t="str">
        <f xml:space="preserve"> IF(Table1[[#This Row],[Delay_Days]] &gt; 4, "High Risk", IF(Table1[[#This Row],[Delay_Days]] &gt; 0, "Medium Risk", "Low Risk"))</f>
        <v>Low Risk</v>
      </c>
    </row>
    <row r="88" spans="1:20" x14ac:dyDescent="0.25">
      <c r="A88" t="s">
        <v>113</v>
      </c>
      <c r="B88" t="s">
        <v>805</v>
      </c>
      <c r="C88" s="1">
        <v>45212</v>
      </c>
      <c r="D88" s="1">
        <v>45222</v>
      </c>
      <c r="E88" t="s">
        <v>26</v>
      </c>
      <c r="F88" t="s">
        <v>18</v>
      </c>
      <c r="G88">
        <v>1945</v>
      </c>
      <c r="H88" s="5">
        <v>46.19</v>
      </c>
      <c r="I88" s="5">
        <v>40.119999999999997</v>
      </c>
      <c r="J88">
        <v>278</v>
      </c>
      <c r="K88" t="s">
        <v>27</v>
      </c>
      <c r="L88">
        <f t="shared" si="7"/>
        <v>10</v>
      </c>
      <c r="M88">
        <v>11</v>
      </c>
      <c r="N88">
        <f t="shared" si="4"/>
        <v>0</v>
      </c>
      <c r="O88" t="str">
        <f xml:space="preserve"> IF(AND(Table1[[#This Row],[Actual_Lead_Time]] &lt;= Table1[[#This Row],[Standard_Lead_Time]], OR(ISBLANK(J88), J88 = 0)), "OTIF", "Non-OTIF")</f>
        <v>Non-OTIF</v>
      </c>
      <c r="P88">
        <f>IF(Table1[[#This Row],[OTIF_Status]] = "OTIF", 1, 0)</f>
        <v>0</v>
      </c>
      <c r="Q88" s="5">
        <f t="shared" si="5"/>
        <v>89839.549999999988</v>
      </c>
      <c r="R88" s="5">
        <f t="shared" si="6"/>
        <v>78033.399999999994</v>
      </c>
      <c r="S88" s="5">
        <f>Table1[[#This Row],[Total_Line_Spend]]-Table1[[#This Row],[Negotiated_Total]]</f>
        <v>11806.149999999994</v>
      </c>
      <c r="T88" t="str">
        <f xml:space="preserve"> IF(Table1[[#This Row],[Delay_Days]] &gt; 4, "High Risk", IF(Table1[[#This Row],[Delay_Days]] &gt; 0, "Medium Risk", "Low Risk"))</f>
        <v>Low Risk</v>
      </c>
    </row>
    <row r="89" spans="1:20" x14ac:dyDescent="0.25">
      <c r="A89" t="s">
        <v>114</v>
      </c>
      <c r="B89" t="s">
        <v>805</v>
      </c>
      <c r="C89" s="1">
        <v>44737</v>
      </c>
      <c r="D89" s="1">
        <v>44752</v>
      </c>
      <c r="E89" t="s">
        <v>21</v>
      </c>
      <c r="F89" t="s">
        <v>33</v>
      </c>
      <c r="G89">
        <v>1461</v>
      </c>
      <c r="H89" s="5">
        <v>64.09</v>
      </c>
      <c r="I89" s="5">
        <v>63.39</v>
      </c>
      <c r="J89">
        <v>228</v>
      </c>
      <c r="K89" t="s">
        <v>27</v>
      </c>
      <c r="L89">
        <f t="shared" si="7"/>
        <v>15</v>
      </c>
      <c r="M89">
        <v>11</v>
      </c>
      <c r="N89">
        <f t="shared" si="4"/>
        <v>4</v>
      </c>
      <c r="O89" t="str">
        <f xml:space="preserve"> IF(AND(Table1[[#This Row],[Actual_Lead_Time]] &lt;= Table1[[#This Row],[Standard_Lead_Time]], OR(ISBLANK(J89), J89 = 0)), "OTIF", "Non-OTIF")</f>
        <v>Non-OTIF</v>
      </c>
      <c r="P89">
        <f>IF(Table1[[#This Row],[OTIF_Status]] = "OTIF", 1, 0)</f>
        <v>0</v>
      </c>
      <c r="Q89" s="5">
        <f t="shared" si="5"/>
        <v>93635.49</v>
      </c>
      <c r="R89" s="5">
        <f t="shared" si="6"/>
        <v>92612.79</v>
      </c>
      <c r="S89" s="5">
        <f>Table1[[#This Row],[Total_Line_Spend]]-Table1[[#This Row],[Negotiated_Total]]</f>
        <v>1022.7000000000116</v>
      </c>
      <c r="T89" t="str">
        <f xml:space="preserve"> IF(Table1[[#This Row],[Delay_Days]] &gt; 4, "High Risk", IF(Table1[[#This Row],[Delay_Days]] &gt; 0, "Medium Risk", "Low Risk"))</f>
        <v>Medium Risk</v>
      </c>
    </row>
    <row r="90" spans="1:20" x14ac:dyDescent="0.25">
      <c r="A90" t="s">
        <v>115</v>
      </c>
      <c r="B90" t="s">
        <v>805</v>
      </c>
      <c r="C90" s="1">
        <v>45108</v>
      </c>
      <c r="D90" s="1">
        <v>45116</v>
      </c>
      <c r="E90" t="s">
        <v>39</v>
      </c>
      <c r="F90" t="s">
        <v>18</v>
      </c>
      <c r="G90">
        <v>1075</v>
      </c>
      <c r="H90" s="5">
        <v>18.53</v>
      </c>
      <c r="I90" s="5">
        <v>16.12</v>
      </c>
      <c r="J90">
        <v>147</v>
      </c>
      <c r="K90" t="s">
        <v>15</v>
      </c>
      <c r="L90">
        <f t="shared" si="7"/>
        <v>8</v>
      </c>
      <c r="M90">
        <v>11</v>
      </c>
      <c r="N90">
        <f t="shared" si="4"/>
        <v>0</v>
      </c>
      <c r="O90" t="str">
        <f xml:space="preserve"> IF(AND(Table1[[#This Row],[Actual_Lead_Time]] &lt;= Table1[[#This Row],[Standard_Lead_Time]], OR(ISBLANK(J90), J90 = 0)), "OTIF", "Non-OTIF")</f>
        <v>Non-OTIF</v>
      </c>
      <c r="P90">
        <f>IF(Table1[[#This Row],[OTIF_Status]] = "OTIF", 1, 0)</f>
        <v>0</v>
      </c>
      <c r="Q90" s="5">
        <f t="shared" si="5"/>
        <v>19919.75</v>
      </c>
      <c r="R90" s="5">
        <f t="shared" si="6"/>
        <v>17329</v>
      </c>
      <c r="S90" s="5">
        <f>Table1[[#This Row],[Total_Line_Spend]]-Table1[[#This Row],[Negotiated_Total]]</f>
        <v>2590.75</v>
      </c>
      <c r="T90" t="str">
        <f xml:space="preserve"> IF(Table1[[#This Row],[Delay_Days]] &gt; 4, "High Risk", IF(Table1[[#This Row],[Delay_Days]] &gt; 0, "Medium Risk", "Low Risk"))</f>
        <v>Low Risk</v>
      </c>
    </row>
    <row r="91" spans="1:20" x14ac:dyDescent="0.25">
      <c r="A91" t="s">
        <v>116</v>
      </c>
      <c r="B91" t="s">
        <v>804</v>
      </c>
      <c r="C91" s="1">
        <v>44812</v>
      </c>
      <c r="D91" s="1">
        <v>44823</v>
      </c>
      <c r="E91" t="s">
        <v>24</v>
      </c>
      <c r="F91" t="s">
        <v>18</v>
      </c>
      <c r="G91">
        <v>1071</v>
      </c>
      <c r="H91" s="5">
        <v>101.6</v>
      </c>
      <c r="I91" s="5">
        <v>93.91</v>
      </c>
      <c r="J91">
        <v>25</v>
      </c>
      <c r="K91" t="s">
        <v>15</v>
      </c>
      <c r="L91">
        <f t="shared" si="7"/>
        <v>11</v>
      </c>
      <c r="M91">
        <v>11</v>
      </c>
      <c r="N91">
        <f t="shared" si="4"/>
        <v>0</v>
      </c>
      <c r="O91" t="str">
        <f xml:space="preserve"> IF(AND(Table1[[#This Row],[Actual_Lead_Time]] &lt;= Table1[[#This Row],[Standard_Lead_Time]], OR(ISBLANK(J91), J91 = 0)), "OTIF", "Non-OTIF")</f>
        <v>Non-OTIF</v>
      </c>
      <c r="P91">
        <f>IF(Table1[[#This Row],[OTIF_Status]] = "OTIF", 1, 0)</f>
        <v>0</v>
      </c>
      <c r="Q91" s="5">
        <f t="shared" si="5"/>
        <v>108813.59999999999</v>
      </c>
      <c r="R91" s="5">
        <f t="shared" si="6"/>
        <v>100577.61</v>
      </c>
      <c r="S91" s="5">
        <f>Table1[[#This Row],[Total_Line_Spend]]-Table1[[#This Row],[Negotiated_Total]]</f>
        <v>8235.9899999999907</v>
      </c>
      <c r="T91" t="str">
        <f xml:space="preserve"> IF(Table1[[#This Row],[Delay_Days]] &gt; 4, "High Risk", IF(Table1[[#This Row],[Delay_Days]] &gt; 0, "Medium Risk", "Low Risk"))</f>
        <v>Low Risk</v>
      </c>
    </row>
    <row r="92" spans="1:20" x14ac:dyDescent="0.25">
      <c r="A92" t="s">
        <v>117</v>
      </c>
      <c r="B92" t="s">
        <v>808</v>
      </c>
      <c r="C92" s="1">
        <v>44729</v>
      </c>
      <c r="D92" s="1">
        <v>44748</v>
      </c>
      <c r="E92" t="s">
        <v>24</v>
      </c>
      <c r="F92" t="s">
        <v>35</v>
      </c>
      <c r="G92">
        <v>1463</v>
      </c>
      <c r="H92" s="5">
        <v>101.23</v>
      </c>
      <c r="I92" s="5">
        <v>86.17</v>
      </c>
      <c r="J92">
        <v>43</v>
      </c>
      <c r="K92" t="s">
        <v>15</v>
      </c>
      <c r="L92">
        <f t="shared" si="7"/>
        <v>19</v>
      </c>
      <c r="M92">
        <v>11</v>
      </c>
      <c r="N92">
        <f t="shared" si="4"/>
        <v>8</v>
      </c>
      <c r="O92" t="str">
        <f xml:space="preserve"> IF(AND(Table1[[#This Row],[Actual_Lead_Time]] &lt;= Table1[[#This Row],[Standard_Lead_Time]], OR(ISBLANK(J92), J92 = 0)), "OTIF", "Non-OTIF")</f>
        <v>Non-OTIF</v>
      </c>
      <c r="P92">
        <f>IF(Table1[[#This Row],[OTIF_Status]] = "OTIF", 1, 0)</f>
        <v>0</v>
      </c>
      <c r="Q92" s="5">
        <f t="shared" si="5"/>
        <v>148099.49000000002</v>
      </c>
      <c r="R92" s="5">
        <f t="shared" si="6"/>
        <v>126066.71</v>
      </c>
      <c r="S92" s="5">
        <f>Table1[[#This Row],[Total_Line_Spend]]-Table1[[#This Row],[Negotiated_Total]]</f>
        <v>22032.780000000013</v>
      </c>
      <c r="T92" t="str">
        <f xml:space="preserve"> IF(Table1[[#This Row],[Delay_Days]] &gt; 4, "High Risk", IF(Table1[[#This Row],[Delay_Days]] &gt; 0, "Medium Risk", "Low Risk"))</f>
        <v>High Risk</v>
      </c>
    </row>
    <row r="93" spans="1:20" x14ac:dyDescent="0.25">
      <c r="A93" t="s">
        <v>118</v>
      </c>
      <c r="B93" t="s">
        <v>807</v>
      </c>
      <c r="C93" s="1">
        <v>45035</v>
      </c>
      <c r="D93" s="1">
        <v>45042</v>
      </c>
      <c r="E93" t="s">
        <v>26</v>
      </c>
      <c r="F93" t="s">
        <v>18</v>
      </c>
      <c r="G93">
        <v>615</v>
      </c>
      <c r="H93" s="5">
        <v>78.3</v>
      </c>
      <c r="I93" s="5">
        <v>73.680000000000007</v>
      </c>
      <c r="J93">
        <v>69</v>
      </c>
      <c r="K93" t="s">
        <v>15</v>
      </c>
      <c r="L93">
        <f t="shared" si="7"/>
        <v>7</v>
      </c>
      <c r="M93">
        <v>11</v>
      </c>
      <c r="N93">
        <f t="shared" si="4"/>
        <v>0</v>
      </c>
      <c r="O93" t="str">
        <f xml:space="preserve"> IF(AND(Table1[[#This Row],[Actual_Lead_Time]] &lt;= Table1[[#This Row],[Standard_Lead_Time]], OR(ISBLANK(J93), J93 = 0)), "OTIF", "Non-OTIF")</f>
        <v>Non-OTIF</v>
      </c>
      <c r="P93">
        <f>IF(Table1[[#This Row],[OTIF_Status]] = "OTIF", 1, 0)</f>
        <v>0</v>
      </c>
      <c r="Q93" s="5">
        <f t="shared" si="5"/>
        <v>48154.5</v>
      </c>
      <c r="R93" s="5">
        <f t="shared" si="6"/>
        <v>45313.200000000004</v>
      </c>
      <c r="S93" s="5">
        <f>Table1[[#This Row],[Total_Line_Spend]]-Table1[[#This Row],[Negotiated_Total]]</f>
        <v>2841.2999999999956</v>
      </c>
      <c r="T93" t="str">
        <f xml:space="preserve"> IF(Table1[[#This Row],[Delay_Days]] &gt; 4, "High Risk", IF(Table1[[#This Row],[Delay_Days]] &gt; 0, "Medium Risk", "Low Risk"))</f>
        <v>Low Risk</v>
      </c>
    </row>
    <row r="94" spans="1:20" x14ac:dyDescent="0.25">
      <c r="A94" t="s">
        <v>119</v>
      </c>
      <c r="B94" t="s">
        <v>806</v>
      </c>
      <c r="C94" s="1">
        <v>44950</v>
      </c>
      <c r="D94" s="1">
        <v>44968</v>
      </c>
      <c r="E94" t="s">
        <v>39</v>
      </c>
      <c r="F94" t="s">
        <v>18</v>
      </c>
      <c r="G94">
        <v>1179</v>
      </c>
      <c r="H94" s="5">
        <v>61.74</v>
      </c>
      <c r="I94" s="5">
        <v>56.28</v>
      </c>
      <c r="K94" t="s">
        <v>15</v>
      </c>
      <c r="L94">
        <f t="shared" si="7"/>
        <v>18</v>
      </c>
      <c r="M94">
        <v>11</v>
      </c>
      <c r="N94">
        <f t="shared" si="4"/>
        <v>7</v>
      </c>
      <c r="O94" t="str">
        <f xml:space="preserve"> IF(AND(Table1[[#This Row],[Actual_Lead_Time]] &lt;= Table1[[#This Row],[Standard_Lead_Time]], OR(ISBLANK(J94), J94 = 0)), "OTIF", "Non-OTIF")</f>
        <v>Non-OTIF</v>
      </c>
      <c r="P94">
        <f>IF(Table1[[#This Row],[OTIF_Status]] = "OTIF", 1, 0)</f>
        <v>0</v>
      </c>
      <c r="Q94" s="5">
        <f t="shared" si="5"/>
        <v>72791.460000000006</v>
      </c>
      <c r="R94" s="5">
        <f t="shared" si="6"/>
        <v>66354.12</v>
      </c>
      <c r="S94" s="5">
        <f>Table1[[#This Row],[Total_Line_Spend]]-Table1[[#This Row],[Negotiated_Total]]</f>
        <v>6437.3400000000111</v>
      </c>
      <c r="T94" t="str">
        <f xml:space="preserve"> IF(Table1[[#This Row],[Delay_Days]] &gt; 4, "High Risk", IF(Table1[[#This Row],[Delay_Days]] &gt; 0, "Medium Risk", "Low Risk"))</f>
        <v>High Risk</v>
      </c>
    </row>
    <row r="95" spans="1:20" x14ac:dyDescent="0.25">
      <c r="A95" t="s">
        <v>120</v>
      </c>
      <c r="B95" t="s">
        <v>804</v>
      </c>
      <c r="C95" s="1">
        <v>44838</v>
      </c>
      <c r="D95" s="1">
        <v>44843</v>
      </c>
      <c r="E95" t="s">
        <v>39</v>
      </c>
      <c r="F95" t="s">
        <v>33</v>
      </c>
      <c r="G95">
        <v>1845</v>
      </c>
      <c r="H95" s="5">
        <v>39.56</v>
      </c>
      <c r="I95" s="5">
        <v>37.630000000000003</v>
      </c>
      <c r="J95">
        <v>45</v>
      </c>
      <c r="K95" t="s">
        <v>15</v>
      </c>
      <c r="L95">
        <f t="shared" si="7"/>
        <v>5</v>
      </c>
      <c r="M95">
        <v>11</v>
      </c>
      <c r="N95">
        <f t="shared" si="4"/>
        <v>0</v>
      </c>
      <c r="O95" t="str">
        <f xml:space="preserve"> IF(AND(Table1[[#This Row],[Actual_Lead_Time]] &lt;= Table1[[#This Row],[Standard_Lead_Time]], OR(ISBLANK(J95), J95 = 0)), "OTIF", "Non-OTIF")</f>
        <v>Non-OTIF</v>
      </c>
      <c r="P95">
        <f>IF(Table1[[#This Row],[OTIF_Status]] = "OTIF", 1, 0)</f>
        <v>0</v>
      </c>
      <c r="Q95" s="5">
        <f t="shared" si="5"/>
        <v>72988.2</v>
      </c>
      <c r="R95" s="5">
        <f t="shared" si="6"/>
        <v>69427.350000000006</v>
      </c>
      <c r="S95" s="5">
        <f>Table1[[#This Row],[Total_Line_Spend]]-Table1[[#This Row],[Negotiated_Total]]</f>
        <v>3560.8499999999913</v>
      </c>
      <c r="T95" t="str">
        <f xml:space="preserve"> IF(Table1[[#This Row],[Delay_Days]] &gt; 4, "High Risk", IF(Table1[[#This Row],[Delay_Days]] &gt; 0, "Medium Risk", "Low Risk"))</f>
        <v>Low Risk</v>
      </c>
    </row>
    <row r="96" spans="1:20" x14ac:dyDescent="0.25">
      <c r="A96" t="s">
        <v>121</v>
      </c>
      <c r="B96" t="s">
        <v>807</v>
      </c>
      <c r="C96" s="1">
        <v>45217</v>
      </c>
      <c r="D96" s="1">
        <v>45228</v>
      </c>
      <c r="E96" t="s">
        <v>39</v>
      </c>
      <c r="F96" t="s">
        <v>14</v>
      </c>
      <c r="G96">
        <v>1895</v>
      </c>
      <c r="H96" s="5">
        <v>91.98</v>
      </c>
      <c r="I96" s="5">
        <v>86.27</v>
      </c>
      <c r="J96">
        <v>170</v>
      </c>
      <c r="K96" t="s">
        <v>15</v>
      </c>
      <c r="L96">
        <f t="shared" si="7"/>
        <v>11</v>
      </c>
      <c r="M96">
        <v>11</v>
      </c>
      <c r="N96">
        <f t="shared" si="4"/>
        <v>0</v>
      </c>
      <c r="O96" t="str">
        <f xml:space="preserve"> IF(AND(Table1[[#This Row],[Actual_Lead_Time]] &lt;= Table1[[#This Row],[Standard_Lead_Time]], OR(ISBLANK(J96), J96 = 0)), "OTIF", "Non-OTIF")</f>
        <v>Non-OTIF</v>
      </c>
      <c r="P96">
        <f>IF(Table1[[#This Row],[OTIF_Status]] = "OTIF", 1, 0)</f>
        <v>0</v>
      </c>
      <c r="Q96" s="5">
        <f t="shared" si="5"/>
        <v>174302.1</v>
      </c>
      <c r="R96" s="5">
        <f t="shared" si="6"/>
        <v>163481.65</v>
      </c>
      <c r="S96" s="5">
        <f>Table1[[#This Row],[Total_Line_Spend]]-Table1[[#This Row],[Negotiated_Total]]</f>
        <v>10820.450000000012</v>
      </c>
      <c r="T96" t="str">
        <f xml:space="preserve"> IF(Table1[[#This Row],[Delay_Days]] &gt; 4, "High Risk", IF(Table1[[#This Row],[Delay_Days]] &gt; 0, "Medium Risk", "Low Risk"))</f>
        <v>Low Risk</v>
      </c>
    </row>
    <row r="97" spans="1:21" x14ac:dyDescent="0.25">
      <c r="A97" t="s">
        <v>122</v>
      </c>
      <c r="B97" t="s">
        <v>808</v>
      </c>
      <c r="C97" s="1">
        <v>45266</v>
      </c>
      <c r="D97" s="1">
        <v>45269</v>
      </c>
      <c r="E97" t="s">
        <v>21</v>
      </c>
      <c r="F97" t="s">
        <v>33</v>
      </c>
      <c r="G97">
        <v>1550</v>
      </c>
      <c r="H97" s="5">
        <v>79.86</v>
      </c>
      <c r="I97" s="5">
        <v>69.569999999999993</v>
      </c>
      <c r="J97">
        <v>32</v>
      </c>
      <c r="K97" t="s">
        <v>27</v>
      </c>
      <c r="L97">
        <f t="shared" si="7"/>
        <v>3</v>
      </c>
      <c r="M97">
        <v>11</v>
      </c>
      <c r="N97">
        <f t="shared" si="4"/>
        <v>0</v>
      </c>
      <c r="O97" t="str">
        <f xml:space="preserve"> IF(AND(Table1[[#This Row],[Actual_Lead_Time]] &lt;= Table1[[#This Row],[Standard_Lead_Time]], OR(ISBLANK(J97), J97 = 0)), "OTIF", "Non-OTIF")</f>
        <v>Non-OTIF</v>
      </c>
      <c r="P97">
        <f>IF(Table1[[#This Row],[OTIF_Status]] = "OTIF", 1, 0)</f>
        <v>0</v>
      </c>
      <c r="Q97" s="5">
        <f t="shared" si="5"/>
        <v>123783</v>
      </c>
      <c r="R97" s="5">
        <f t="shared" si="6"/>
        <v>107833.49999999999</v>
      </c>
      <c r="S97" s="5">
        <f>Table1[[#This Row],[Total_Line_Spend]]-Table1[[#This Row],[Negotiated_Total]]</f>
        <v>15949.500000000015</v>
      </c>
      <c r="T97" t="str">
        <f xml:space="preserve"> IF(Table1[[#This Row],[Delay_Days]] &gt; 4, "High Risk", IF(Table1[[#This Row],[Delay_Days]] &gt; 0, "Medium Risk", "Low Risk"))</f>
        <v>Low Risk</v>
      </c>
    </row>
    <row r="98" spans="1:21" x14ac:dyDescent="0.25">
      <c r="A98" t="s">
        <v>123</v>
      </c>
      <c r="B98" t="s">
        <v>805</v>
      </c>
      <c r="C98" s="1">
        <v>45132</v>
      </c>
      <c r="D98" s="1">
        <v>45142</v>
      </c>
      <c r="E98" t="s">
        <v>24</v>
      </c>
      <c r="F98" t="s">
        <v>18</v>
      </c>
      <c r="G98">
        <v>752</v>
      </c>
      <c r="H98" s="5">
        <v>26.85</v>
      </c>
      <c r="I98" s="5">
        <v>24.37</v>
      </c>
      <c r="K98" t="s">
        <v>27</v>
      </c>
      <c r="L98">
        <f t="shared" si="7"/>
        <v>10</v>
      </c>
      <c r="M98">
        <v>11</v>
      </c>
      <c r="N98">
        <f t="shared" si="4"/>
        <v>0</v>
      </c>
      <c r="O98" t="str">
        <f xml:space="preserve"> IF(AND(Table1[[#This Row],[Actual_Lead_Time]] &lt;= Table1[[#This Row],[Standard_Lead_Time]], OR(ISBLANK(J98), J98 = 0)), "OTIF", "Non-OTIF")</f>
        <v>OTIF</v>
      </c>
      <c r="P98">
        <f>IF(Table1[[#This Row],[OTIF_Status]] = "OTIF", 1, 0)</f>
        <v>1</v>
      </c>
      <c r="Q98" s="5">
        <f t="shared" si="5"/>
        <v>20191.2</v>
      </c>
      <c r="R98" s="5">
        <f t="shared" si="6"/>
        <v>18326.240000000002</v>
      </c>
      <c r="S98" s="5">
        <f>Table1[[#This Row],[Total_Line_Spend]]-Table1[[#This Row],[Negotiated_Total]]</f>
        <v>1864.9599999999991</v>
      </c>
      <c r="T98" t="str">
        <f xml:space="preserve"> IF(Table1[[#This Row],[Delay_Days]] &gt; 4, "High Risk", IF(Table1[[#This Row],[Delay_Days]] &gt; 0, "Medium Risk", "Low Risk"))</f>
        <v>Low Risk</v>
      </c>
    </row>
    <row r="99" spans="1:21" x14ac:dyDescent="0.25">
      <c r="A99" t="s">
        <v>124</v>
      </c>
      <c r="B99" t="s">
        <v>808</v>
      </c>
      <c r="C99" s="1">
        <v>44786</v>
      </c>
      <c r="D99" s="1">
        <v>44805</v>
      </c>
      <c r="E99" t="s">
        <v>39</v>
      </c>
      <c r="F99" t="s">
        <v>18</v>
      </c>
      <c r="G99">
        <v>451</v>
      </c>
      <c r="H99" s="5">
        <v>95.2</v>
      </c>
      <c r="I99" s="5">
        <v>90.07</v>
      </c>
      <c r="J99">
        <v>21</v>
      </c>
      <c r="K99" t="s">
        <v>15</v>
      </c>
      <c r="L99">
        <f t="shared" si="7"/>
        <v>19</v>
      </c>
      <c r="M99">
        <v>11</v>
      </c>
      <c r="N99">
        <f t="shared" si="4"/>
        <v>8</v>
      </c>
      <c r="O99" t="str">
        <f xml:space="preserve"> IF(AND(Table1[[#This Row],[Actual_Lead_Time]] &lt;= Table1[[#This Row],[Standard_Lead_Time]], OR(ISBLANK(J99), J99 = 0)), "OTIF", "Non-OTIF")</f>
        <v>Non-OTIF</v>
      </c>
      <c r="P99">
        <f>IF(Table1[[#This Row],[OTIF_Status]] = "OTIF", 1, 0)</f>
        <v>0</v>
      </c>
      <c r="Q99" s="5">
        <f t="shared" si="5"/>
        <v>42935.200000000004</v>
      </c>
      <c r="R99" s="5">
        <f t="shared" si="6"/>
        <v>40621.57</v>
      </c>
      <c r="S99" s="5">
        <f>Table1[[#This Row],[Total_Line_Spend]]-Table1[[#This Row],[Negotiated_Total]]</f>
        <v>2313.6300000000047</v>
      </c>
      <c r="T99" t="str">
        <f xml:space="preserve"> IF(Table1[[#This Row],[Delay_Days]] &gt; 4, "High Risk", IF(Table1[[#This Row],[Delay_Days]] &gt; 0, "Medium Risk", "Low Risk"))</f>
        <v>High Risk</v>
      </c>
    </row>
    <row r="100" spans="1:21" x14ac:dyDescent="0.25">
      <c r="A100" t="s">
        <v>125</v>
      </c>
      <c r="B100" t="s">
        <v>807</v>
      </c>
      <c r="C100" s="1">
        <v>45263</v>
      </c>
      <c r="D100" s="1">
        <v>45274</v>
      </c>
      <c r="E100" t="s">
        <v>13</v>
      </c>
      <c r="F100" t="s">
        <v>18</v>
      </c>
      <c r="G100">
        <v>779</v>
      </c>
      <c r="H100" s="5">
        <v>93.69</v>
      </c>
      <c r="I100" s="5">
        <v>90.92</v>
      </c>
      <c r="J100">
        <v>66</v>
      </c>
      <c r="K100" t="s">
        <v>15</v>
      </c>
      <c r="L100">
        <f t="shared" si="7"/>
        <v>11</v>
      </c>
      <c r="M100">
        <v>11</v>
      </c>
      <c r="N100">
        <f t="shared" si="4"/>
        <v>0</v>
      </c>
      <c r="O100" t="str">
        <f xml:space="preserve"> IF(AND(Table1[[#This Row],[Actual_Lead_Time]] &lt;= Table1[[#This Row],[Standard_Lead_Time]], OR(ISBLANK(J100), J100 = 0)), "OTIF", "Non-OTIF")</f>
        <v>Non-OTIF</v>
      </c>
      <c r="P100">
        <f>IF(Table1[[#This Row],[OTIF_Status]] = "OTIF", 1, 0)</f>
        <v>0</v>
      </c>
      <c r="Q100" s="5">
        <f t="shared" si="5"/>
        <v>72984.509999999995</v>
      </c>
      <c r="R100" s="5">
        <f t="shared" si="6"/>
        <v>70826.680000000008</v>
      </c>
      <c r="S100" s="5">
        <f>Table1[[#This Row],[Total_Line_Spend]]-Table1[[#This Row],[Negotiated_Total]]</f>
        <v>2157.8299999999872</v>
      </c>
      <c r="T100" t="str">
        <f xml:space="preserve"> IF(Table1[[#This Row],[Delay_Days]] &gt; 4, "High Risk", IF(Table1[[#This Row],[Delay_Days]] &gt; 0, "Medium Risk", "Low Risk"))</f>
        <v>Low Risk</v>
      </c>
    </row>
    <row r="101" spans="1:21" x14ac:dyDescent="0.25">
      <c r="A101" t="s">
        <v>126</v>
      </c>
      <c r="B101" t="s">
        <v>807</v>
      </c>
      <c r="C101" s="1">
        <v>44894</v>
      </c>
      <c r="D101" s="1">
        <v>44909</v>
      </c>
      <c r="E101" t="s">
        <v>21</v>
      </c>
      <c r="F101" t="s">
        <v>35</v>
      </c>
      <c r="G101">
        <v>1629</v>
      </c>
      <c r="H101" s="5">
        <v>100.26</v>
      </c>
      <c r="I101" s="5">
        <v>86.44</v>
      </c>
      <c r="J101">
        <v>187</v>
      </c>
      <c r="K101" t="s">
        <v>27</v>
      </c>
      <c r="L101">
        <f t="shared" si="7"/>
        <v>15</v>
      </c>
      <c r="M101">
        <v>11</v>
      </c>
      <c r="N101">
        <f t="shared" si="4"/>
        <v>4</v>
      </c>
      <c r="O101" t="str">
        <f xml:space="preserve"> IF(AND(Table1[[#This Row],[Actual_Lead_Time]] &lt;= Table1[[#This Row],[Standard_Lead_Time]], OR(ISBLANK(J101), J101 = 0)), "OTIF", "Non-OTIF")</f>
        <v>Non-OTIF</v>
      </c>
      <c r="P101">
        <f>IF(Table1[[#This Row],[OTIF_Status]] = "OTIF", 1, 0)</f>
        <v>0</v>
      </c>
      <c r="Q101" s="5">
        <f t="shared" si="5"/>
        <v>163323.54</v>
      </c>
      <c r="R101" s="5">
        <f t="shared" si="6"/>
        <v>140810.76</v>
      </c>
      <c r="S101" s="5">
        <f>Table1[[#This Row],[Total_Line_Spend]]-Table1[[#This Row],[Negotiated_Total]]</f>
        <v>22512.78</v>
      </c>
      <c r="T101" t="str">
        <f xml:space="preserve"> IF(Table1[[#This Row],[Delay_Days]] &gt; 4, "High Risk", IF(Table1[[#This Row],[Delay_Days]] &gt; 0, "Medium Risk", "Low Risk"))</f>
        <v>Medium Risk</v>
      </c>
    </row>
    <row r="102" spans="1:21" x14ac:dyDescent="0.25">
      <c r="A102" t="s">
        <v>127</v>
      </c>
      <c r="B102" t="s">
        <v>804</v>
      </c>
      <c r="C102" s="1">
        <v>44614</v>
      </c>
      <c r="D102" s="1">
        <v>44619</v>
      </c>
      <c r="E102" t="s">
        <v>13</v>
      </c>
      <c r="F102" t="s">
        <v>18</v>
      </c>
      <c r="G102">
        <v>211</v>
      </c>
      <c r="H102" s="5">
        <v>75.69</v>
      </c>
      <c r="I102" s="5">
        <v>65.400000000000006</v>
      </c>
      <c r="J102">
        <v>2</v>
      </c>
      <c r="K102" t="s">
        <v>15</v>
      </c>
      <c r="L102">
        <f t="shared" si="7"/>
        <v>5</v>
      </c>
      <c r="M102">
        <v>11</v>
      </c>
      <c r="N102">
        <f t="shared" si="4"/>
        <v>0</v>
      </c>
      <c r="O102" t="str">
        <f xml:space="preserve"> IF(AND(Table1[[#This Row],[Actual_Lead_Time]] &lt;= Table1[[#This Row],[Standard_Lead_Time]], OR(ISBLANK(J102), J102 = 0)), "OTIF", "Non-OTIF")</f>
        <v>Non-OTIF</v>
      </c>
      <c r="P102">
        <f>IF(Table1[[#This Row],[OTIF_Status]] = "OTIF", 1, 0)</f>
        <v>0</v>
      </c>
      <c r="Q102" s="5">
        <f t="shared" si="5"/>
        <v>15970.59</v>
      </c>
      <c r="R102" s="5">
        <f t="shared" si="6"/>
        <v>13799.400000000001</v>
      </c>
      <c r="S102" s="5">
        <f>Table1[[#This Row],[Total_Line_Spend]]-Table1[[#This Row],[Negotiated_Total]]</f>
        <v>2171.1899999999987</v>
      </c>
      <c r="T102" t="str">
        <f xml:space="preserve"> IF(Table1[[#This Row],[Delay_Days]] &gt; 4, "High Risk", IF(Table1[[#This Row],[Delay_Days]] &gt; 0, "Medium Risk", "Low Risk"))</f>
        <v>Low Risk</v>
      </c>
      <c r="U102" t="s">
        <v>815</v>
      </c>
    </row>
    <row r="103" spans="1:21" x14ac:dyDescent="0.25">
      <c r="A103" t="s">
        <v>128</v>
      </c>
      <c r="B103" t="s">
        <v>804</v>
      </c>
      <c r="C103" s="1">
        <v>44796</v>
      </c>
      <c r="D103" s="1">
        <v>44807</v>
      </c>
      <c r="E103" t="s">
        <v>13</v>
      </c>
      <c r="F103" t="s">
        <v>18</v>
      </c>
      <c r="G103">
        <v>251</v>
      </c>
      <c r="H103" s="5">
        <v>67.489999999999995</v>
      </c>
      <c r="I103" s="5">
        <v>64.48</v>
      </c>
      <c r="J103">
        <v>2</v>
      </c>
      <c r="K103" t="s">
        <v>15</v>
      </c>
      <c r="L103">
        <f t="shared" si="7"/>
        <v>11</v>
      </c>
      <c r="M103">
        <v>11</v>
      </c>
      <c r="N103">
        <f t="shared" si="4"/>
        <v>0</v>
      </c>
      <c r="O103" t="str">
        <f xml:space="preserve"> IF(AND(Table1[[#This Row],[Actual_Lead_Time]] &lt;= Table1[[#This Row],[Standard_Lead_Time]], OR(ISBLANK(J103), J103 = 0)), "OTIF", "Non-OTIF")</f>
        <v>Non-OTIF</v>
      </c>
      <c r="P103">
        <f>IF(Table1[[#This Row],[OTIF_Status]] = "OTIF", 1, 0)</f>
        <v>0</v>
      </c>
      <c r="Q103" s="5">
        <f t="shared" si="5"/>
        <v>16939.989999999998</v>
      </c>
      <c r="R103" s="5">
        <f t="shared" si="6"/>
        <v>16184.480000000001</v>
      </c>
      <c r="S103" s="5">
        <f>Table1[[#This Row],[Total_Line_Spend]]-Table1[[#This Row],[Negotiated_Total]]</f>
        <v>755.50999999999658</v>
      </c>
      <c r="T103" t="str">
        <f xml:space="preserve"> IF(Table1[[#This Row],[Delay_Days]] &gt; 4, "High Risk", IF(Table1[[#This Row],[Delay_Days]] &gt; 0, "Medium Risk", "Low Risk"))</f>
        <v>Low Risk</v>
      </c>
    </row>
    <row r="104" spans="1:21" x14ac:dyDescent="0.25">
      <c r="A104" t="s">
        <v>129</v>
      </c>
      <c r="B104" t="s">
        <v>806</v>
      </c>
      <c r="C104" s="1">
        <v>44594</v>
      </c>
      <c r="D104" s="1">
        <v>44610</v>
      </c>
      <c r="E104" t="s">
        <v>26</v>
      </c>
      <c r="F104" t="s">
        <v>18</v>
      </c>
      <c r="G104">
        <v>1045</v>
      </c>
      <c r="H104" s="5">
        <v>47.88</v>
      </c>
      <c r="I104" s="5">
        <v>44.65</v>
      </c>
      <c r="J104">
        <v>69</v>
      </c>
      <c r="K104" t="s">
        <v>15</v>
      </c>
      <c r="L104">
        <f t="shared" si="7"/>
        <v>16</v>
      </c>
      <c r="M104">
        <v>11</v>
      </c>
      <c r="N104">
        <f t="shared" si="4"/>
        <v>5</v>
      </c>
      <c r="O104" t="str">
        <f xml:space="preserve"> IF(AND(Table1[[#This Row],[Actual_Lead_Time]] &lt;= Table1[[#This Row],[Standard_Lead_Time]], OR(ISBLANK(J104), J104 = 0)), "OTIF", "Non-OTIF")</f>
        <v>Non-OTIF</v>
      </c>
      <c r="P104">
        <f>IF(Table1[[#This Row],[OTIF_Status]] = "OTIF", 1, 0)</f>
        <v>0</v>
      </c>
      <c r="Q104" s="5">
        <f t="shared" si="5"/>
        <v>50034.600000000006</v>
      </c>
      <c r="R104" s="5">
        <f t="shared" si="6"/>
        <v>46659.25</v>
      </c>
      <c r="S104" s="5">
        <f>Table1[[#This Row],[Total_Line_Spend]]-Table1[[#This Row],[Negotiated_Total]]</f>
        <v>3375.3500000000058</v>
      </c>
      <c r="T104" t="str">
        <f xml:space="preserve"> IF(Table1[[#This Row],[Delay_Days]] &gt; 4, "High Risk", IF(Table1[[#This Row],[Delay_Days]] &gt; 0, "Medium Risk", "Low Risk"))</f>
        <v>High Risk</v>
      </c>
    </row>
    <row r="105" spans="1:21" x14ac:dyDescent="0.25">
      <c r="A105" t="s">
        <v>130</v>
      </c>
      <c r="B105" t="s">
        <v>805</v>
      </c>
      <c r="C105" s="1">
        <v>44885</v>
      </c>
      <c r="D105" s="1">
        <v>44905</v>
      </c>
      <c r="E105" t="s">
        <v>21</v>
      </c>
      <c r="F105" t="s">
        <v>18</v>
      </c>
      <c r="G105">
        <v>319</v>
      </c>
      <c r="H105" s="5">
        <v>98.64</v>
      </c>
      <c r="I105" s="5">
        <v>89.15</v>
      </c>
      <c r="J105">
        <v>57</v>
      </c>
      <c r="K105" t="s">
        <v>15</v>
      </c>
      <c r="L105">
        <f t="shared" si="7"/>
        <v>20</v>
      </c>
      <c r="M105">
        <v>11</v>
      </c>
      <c r="N105">
        <f t="shared" si="4"/>
        <v>9</v>
      </c>
      <c r="O105" t="str">
        <f xml:space="preserve"> IF(AND(Table1[[#This Row],[Actual_Lead_Time]] &lt;= Table1[[#This Row],[Standard_Lead_Time]], OR(ISBLANK(J105), J105 = 0)), "OTIF", "Non-OTIF")</f>
        <v>Non-OTIF</v>
      </c>
      <c r="P105">
        <f>IF(Table1[[#This Row],[OTIF_Status]] = "OTIF", 1, 0)</f>
        <v>0</v>
      </c>
      <c r="Q105" s="5">
        <f t="shared" si="5"/>
        <v>31466.16</v>
      </c>
      <c r="R105" s="5">
        <f t="shared" si="6"/>
        <v>28438.850000000002</v>
      </c>
      <c r="S105" s="5">
        <f>Table1[[#This Row],[Total_Line_Spend]]-Table1[[#This Row],[Negotiated_Total]]</f>
        <v>3027.3099999999977</v>
      </c>
      <c r="T105" t="str">
        <f xml:space="preserve"> IF(Table1[[#This Row],[Delay_Days]] &gt; 4, "High Risk", IF(Table1[[#This Row],[Delay_Days]] &gt; 0, "Medium Risk", "Low Risk"))</f>
        <v>High Risk</v>
      </c>
    </row>
    <row r="106" spans="1:21" x14ac:dyDescent="0.25">
      <c r="A106" t="s">
        <v>131</v>
      </c>
      <c r="B106" t="s">
        <v>808</v>
      </c>
      <c r="C106" s="1">
        <v>44972</v>
      </c>
      <c r="D106" s="1">
        <v>44986</v>
      </c>
      <c r="E106" t="s">
        <v>13</v>
      </c>
      <c r="F106" t="s">
        <v>33</v>
      </c>
      <c r="G106">
        <v>1936</v>
      </c>
      <c r="H106" s="5">
        <v>93.66</v>
      </c>
      <c r="I106" s="5">
        <v>92.24</v>
      </c>
      <c r="J106">
        <v>58</v>
      </c>
      <c r="K106" t="s">
        <v>15</v>
      </c>
      <c r="L106">
        <f t="shared" si="7"/>
        <v>14</v>
      </c>
      <c r="M106">
        <v>11</v>
      </c>
      <c r="N106">
        <f t="shared" si="4"/>
        <v>3</v>
      </c>
      <c r="O106" t="str">
        <f xml:space="preserve"> IF(AND(Table1[[#This Row],[Actual_Lead_Time]] &lt;= Table1[[#This Row],[Standard_Lead_Time]], OR(ISBLANK(J106), J106 = 0)), "OTIF", "Non-OTIF")</f>
        <v>Non-OTIF</v>
      </c>
      <c r="P106">
        <f>IF(Table1[[#This Row],[OTIF_Status]] = "OTIF", 1, 0)</f>
        <v>0</v>
      </c>
      <c r="Q106" s="5">
        <f t="shared" si="5"/>
        <v>181325.75999999998</v>
      </c>
      <c r="R106" s="5">
        <f t="shared" si="6"/>
        <v>178576.63999999998</v>
      </c>
      <c r="S106" s="5">
        <f>Table1[[#This Row],[Total_Line_Spend]]-Table1[[#This Row],[Negotiated_Total]]</f>
        <v>2749.1199999999953</v>
      </c>
      <c r="T106" t="str">
        <f xml:space="preserve"> IF(Table1[[#This Row],[Delay_Days]] &gt; 4, "High Risk", IF(Table1[[#This Row],[Delay_Days]] &gt; 0, "Medium Risk", "Low Risk"))</f>
        <v>Medium Risk</v>
      </c>
    </row>
    <row r="107" spans="1:21" x14ac:dyDescent="0.25">
      <c r="A107" t="s">
        <v>132</v>
      </c>
      <c r="B107" t="s">
        <v>805</v>
      </c>
      <c r="C107" s="1">
        <v>44836</v>
      </c>
      <c r="D107" s="1">
        <v>44856</v>
      </c>
      <c r="E107" t="s">
        <v>21</v>
      </c>
      <c r="F107" t="s">
        <v>14</v>
      </c>
      <c r="G107">
        <v>865</v>
      </c>
      <c r="H107" s="5">
        <v>14.7</v>
      </c>
      <c r="I107" s="5">
        <v>13.14</v>
      </c>
      <c r="J107">
        <v>135</v>
      </c>
      <c r="K107" t="s">
        <v>27</v>
      </c>
      <c r="L107">
        <f t="shared" si="7"/>
        <v>20</v>
      </c>
      <c r="M107">
        <v>11</v>
      </c>
      <c r="N107">
        <f t="shared" si="4"/>
        <v>9</v>
      </c>
      <c r="O107" t="str">
        <f xml:space="preserve"> IF(AND(Table1[[#This Row],[Actual_Lead_Time]] &lt;= Table1[[#This Row],[Standard_Lead_Time]], OR(ISBLANK(J107), J107 = 0)), "OTIF", "Non-OTIF")</f>
        <v>Non-OTIF</v>
      </c>
      <c r="P107">
        <f>IF(Table1[[#This Row],[OTIF_Status]] = "OTIF", 1, 0)</f>
        <v>0</v>
      </c>
      <c r="Q107" s="5">
        <f t="shared" si="5"/>
        <v>12715.5</v>
      </c>
      <c r="R107" s="5">
        <f t="shared" si="6"/>
        <v>11366.1</v>
      </c>
      <c r="S107" s="5">
        <f>Table1[[#This Row],[Total_Line_Spend]]-Table1[[#This Row],[Negotiated_Total]]</f>
        <v>1349.3999999999996</v>
      </c>
      <c r="T107" t="str">
        <f xml:space="preserve"> IF(Table1[[#This Row],[Delay_Days]] &gt; 4, "High Risk", IF(Table1[[#This Row],[Delay_Days]] &gt; 0, "Medium Risk", "Low Risk"))</f>
        <v>High Risk</v>
      </c>
    </row>
    <row r="108" spans="1:21" x14ac:dyDescent="0.25">
      <c r="A108" t="s">
        <v>133</v>
      </c>
      <c r="B108" t="s">
        <v>808</v>
      </c>
      <c r="C108" s="1">
        <v>44629</v>
      </c>
      <c r="D108" s="1">
        <v>44632</v>
      </c>
      <c r="E108" t="s">
        <v>39</v>
      </c>
      <c r="F108" t="s">
        <v>18</v>
      </c>
      <c r="G108">
        <v>1344</v>
      </c>
      <c r="H108" s="5">
        <v>12.5</v>
      </c>
      <c r="I108" s="5">
        <v>10.87</v>
      </c>
      <c r="J108">
        <v>44</v>
      </c>
      <c r="K108" t="s">
        <v>15</v>
      </c>
      <c r="L108">
        <f t="shared" si="7"/>
        <v>3</v>
      </c>
      <c r="M108">
        <v>11</v>
      </c>
      <c r="N108">
        <f t="shared" si="4"/>
        <v>0</v>
      </c>
      <c r="O108" t="str">
        <f xml:space="preserve"> IF(AND(Table1[[#This Row],[Actual_Lead_Time]] &lt;= Table1[[#This Row],[Standard_Lead_Time]], OR(ISBLANK(J108), J108 = 0)), "OTIF", "Non-OTIF")</f>
        <v>Non-OTIF</v>
      </c>
      <c r="P108">
        <f>IF(Table1[[#This Row],[OTIF_Status]] = "OTIF", 1, 0)</f>
        <v>0</v>
      </c>
      <c r="Q108" s="5">
        <f t="shared" si="5"/>
        <v>16800</v>
      </c>
      <c r="R108" s="5">
        <f t="shared" si="6"/>
        <v>14609.279999999999</v>
      </c>
      <c r="S108" s="5">
        <f>Table1[[#This Row],[Total_Line_Spend]]-Table1[[#This Row],[Negotiated_Total]]</f>
        <v>2190.7200000000012</v>
      </c>
      <c r="T108" t="str">
        <f xml:space="preserve"> IF(Table1[[#This Row],[Delay_Days]] &gt; 4, "High Risk", IF(Table1[[#This Row],[Delay_Days]] &gt; 0, "Medium Risk", "Low Risk"))</f>
        <v>Low Risk</v>
      </c>
    </row>
    <row r="109" spans="1:21" x14ac:dyDescent="0.25">
      <c r="A109" t="s">
        <v>134</v>
      </c>
      <c r="B109" t="s">
        <v>805</v>
      </c>
      <c r="C109" s="1">
        <v>44778</v>
      </c>
      <c r="D109" s="1">
        <v>44797</v>
      </c>
      <c r="E109" t="s">
        <v>26</v>
      </c>
      <c r="F109" t="s">
        <v>35</v>
      </c>
      <c r="G109">
        <v>505</v>
      </c>
      <c r="H109" s="5">
        <v>45.42</v>
      </c>
      <c r="I109" s="5">
        <v>40.369999999999997</v>
      </c>
      <c r="J109">
        <v>62</v>
      </c>
      <c r="K109" t="s">
        <v>15</v>
      </c>
      <c r="L109">
        <f t="shared" si="7"/>
        <v>19</v>
      </c>
      <c r="M109">
        <v>11</v>
      </c>
      <c r="N109">
        <f t="shared" si="4"/>
        <v>8</v>
      </c>
      <c r="O109" t="str">
        <f xml:space="preserve"> IF(AND(Table1[[#This Row],[Actual_Lead_Time]] &lt;= Table1[[#This Row],[Standard_Lead_Time]], OR(ISBLANK(J109), J109 = 0)), "OTIF", "Non-OTIF")</f>
        <v>Non-OTIF</v>
      </c>
      <c r="P109">
        <f>IF(Table1[[#This Row],[OTIF_Status]] = "OTIF", 1, 0)</f>
        <v>0</v>
      </c>
      <c r="Q109" s="5">
        <f t="shared" si="5"/>
        <v>22937.100000000002</v>
      </c>
      <c r="R109" s="5">
        <f t="shared" si="6"/>
        <v>20386.849999999999</v>
      </c>
      <c r="S109" s="5">
        <f>Table1[[#This Row],[Total_Line_Spend]]-Table1[[#This Row],[Negotiated_Total]]</f>
        <v>2550.2500000000036</v>
      </c>
      <c r="T109" t="str">
        <f xml:space="preserve"> IF(Table1[[#This Row],[Delay_Days]] &gt; 4, "High Risk", IF(Table1[[#This Row],[Delay_Days]] &gt; 0, "Medium Risk", "Low Risk"))</f>
        <v>High Risk</v>
      </c>
    </row>
    <row r="110" spans="1:21" x14ac:dyDescent="0.25">
      <c r="A110" t="s">
        <v>135</v>
      </c>
      <c r="B110" t="s">
        <v>807</v>
      </c>
      <c r="C110" s="1">
        <v>45142</v>
      </c>
      <c r="D110" s="1">
        <v>45143</v>
      </c>
      <c r="E110" t="s">
        <v>24</v>
      </c>
      <c r="F110" t="s">
        <v>18</v>
      </c>
      <c r="G110">
        <v>1535</v>
      </c>
      <c r="H110" s="5">
        <v>90.83</v>
      </c>
      <c r="I110" s="5">
        <v>78.28</v>
      </c>
      <c r="J110">
        <v>151</v>
      </c>
      <c r="K110" t="s">
        <v>27</v>
      </c>
      <c r="L110">
        <f t="shared" si="7"/>
        <v>1</v>
      </c>
      <c r="M110">
        <v>11</v>
      </c>
      <c r="N110">
        <f t="shared" si="4"/>
        <v>0</v>
      </c>
      <c r="O110" t="str">
        <f xml:space="preserve"> IF(AND(Table1[[#This Row],[Actual_Lead_Time]] &lt;= Table1[[#This Row],[Standard_Lead_Time]], OR(ISBLANK(J110), J110 = 0)), "OTIF", "Non-OTIF")</f>
        <v>Non-OTIF</v>
      </c>
      <c r="P110">
        <f>IF(Table1[[#This Row],[OTIF_Status]] = "OTIF", 1, 0)</f>
        <v>0</v>
      </c>
      <c r="Q110" s="5">
        <f t="shared" si="5"/>
        <v>139424.04999999999</v>
      </c>
      <c r="R110" s="5">
        <f t="shared" si="6"/>
        <v>120159.8</v>
      </c>
      <c r="S110" s="5">
        <f>Table1[[#This Row],[Total_Line_Spend]]-Table1[[#This Row],[Negotiated_Total]]</f>
        <v>19264.249999999985</v>
      </c>
      <c r="T110" t="str">
        <f xml:space="preserve"> IF(Table1[[#This Row],[Delay_Days]] &gt; 4, "High Risk", IF(Table1[[#This Row],[Delay_Days]] &gt; 0, "Medium Risk", "Low Risk"))</f>
        <v>Low Risk</v>
      </c>
    </row>
    <row r="111" spans="1:21" x14ac:dyDescent="0.25">
      <c r="A111" t="s">
        <v>136</v>
      </c>
      <c r="B111" t="s">
        <v>807</v>
      </c>
      <c r="C111" s="1">
        <v>44884</v>
      </c>
      <c r="D111" s="1">
        <v>44895</v>
      </c>
      <c r="E111" t="s">
        <v>13</v>
      </c>
      <c r="F111" t="s">
        <v>18</v>
      </c>
      <c r="G111">
        <v>1800</v>
      </c>
      <c r="H111" s="5">
        <v>103.8</v>
      </c>
      <c r="I111" s="5">
        <v>96.27</v>
      </c>
      <c r="J111">
        <v>166</v>
      </c>
      <c r="K111" t="s">
        <v>15</v>
      </c>
      <c r="L111">
        <f t="shared" si="7"/>
        <v>11</v>
      </c>
      <c r="M111">
        <v>11</v>
      </c>
      <c r="N111">
        <f t="shared" si="4"/>
        <v>0</v>
      </c>
      <c r="O111" t="str">
        <f xml:space="preserve"> IF(AND(Table1[[#This Row],[Actual_Lead_Time]] &lt;= Table1[[#This Row],[Standard_Lead_Time]], OR(ISBLANK(J111), J111 = 0)), "OTIF", "Non-OTIF")</f>
        <v>Non-OTIF</v>
      </c>
      <c r="P111">
        <f>IF(Table1[[#This Row],[OTIF_Status]] = "OTIF", 1, 0)</f>
        <v>0</v>
      </c>
      <c r="Q111" s="5">
        <f t="shared" si="5"/>
        <v>186840</v>
      </c>
      <c r="R111" s="5">
        <f t="shared" si="6"/>
        <v>173286</v>
      </c>
      <c r="S111" s="5">
        <f>Table1[[#This Row],[Total_Line_Spend]]-Table1[[#This Row],[Negotiated_Total]]</f>
        <v>13554</v>
      </c>
      <c r="T111" t="str">
        <f xml:space="preserve"> IF(Table1[[#This Row],[Delay_Days]] &gt; 4, "High Risk", IF(Table1[[#This Row],[Delay_Days]] &gt; 0, "Medium Risk", "Low Risk"))</f>
        <v>Low Risk</v>
      </c>
    </row>
    <row r="112" spans="1:21" x14ac:dyDescent="0.25">
      <c r="A112" t="s">
        <v>137</v>
      </c>
      <c r="B112" t="s">
        <v>805</v>
      </c>
      <c r="C112" s="1">
        <v>44779</v>
      </c>
      <c r="D112" s="1">
        <v>44788</v>
      </c>
      <c r="E112" t="s">
        <v>26</v>
      </c>
      <c r="F112" t="s">
        <v>35</v>
      </c>
      <c r="G112">
        <v>1325</v>
      </c>
      <c r="H112" s="5">
        <v>24.36</v>
      </c>
      <c r="I112" s="5">
        <v>22.75</v>
      </c>
      <c r="J112">
        <v>206</v>
      </c>
      <c r="K112" t="s">
        <v>15</v>
      </c>
      <c r="L112">
        <f t="shared" si="7"/>
        <v>9</v>
      </c>
      <c r="M112">
        <v>11</v>
      </c>
      <c r="N112">
        <f t="shared" si="4"/>
        <v>0</v>
      </c>
      <c r="O112" t="str">
        <f xml:space="preserve"> IF(AND(Table1[[#This Row],[Actual_Lead_Time]] &lt;= Table1[[#This Row],[Standard_Lead_Time]], OR(ISBLANK(J112), J112 = 0)), "OTIF", "Non-OTIF")</f>
        <v>Non-OTIF</v>
      </c>
      <c r="P112">
        <f>IF(Table1[[#This Row],[OTIF_Status]] = "OTIF", 1, 0)</f>
        <v>0</v>
      </c>
      <c r="Q112" s="5">
        <f t="shared" si="5"/>
        <v>32277</v>
      </c>
      <c r="R112" s="5">
        <f t="shared" si="6"/>
        <v>30143.75</v>
      </c>
      <c r="S112" s="5">
        <f>Table1[[#This Row],[Total_Line_Spend]]-Table1[[#This Row],[Negotiated_Total]]</f>
        <v>2133.25</v>
      </c>
      <c r="T112" t="str">
        <f xml:space="preserve"> IF(Table1[[#This Row],[Delay_Days]] &gt; 4, "High Risk", IF(Table1[[#This Row],[Delay_Days]] &gt; 0, "Medium Risk", "Low Risk"))</f>
        <v>Low Risk</v>
      </c>
    </row>
    <row r="113" spans="1:20" x14ac:dyDescent="0.25">
      <c r="A113" t="s">
        <v>138</v>
      </c>
      <c r="B113" t="s">
        <v>806</v>
      </c>
      <c r="C113" s="1">
        <v>45233</v>
      </c>
      <c r="D113" s="1">
        <v>45239</v>
      </c>
      <c r="E113" t="s">
        <v>26</v>
      </c>
      <c r="F113" t="s">
        <v>18</v>
      </c>
      <c r="G113">
        <v>1066</v>
      </c>
      <c r="H113" s="5">
        <v>70.45</v>
      </c>
      <c r="I113" s="5">
        <v>65.88</v>
      </c>
      <c r="J113">
        <v>56</v>
      </c>
      <c r="K113" t="s">
        <v>27</v>
      </c>
      <c r="L113">
        <f t="shared" si="7"/>
        <v>6</v>
      </c>
      <c r="M113">
        <v>11</v>
      </c>
      <c r="N113">
        <f t="shared" si="4"/>
        <v>0</v>
      </c>
      <c r="O113" t="str">
        <f xml:space="preserve"> IF(AND(Table1[[#This Row],[Actual_Lead_Time]] &lt;= Table1[[#This Row],[Standard_Lead_Time]], OR(ISBLANK(J113), J113 = 0)), "OTIF", "Non-OTIF")</f>
        <v>Non-OTIF</v>
      </c>
      <c r="P113">
        <f>IF(Table1[[#This Row],[OTIF_Status]] = "OTIF", 1, 0)</f>
        <v>0</v>
      </c>
      <c r="Q113" s="5">
        <f t="shared" si="5"/>
        <v>75099.7</v>
      </c>
      <c r="R113" s="5">
        <f t="shared" si="6"/>
        <v>70228.08</v>
      </c>
      <c r="S113" s="5">
        <f>Table1[[#This Row],[Total_Line_Spend]]-Table1[[#This Row],[Negotiated_Total]]</f>
        <v>4871.6199999999953</v>
      </c>
      <c r="T113" t="str">
        <f xml:space="preserve"> IF(Table1[[#This Row],[Delay_Days]] &gt; 4, "High Risk", IF(Table1[[#This Row],[Delay_Days]] &gt; 0, "Medium Risk", "Low Risk"))</f>
        <v>Low Risk</v>
      </c>
    </row>
    <row r="114" spans="1:20" x14ac:dyDescent="0.25">
      <c r="A114" t="s">
        <v>139</v>
      </c>
      <c r="B114" t="s">
        <v>807</v>
      </c>
      <c r="C114" s="1">
        <v>45073</v>
      </c>
      <c r="D114" s="1">
        <v>45088</v>
      </c>
      <c r="E114" t="s">
        <v>26</v>
      </c>
      <c r="F114" t="s">
        <v>18</v>
      </c>
      <c r="G114">
        <v>1775</v>
      </c>
      <c r="H114" s="5">
        <v>47.82</v>
      </c>
      <c r="I114" s="5">
        <v>45.86</v>
      </c>
      <c r="J114">
        <v>180</v>
      </c>
      <c r="K114" t="s">
        <v>15</v>
      </c>
      <c r="L114">
        <f t="shared" si="7"/>
        <v>15</v>
      </c>
      <c r="M114">
        <v>11</v>
      </c>
      <c r="N114">
        <f t="shared" si="4"/>
        <v>4</v>
      </c>
      <c r="O114" t="str">
        <f xml:space="preserve"> IF(AND(Table1[[#This Row],[Actual_Lead_Time]] &lt;= Table1[[#This Row],[Standard_Lead_Time]], OR(ISBLANK(J114), J114 = 0)), "OTIF", "Non-OTIF")</f>
        <v>Non-OTIF</v>
      </c>
      <c r="P114">
        <f>IF(Table1[[#This Row],[OTIF_Status]] = "OTIF", 1, 0)</f>
        <v>0</v>
      </c>
      <c r="Q114" s="5">
        <f t="shared" si="5"/>
        <v>84880.5</v>
      </c>
      <c r="R114" s="5">
        <f t="shared" si="6"/>
        <v>81401.5</v>
      </c>
      <c r="S114" s="5">
        <f>Table1[[#This Row],[Total_Line_Spend]]-Table1[[#This Row],[Negotiated_Total]]</f>
        <v>3479</v>
      </c>
      <c r="T114" t="str">
        <f xml:space="preserve"> IF(Table1[[#This Row],[Delay_Days]] &gt; 4, "High Risk", IF(Table1[[#This Row],[Delay_Days]] &gt; 0, "Medium Risk", "Low Risk"))</f>
        <v>Medium Risk</v>
      </c>
    </row>
    <row r="115" spans="1:20" x14ac:dyDescent="0.25">
      <c r="A115" t="s">
        <v>140</v>
      </c>
      <c r="B115" t="s">
        <v>806</v>
      </c>
      <c r="C115" s="1">
        <v>44967</v>
      </c>
      <c r="D115" s="1">
        <v>44977</v>
      </c>
      <c r="E115" t="s">
        <v>26</v>
      </c>
      <c r="F115" t="s">
        <v>33</v>
      </c>
      <c r="G115">
        <v>345</v>
      </c>
      <c r="H115" s="5">
        <v>103.62</v>
      </c>
      <c r="I115" s="5">
        <v>98.09</v>
      </c>
      <c r="J115">
        <v>25</v>
      </c>
      <c r="K115" t="s">
        <v>27</v>
      </c>
      <c r="L115">
        <f t="shared" si="7"/>
        <v>10</v>
      </c>
      <c r="M115">
        <v>11</v>
      </c>
      <c r="N115">
        <f t="shared" si="4"/>
        <v>0</v>
      </c>
      <c r="O115" t="str">
        <f xml:space="preserve"> IF(AND(Table1[[#This Row],[Actual_Lead_Time]] &lt;= Table1[[#This Row],[Standard_Lead_Time]], OR(ISBLANK(J115), J115 = 0)), "OTIF", "Non-OTIF")</f>
        <v>Non-OTIF</v>
      </c>
      <c r="P115">
        <f>IF(Table1[[#This Row],[OTIF_Status]] = "OTIF", 1, 0)</f>
        <v>0</v>
      </c>
      <c r="Q115" s="5">
        <f t="shared" si="5"/>
        <v>35748.9</v>
      </c>
      <c r="R115" s="5">
        <f t="shared" si="6"/>
        <v>33841.050000000003</v>
      </c>
      <c r="S115" s="5">
        <f>Table1[[#This Row],[Total_Line_Spend]]-Table1[[#This Row],[Negotiated_Total]]</f>
        <v>1907.8499999999985</v>
      </c>
      <c r="T115" t="str">
        <f xml:space="preserve"> IF(Table1[[#This Row],[Delay_Days]] &gt; 4, "High Risk", IF(Table1[[#This Row],[Delay_Days]] &gt; 0, "Medium Risk", "Low Risk"))</f>
        <v>Low Risk</v>
      </c>
    </row>
    <row r="116" spans="1:20" x14ac:dyDescent="0.25">
      <c r="A116" t="s">
        <v>141</v>
      </c>
      <c r="B116" t="s">
        <v>807</v>
      </c>
      <c r="C116" s="1">
        <v>45220</v>
      </c>
      <c r="D116" s="1">
        <v>45239</v>
      </c>
      <c r="E116" t="s">
        <v>39</v>
      </c>
      <c r="F116" t="s">
        <v>18</v>
      </c>
      <c r="G116">
        <v>1798</v>
      </c>
      <c r="H116" s="5">
        <v>94.8</v>
      </c>
      <c r="I116" s="5">
        <v>91.83</v>
      </c>
      <c r="K116" t="s">
        <v>15</v>
      </c>
      <c r="L116">
        <f t="shared" si="7"/>
        <v>19</v>
      </c>
      <c r="M116">
        <v>11</v>
      </c>
      <c r="N116">
        <f t="shared" si="4"/>
        <v>8</v>
      </c>
      <c r="O116" t="str">
        <f xml:space="preserve"> IF(AND(Table1[[#This Row],[Actual_Lead_Time]] &lt;= Table1[[#This Row],[Standard_Lead_Time]], OR(ISBLANK(J116), J116 = 0)), "OTIF", "Non-OTIF")</f>
        <v>Non-OTIF</v>
      </c>
      <c r="P116">
        <f>IF(Table1[[#This Row],[OTIF_Status]] = "OTIF", 1, 0)</f>
        <v>0</v>
      </c>
      <c r="Q116" s="5">
        <f t="shared" si="5"/>
        <v>170450.4</v>
      </c>
      <c r="R116" s="5">
        <f t="shared" si="6"/>
        <v>165110.34</v>
      </c>
      <c r="S116" s="5">
        <f>Table1[[#This Row],[Total_Line_Spend]]-Table1[[#This Row],[Negotiated_Total]]</f>
        <v>5340.0599999999977</v>
      </c>
      <c r="T116" t="str">
        <f xml:space="preserve"> IF(Table1[[#This Row],[Delay_Days]] &gt; 4, "High Risk", IF(Table1[[#This Row],[Delay_Days]] &gt; 0, "Medium Risk", "Low Risk"))</f>
        <v>High Risk</v>
      </c>
    </row>
    <row r="117" spans="1:20" x14ac:dyDescent="0.25">
      <c r="A117" t="s">
        <v>142</v>
      </c>
      <c r="B117" t="s">
        <v>804</v>
      </c>
      <c r="C117" s="1">
        <v>45031</v>
      </c>
      <c r="D117" s="1">
        <v>45047</v>
      </c>
      <c r="E117" t="s">
        <v>21</v>
      </c>
      <c r="F117" t="s">
        <v>18</v>
      </c>
      <c r="G117">
        <v>769</v>
      </c>
      <c r="H117" s="5">
        <v>91.86</v>
      </c>
      <c r="I117" s="5">
        <v>86.55</v>
      </c>
      <c r="J117">
        <v>17</v>
      </c>
      <c r="K117" t="s">
        <v>15</v>
      </c>
      <c r="L117">
        <f t="shared" si="7"/>
        <v>16</v>
      </c>
      <c r="M117">
        <v>11</v>
      </c>
      <c r="N117">
        <f t="shared" si="4"/>
        <v>5</v>
      </c>
      <c r="O117" t="str">
        <f xml:space="preserve"> IF(AND(Table1[[#This Row],[Actual_Lead_Time]] &lt;= Table1[[#This Row],[Standard_Lead_Time]], OR(ISBLANK(J117), J117 = 0)), "OTIF", "Non-OTIF")</f>
        <v>Non-OTIF</v>
      </c>
      <c r="P117">
        <f>IF(Table1[[#This Row],[OTIF_Status]] = "OTIF", 1, 0)</f>
        <v>0</v>
      </c>
      <c r="Q117" s="5">
        <f t="shared" si="5"/>
        <v>70640.34</v>
      </c>
      <c r="R117" s="5">
        <f t="shared" si="6"/>
        <v>66556.95</v>
      </c>
      <c r="S117" s="5">
        <f>Table1[[#This Row],[Total_Line_Spend]]-Table1[[#This Row],[Negotiated_Total]]</f>
        <v>4083.3899999999994</v>
      </c>
      <c r="T117" t="str">
        <f xml:space="preserve"> IF(Table1[[#This Row],[Delay_Days]] &gt; 4, "High Risk", IF(Table1[[#This Row],[Delay_Days]] &gt; 0, "Medium Risk", "Low Risk"))</f>
        <v>High Risk</v>
      </c>
    </row>
    <row r="118" spans="1:20" x14ac:dyDescent="0.25">
      <c r="A118" t="s">
        <v>143</v>
      </c>
      <c r="B118" t="s">
        <v>804</v>
      </c>
      <c r="C118" s="1">
        <v>44708</v>
      </c>
      <c r="D118" s="1">
        <v>44719</v>
      </c>
      <c r="E118" t="s">
        <v>24</v>
      </c>
      <c r="F118" t="s">
        <v>18</v>
      </c>
      <c r="G118">
        <v>1822</v>
      </c>
      <c r="H118" s="5">
        <v>53.23</v>
      </c>
      <c r="I118" s="5">
        <v>47.49</v>
      </c>
      <c r="J118">
        <v>39</v>
      </c>
      <c r="K118" t="s">
        <v>15</v>
      </c>
      <c r="L118">
        <f t="shared" si="7"/>
        <v>11</v>
      </c>
      <c r="M118">
        <v>11</v>
      </c>
      <c r="N118">
        <f t="shared" si="4"/>
        <v>0</v>
      </c>
      <c r="O118" t="str">
        <f xml:space="preserve"> IF(AND(Table1[[#This Row],[Actual_Lead_Time]] &lt;= Table1[[#This Row],[Standard_Lead_Time]], OR(ISBLANK(J118), J118 = 0)), "OTIF", "Non-OTIF")</f>
        <v>Non-OTIF</v>
      </c>
      <c r="P118">
        <f>IF(Table1[[#This Row],[OTIF_Status]] = "OTIF", 1, 0)</f>
        <v>0</v>
      </c>
      <c r="Q118" s="5">
        <f t="shared" si="5"/>
        <v>96985.06</v>
      </c>
      <c r="R118" s="5">
        <f t="shared" si="6"/>
        <v>86526.78</v>
      </c>
      <c r="S118" s="5">
        <f>Table1[[#This Row],[Total_Line_Spend]]-Table1[[#This Row],[Negotiated_Total]]</f>
        <v>10458.279999999999</v>
      </c>
      <c r="T118" t="str">
        <f xml:space="preserve"> IF(Table1[[#This Row],[Delay_Days]] &gt; 4, "High Risk", IF(Table1[[#This Row],[Delay_Days]] &gt; 0, "Medium Risk", "Low Risk"))</f>
        <v>Low Risk</v>
      </c>
    </row>
    <row r="119" spans="1:20" x14ac:dyDescent="0.25">
      <c r="A119" t="s">
        <v>144</v>
      </c>
      <c r="B119" t="s">
        <v>805</v>
      </c>
      <c r="C119" s="1">
        <v>44833</v>
      </c>
      <c r="D119" s="1">
        <v>44847</v>
      </c>
      <c r="E119" t="s">
        <v>24</v>
      </c>
      <c r="F119" t="s">
        <v>18</v>
      </c>
      <c r="G119">
        <v>387</v>
      </c>
      <c r="H119" s="5">
        <v>49.23</v>
      </c>
      <c r="I119" s="5">
        <v>45.41</v>
      </c>
      <c r="J119">
        <v>61</v>
      </c>
      <c r="K119" t="s">
        <v>15</v>
      </c>
      <c r="L119">
        <f t="shared" si="7"/>
        <v>14</v>
      </c>
      <c r="M119">
        <v>11</v>
      </c>
      <c r="N119">
        <f t="shared" si="4"/>
        <v>3</v>
      </c>
      <c r="O119" t="str">
        <f xml:space="preserve"> IF(AND(Table1[[#This Row],[Actual_Lead_Time]] &lt;= Table1[[#This Row],[Standard_Lead_Time]], OR(ISBLANK(J119), J119 = 0)), "OTIF", "Non-OTIF")</f>
        <v>Non-OTIF</v>
      </c>
      <c r="P119">
        <f>IF(Table1[[#This Row],[OTIF_Status]] = "OTIF", 1, 0)</f>
        <v>0</v>
      </c>
      <c r="Q119" s="5">
        <f t="shared" si="5"/>
        <v>19052.009999999998</v>
      </c>
      <c r="R119" s="5">
        <f t="shared" si="6"/>
        <v>17573.669999999998</v>
      </c>
      <c r="S119" s="5">
        <f>Table1[[#This Row],[Total_Line_Spend]]-Table1[[#This Row],[Negotiated_Total]]</f>
        <v>1478.3400000000001</v>
      </c>
      <c r="T119" t="str">
        <f xml:space="preserve"> IF(Table1[[#This Row],[Delay_Days]] &gt; 4, "High Risk", IF(Table1[[#This Row],[Delay_Days]] &gt; 0, "Medium Risk", "Low Risk"))</f>
        <v>Medium Risk</v>
      </c>
    </row>
    <row r="120" spans="1:20" x14ac:dyDescent="0.25">
      <c r="A120" t="s">
        <v>145</v>
      </c>
      <c r="B120" t="s">
        <v>808</v>
      </c>
      <c r="C120" s="1">
        <v>44704</v>
      </c>
      <c r="D120" s="1">
        <v>44708</v>
      </c>
      <c r="E120" t="s">
        <v>21</v>
      </c>
      <c r="F120" t="s">
        <v>18</v>
      </c>
      <c r="G120">
        <v>928</v>
      </c>
      <c r="H120" s="5">
        <v>35.299999999999997</v>
      </c>
      <c r="I120" s="5">
        <v>32.520000000000003</v>
      </c>
      <c r="J120">
        <v>26</v>
      </c>
      <c r="K120" t="s">
        <v>15</v>
      </c>
      <c r="L120">
        <f t="shared" si="7"/>
        <v>4</v>
      </c>
      <c r="M120">
        <v>11</v>
      </c>
      <c r="N120">
        <f t="shared" si="4"/>
        <v>0</v>
      </c>
      <c r="O120" t="str">
        <f xml:space="preserve"> IF(AND(Table1[[#This Row],[Actual_Lead_Time]] &lt;= Table1[[#This Row],[Standard_Lead_Time]], OR(ISBLANK(J120), J120 = 0)), "OTIF", "Non-OTIF")</f>
        <v>Non-OTIF</v>
      </c>
      <c r="P120">
        <f>IF(Table1[[#This Row],[OTIF_Status]] = "OTIF", 1, 0)</f>
        <v>0</v>
      </c>
      <c r="Q120" s="5">
        <f t="shared" si="5"/>
        <v>32758.399999999998</v>
      </c>
      <c r="R120" s="5">
        <f t="shared" si="6"/>
        <v>30178.560000000001</v>
      </c>
      <c r="S120" s="5">
        <f>Table1[[#This Row],[Total_Line_Spend]]-Table1[[#This Row],[Negotiated_Total]]</f>
        <v>2579.8399999999965</v>
      </c>
      <c r="T120" t="str">
        <f xml:space="preserve"> IF(Table1[[#This Row],[Delay_Days]] &gt; 4, "High Risk", IF(Table1[[#This Row],[Delay_Days]] &gt; 0, "Medium Risk", "Low Risk"))</f>
        <v>Low Risk</v>
      </c>
    </row>
    <row r="121" spans="1:20" x14ac:dyDescent="0.25">
      <c r="A121" t="s">
        <v>146</v>
      </c>
      <c r="B121" t="s">
        <v>804</v>
      </c>
      <c r="C121" s="1">
        <v>44814</v>
      </c>
      <c r="D121" s="1">
        <v>44825</v>
      </c>
      <c r="E121" t="s">
        <v>24</v>
      </c>
      <c r="F121" t="s">
        <v>33</v>
      </c>
      <c r="G121">
        <v>1126</v>
      </c>
      <c r="H121" s="5">
        <v>15.68</v>
      </c>
      <c r="I121" s="5">
        <v>14.97</v>
      </c>
      <c r="J121">
        <v>27</v>
      </c>
      <c r="K121" t="s">
        <v>15</v>
      </c>
      <c r="L121">
        <f t="shared" si="7"/>
        <v>11</v>
      </c>
      <c r="M121">
        <v>11</v>
      </c>
      <c r="N121">
        <f t="shared" si="4"/>
        <v>0</v>
      </c>
      <c r="O121" t="str">
        <f xml:space="preserve"> IF(AND(Table1[[#This Row],[Actual_Lead_Time]] &lt;= Table1[[#This Row],[Standard_Lead_Time]], OR(ISBLANK(J121), J121 = 0)), "OTIF", "Non-OTIF")</f>
        <v>Non-OTIF</v>
      </c>
      <c r="P121">
        <f>IF(Table1[[#This Row],[OTIF_Status]] = "OTIF", 1, 0)</f>
        <v>0</v>
      </c>
      <c r="Q121" s="5">
        <f t="shared" si="5"/>
        <v>17655.68</v>
      </c>
      <c r="R121" s="5">
        <f t="shared" si="6"/>
        <v>16856.22</v>
      </c>
      <c r="S121" s="5">
        <f>Table1[[#This Row],[Total_Line_Spend]]-Table1[[#This Row],[Negotiated_Total]]</f>
        <v>799.45999999999913</v>
      </c>
      <c r="T121" t="str">
        <f xml:space="preserve"> IF(Table1[[#This Row],[Delay_Days]] &gt; 4, "High Risk", IF(Table1[[#This Row],[Delay_Days]] &gt; 0, "Medium Risk", "Low Risk"))</f>
        <v>Low Risk</v>
      </c>
    </row>
    <row r="122" spans="1:20" x14ac:dyDescent="0.25">
      <c r="A122" t="s">
        <v>147</v>
      </c>
      <c r="B122" t="s">
        <v>807</v>
      </c>
      <c r="C122" s="1">
        <v>45136</v>
      </c>
      <c r="D122" s="1">
        <v>45152</v>
      </c>
      <c r="E122" t="s">
        <v>26</v>
      </c>
      <c r="F122" t="s">
        <v>14</v>
      </c>
      <c r="G122">
        <v>841</v>
      </c>
      <c r="H122" s="5">
        <v>95.73</v>
      </c>
      <c r="I122" s="5">
        <v>85.33</v>
      </c>
      <c r="J122">
        <v>81</v>
      </c>
      <c r="K122" t="s">
        <v>15</v>
      </c>
      <c r="L122">
        <f t="shared" si="7"/>
        <v>16</v>
      </c>
      <c r="M122">
        <v>11</v>
      </c>
      <c r="N122">
        <f t="shared" si="4"/>
        <v>5</v>
      </c>
      <c r="O122" t="str">
        <f xml:space="preserve"> IF(AND(Table1[[#This Row],[Actual_Lead_Time]] &lt;= Table1[[#This Row],[Standard_Lead_Time]], OR(ISBLANK(J122), J122 = 0)), "OTIF", "Non-OTIF")</f>
        <v>Non-OTIF</v>
      </c>
      <c r="P122">
        <f>IF(Table1[[#This Row],[OTIF_Status]] = "OTIF", 1, 0)</f>
        <v>0</v>
      </c>
      <c r="Q122" s="5">
        <f t="shared" si="5"/>
        <v>80508.930000000008</v>
      </c>
      <c r="R122" s="5">
        <f t="shared" si="6"/>
        <v>71762.53</v>
      </c>
      <c r="S122" s="5">
        <f>Table1[[#This Row],[Total_Line_Spend]]-Table1[[#This Row],[Negotiated_Total]]</f>
        <v>8746.4000000000087</v>
      </c>
      <c r="T122" t="str">
        <f xml:space="preserve"> IF(Table1[[#This Row],[Delay_Days]] &gt; 4, "High Risk", IF(Table1[[#This Row],[Delay_Days]] &gt; 0, "Medium Risk", "Low Risk"))</f>
        <v>High Risk</v>
      </c>
    </row>
    <row r="123" spans="1:20" x14ac:dyDescent="0.25">
      <c r="A123" t="s">
        <v>148</v>
      </c>
      <c r="B123" t="s">
        <v>807</v>
      </c>
      <c r="C123" s="1">
        <v>45113</v>
      </c>
      <c r="D123" s="1">
        <v>45126</v>
      </c>
      <c r="E123" t="s">
        <v>39</v>
      </c>
      <c r="F123" t="s">
        <v>18</v>
      </c>
      <c r="G123">
        <v>1995</v>
      </c>
      <c r="H123" s="5">
        <v>90.65</v>
      </c>
      <c r="I123" s="5">
        <v>77.75</v>
      </c>
      <c r="J123">
        <v>206</v>
      </c>
      <c r="K123" t="s">
        <v>15</v>
      </c>
      <c r="L123">
        <f t="shared" si="7"/>
        <v>13</v>
      </c>
      <c r="M123">
        <v>11</v>
      </c>
      <c r="N123">
        <f t="shared" si="4"/>
        <v>2</v>
      </c>
      <c r="O123" t="str">
        <f xml:space="preserve"> IF(AND(Table1[[#This Row],[Actual_Lead_Time]] &lt;= Table1[[#This Row],[Standard_Lead_Time]], OR(ISBLANK(J123), J123 = 0)), "OTIF", "Non-OTIF")</f>
        <v>Non-OTIF</v>
      </c>
      <c r="P123">
        <f>IF(Table1[[#This Row],[OTIF_Status]] = "OTIF", 1, 0)</f>
        <v>0</v>
      </c>
      <c r="Q123" s="5">
        <f t="shared" si="5"/>
        <v>180846.75</v>
      </c>
      <c r="R123" s="5">
        <f t="shared" si="6"/>
        <v>155111.25</v>
      </c>
      <c r="S123" s="5">
        <f>Table1[[#This Row],[Total_Line_Spend]]-Table1[[#This Row],[Negotiated_Total]]</f>
        <v>25735.5</v>
      </c>
      <c r="T123" t="str">
        <f xml:space="preserve"> IF(Table1[[#This Row],[Delay_Days]] &gt; 4, "High Risk", IF(Table1[[#This Row],[Delay_Days]] &gt; 0, "Medium Risk", "Low Risk"))</f>
        <v>Medium Risk</v>
      </c>
    </row>
    <row r="124" spans="1:20" x14ac:dyDescent="0.25">
      <c r="A124" t="s">
        <v>149</v>
      </c>
      <c r="B124" t="s">
        <v>804</v>
      </c>
      <c r="C124" s="1">
        <v>44831</v>
      </c>
      <c r="D124" s="1">
        <v>44849</v>
      </c>
      <c r="E124" t="s">
        <v>26</v>
      </c>
      <c r="F124" t="s">
        <v>18</v>
      </c>
      <c r="G124">
        <v>266</v>
      </c>
      <c r="H124" s="5">
        <v>103.97</v>
      </c>
      <c r="I124" s="5">
        <v>101.44</v>
      </c>
      <c r="J124">
        <v>6</v>
      </c>
      <c r="K124" t="s">
        <v>15</v>
      </c>
      <c r="L124">
        <f t="shared" si="7"/>
        <v>18</v>
      </c>
      <c r="M124">
        <v>11</v>
      </c>
      <c r="N124">
        <f t="shared" si="4"/>
        <v>7</v>
      </c>
      <c r="O124" t="str">
        <f xml:space="preserve"> IF(AND(Table1[[#This Row],[Actual_Lead_Time]] &lt;= Table1[[#This Row],[Standard_Lead_Time]], OR(ISBLANK(J124), J124 = 0)), "OTIF", "Non-OTIF")</f>
        <v>Non-OTIF</v>
      </c>
      <c r="P124">
        <f>IF(Table1[[#This Row],[OTIF_Status]] = "OTIF", 1, 0)</f>
        <v>0</v>
      </c>
      <c r="Q124" s="5">
        <f t="shared" si="5"/>
        <v>27656.02</v>
      </c>
      <c r="R124" s="5">
        <f t="shared" si="6"/>
        <v>26983.040000000001</v>
      </c>
      <c r="S124" s="5">
        <f>Table1[[#This Row],[Total_Line_Spend]]-Table1[[#This Row],[Negotiated_Total]]</f>
        <v>672.97999999999956</v>
      </c>
      <c r="T124" t="str">
        <f xml:space="preserve"> IF(Table1[[#This Row],[Delay_Days]] &gt; 4, "High Risk", IF(Table1[[#This Row],[Delay_Days]] &gt; 0, "Medium Risk", "Low Risk"))</f>
        <v>High Risk</v>
      </c>
    </row>
    <row r="125" spans="1:20" x14ac:dyDescent="0.25">
      <c r="A125" t="s">
        <v>150</v>
      </c>
      <c r="B125" t="s">
        <v>804</v>
      </c>
      <c r="C125" s="1">
        <v>45160</v>
      </c>
      <c r="D125" s="1">
        <v>45163</v>
      </c>
      <c r="E125" t="s">
        <v>26</v>
      </c>
      <c r="F125" t="s">
        <v>14</v>
      </c>
      <c r="G125">
        <v>813</v>
      </c>
      <c r="H125" s="5">
        <v>109.17</v>
      </c>
      <c r="I125" s="5">
        <v>107.39</v>
      </c>
      <c r="J125">
        <v>14</v>
      </c>
      <c r="K125" t="s">
        <v>15</v>
      </c>
      <c r="L125">
        <f t="shared" si="7"/>
        <v>3</v>
      </c>
      <c r="M125">
        <v>11</v>
      </c>
      <c r="N125">
        <f t="shared" si="4"/>
        <v>0</v>
      </c>
      <c r="O125" t="str">
        <f xml:space="preserve"> IF(AND(Table1[[#This Row],[Actual_Lead_Time]] &lt;= Table1[[#This Row],[Standard_Lead_Time]], OR(ISBLANK(J125), J125 = 0)), "OTIF", "Non-OTIF")</f>
        <v>Non-OTIF</v>
      </c>
      <c r="P125">
        <f>IF(Table1[[#This Row],[OTIF_Status]] = "OTIF", 1, 0)</f>
        <v>0</v>
      </c>
      <c r="Q125" s="5">
        <f t="shared" si="5"/>
        <v>88755.21</v>
      </c>
      <c r="R125" s="5">
        <f t="shared" si="6"/>
        <v>87308.07</v>
      </c>
      <c r="S125" s="5">
        <f>Table1[[#This Row],[Total_Line_Spend]]-Table1[[#This Row],[Negotiated_Total]]</f>
        <v>1447.1399999999994</v>
      </c>
      <c r="T125" t="str">
        <f xml:space="preserve"> IF(Table1[[#This Row],[Delay_Days]] &gt; 4, "High Risk", IF(Table1[[#This Row],[Delay_Days]] &gt; 0, "Medium Risk", "Low Risk"))</f>
        <v>Low Risk</v>
      </c>
    </row>
    <row r="126" spans="1:20" x14ac:dyDescent="0.25">
      <c r="A126" t="s">
        <v>151</v>
      </c>
      <c r="B126" t="s">
        <v>808</v>
      </c>
      <c r="C126" s="1">
        <v>45000</v>
      </c>
      <c r="D126" s="1">
        <v>45011</v>
      </c>
      <c r="E126" t="s">
        <v>39</v>
      </c>
      <c r="F126" t="s">
        <v>18</v>
      </c>
      <c r="G126">
        <v>237</v>
      </c>
      <c r="H126" s="5">
        <v>64.19</v>
      </c>
      <c r="I126" s="5">
        <v>59.01</v>
      </c>
      <c r="J126">
        <v>7</v>
      </c>
      <c r="K126" t="s">
        <v>15</v>
      </c>
      <c r="L126">
        <f t="shared" si="7"/>
        <v>11</v>
      </c>
      <c r="M126">
        <v>11</v>
      </c>
      <c r="N126">
        <f t="shared" si="4"/>
        <v>0</v>
      </c>
      <c r="O126" t="str">
        <f xml:space="preserve"> IF(AND(Table1[[#This Row],[Actual_Lead_Time]] &lt;= Table1[[#This Row],[Standard_Lead_Time]], OR(ISBLANK(J126), J126 = 0)), "OTIF", "Non-OTIF")</f>
        <v>Non-OTIF</v>
      </c>
      <c r="P126">
        <f>IF(Table1[[#This Row],[OTIF_Status]] = "OTIF", 1, 0)</f>
        <v>0</v>
      </c>
      <c r="Q126" s="5">
        <f t="shared" si="5"/>
        <v>15213.029999999999</v>
      </c>
      <c r="R126" s="5">
        <f t="shared" si="6"/>
        <v>13985.369999999999</v>
      </c>
      <c r="S126" s="5">
        <f>Table1[[#This Row],[Total_Line_Spend]]-Table1[[#This Row],[Negotiated_Total]]</f>
        <v>1227.6599999999999</v>
      </c>
      <c r="T126" t="str">
        <f xml:space="preserve"> IF(Table1[[#This Row],[Delay_Days]] &gt; 4, "High Risk", IF(Table1[[#This Row],[Delay_Days]] &gt; 0, "Medium Risk", "Low Risk"))</f>
        <v>Low Risk</v>
      </c>
    </row>
    <row r="127" spans="1:20" x14ac:dyDescent="0.25">
      <c r="A127" t="s">
        <v>152</v>
      </c>
      <c r="B127" t="s">
        <v>804</v>
      </c>
      <c r="C127" s="1">
        <v>45159</v>
      </c>
      <c r="D127" s="1">
        <v>45172</v>
      </c>
      <c r="E127" t="s">
        <v>13</v>
      </c>
      <c r="F127" t="s">
        <v>14</v>
      </c>
      <c r="G127">
        <v>429</v>
      </c>
      <c r="H127" s="5">
        <v>86.73</v>
      </c>
      <c r="I127" s="5">
        <v>75.09</v>
      </c>
      <c r="J127">
        <v>9</v>
      </c>
      <c r="K127" t="s">
        <v>15</v>
      </c>
      <c r="L127">
        <f t="shared" si="7"/>
        <v>13</v>
      </c>
      <c r="M127">
        <v>11</v>
      </c>
      <c r="N127">
        <f t="shared" si="4"/>
        <v>2</v>
      </c>
      <c r="O127" t="str">
        <f xml:space="preserve"> IF(AND(Table1[[#This Row],[Actual_Lead_Time]] &lt;= Table1[[#This Row],[Standard_Lead_Time]], OR(ISBLANK(J127), J127 = 0)), "OTIF", "Non-OTIF")</f>
        <v>Non-OTIF</v>
      </c>
      <c r="P127">
        <f>IF(Table1[[#This Row],[OTIF_Status]] = "OTIF", 1, 0)</f>
        <v>0</v>
      </c>
      <c r="Q127" s="5">
        <f t="shared" si="5"/>
        <v>37207.17</v>
      </c>
      <c r="R127" s="5">
        <f t="shared" si="6"/>
        <v>32213.61</v>
      </c>
      <c r="S127" s="5">
        <f>Table1[[#This Row],[Total_Line_Spend]]-Table1[[#This Row],[Negotiated_Total]]</f>
        <v>4993.5599999999977</v>
      </c>
      <c r="T127" t="str">
        <f xml:space="preserve"> IF(Table1[[#This Row],[Delay_Days]] &gt; 4, "High Risk", IF(Table1[[#This Row],[Delay_Days]] &gt; 0, "Medium Risk", "Low Risk"))</f>
        <v>Medium Risk</v>
      </c>
    </row>
    <row r="128" spans="1:20" x14ac:dyDescent="0.25">
      <c r="A128" t="s">
        <v>153</v>
      </c>
      <c r="B128" t="s">
        <v>805</v>
      </c>
      <c r="C128" s="1">
        <v>44970</v>
      </c>
      <c r="D128" s="1">
        <v>44971</v>
      </c>
      <c r="E128" t="s">
        <v>24</v>
      </c>
      <c r="F128" t="s">
        <v>18</v>
      </c>
      <c r="G128">
        <v>542</v>
      </c>
      <c r="H128" s="5">
        <v>101.21</v>
      </c>
      <c r="I128" s="5">
        <v>93.11</v>
      </c>
      <c r="J128">
        <v>78</v>
      </c>
      <c r="K128" t="s">
        <v>27</v>
      </c>
      <c r="L128">
        <f t="shared" si="7"/>
        <v>1</v>
      </c>
      <c r="M128">
        <v>11</v>
      </c>
      <c r="N128">
        <f t="shared" si="4"/>
        <v>0</v>
      </c>
      <c r="O128" t="str">
        <f xml:space="preserve"> IF(AND(Table1[[#This Row],[Actual_Lead_Time]] &lt;= Table1[[#This Row],[Standard_Lead_Time]], OR(ISBLANK(J128), J128 = 0)), "OTIF", "Non-OTIF")</f>
        <v>Non-OTIF</v>
      </c>
      <c r="P128">
        <f>IF(Table1[[#This Row],[OTIF_Status]] = "OTIF", 1, 0)</f>
        <v>0</v>
      </c>
      <c r="Q128" s="5">
        <f t="shared" si="5"/>
        <v>54855.82</v>
      </c>
      <c r="R128" s="5">
        <f t="shared" si="6"/>
        <v>50465.62</v>
      </c>
      <c r="S128" s="5">
        <f>Table1[[#This Row],[Total_Line_Spend]]-Table1[[#This Row],[Negotiated_Total]]</f>
        <v>4390.1999999999971</v>
      </c>
      <c r="T128" t="str">
        <f xml:space="preserve"> IF(Table1[[#This Row],[Delay_Days]] &gt; 4, "High Risk", IF(Table1[[#This Row],[Delay_Days]] &gt; 0, "Medium Risk", "Low Risk"))</f>
        <v>Low Risk</v>
      </c>
    </row>
    <row r="129" spans="1:20" x14ac:dyDescent="0.25">
      <c r="A129" t="s">
        <v>154</v>
      </c>
      <c r="B129" t="s">
        <v>808</v>
      </c>
      <c r="C129" s="1">
        <v>44932</v>
      </c>
      <c r="D129" s="1">
        <v>44950</v>
      </c>
      <c r="E129" t="s">
        <v>39</v>
      </c>
      <c r="F129" t="s">
        <v>18</v>
      </c>
      <c r="G129">
        <v>1114</v>
      </c>
      <c r="H129" s="5">
        <v>91.66</v>
      </c>
      <c r="I129" s="5">
        <v>85.53</v>
      </c>
      <c r="J129">
        <v>35</v>
      </c>
      <c r="K129" t="s">
        <v>15</v>
      </c>
      <c r="L129">
        <f t="shared" si="7"/>
        <v>18</v>
      </c>
      <c r="M129">
        <v>11</v>
      </c>
      <c r="N129">
        <f t="shared" si="4"/>
        <v>7</v>
      </c>
      <c r="O129" t="str">
        <f xml:space="preserve"> IF(AND(Table1[[#This Row],[Actual_Lead_Time]] &lt;= Table1[[#This Row],[Standard_Lead_Time]], OR(ISBLANK(J129), J129 = 0)), "OTIF", "Non-OTIF")</f>
        <v>Non-OTIF</v>
      </c>
      <c r="P129">
        <f>IF(Table1[[#This Row],[OTIF_Status]] = "OTIF", 1, 0)</f>
        <v>0</v>
      </c>
      <c r="Q129" s="5">
        <f t="shared" si="5"/>
        <v>102109.23999999999</v>
      </c>
      <c r="R129" s="5">
        <f t="shared" si="6"/>
        <v>95280.42</v>
      </c>
      <c r="S129" s="5">
        <f>Table1[[#This Row],[Total_Line_Spend]]-Table1[[#This Row],[Negotiated_Total]]</f>
        <v>6828.8199999999924</v>
      </c>
      <c r="T129" t="str">
        <f xml:space="preserve"> IF(Table1[[#This Row],[Delay_Days]] &gt; 4, "High Risk", IF(Table1[[#This Row],[Delay_Days]] &gt; 0, "Medium Risk", "Low Risk"))</f>
        <v>High Risk</v>
      </c>
    </row>
    <row r="130" spans="1:20" x14ac:dyDescent="0.25">
      <c r="A130" t="s">
        <v>155</v>
      </c>
      <c r="B130" t="s">
        <v>804</v>
      </c>
      <c r="C130" s="1">
        <v>44786</v>
      </c>
      <c r="D130" s="1">
        <v>44788</v>
      </c>
      <c r="E130" t="s">
        <v>21</v>
      </c>
      <c r="F130" t="s">
        <v>18</v>
      </c>
      <c r="G130">
        <v>1230</v>
      </c>
      <c r="H130" s="5">
        <v>33.39</v>
      </c>
      <c r="I130" s="5">
        <v>30.85</v>
      </c>
      <c r="J130">
        <v>26</v>
      </c>
      <c r="K130" t="s">
        <v>15</v>
      </c>
      <c r="L130">
        <f t="shared" si="7"/>
        <v>2</v>
      </c>
      <c r="M130">
        <v>11</v>
      </c>
      <c r="N130">
        <f t="shared" ref="N130:N193" si="8">MAX(0, L130-M130)</f>
        <v>0</v>
      </c>
      <c r="O130" t="str">
        <f xml:space="preserve"> IF(AND(Table1[[#This Row],[Actual_Lead_Time]] &lt;= Table1[[#This Row],[Standard_Lead_Time]], OR(ISBLANK(J130), J130 = 0)), "OTIF", "Non-OTIF")</f>
        <v>Non-OTIF</v>
      </c>
      <c r="P130">
        <f>IF(Table1[[#This Row],[OTIF_Status]] = "OTIF", 1, 0)</f>
        <v>0</v>
      </c>
      <c r="Q130" s="5">
        <f t="shared" ref="Q130:Q193" si="9" xml:space="preserve"> IFERROR(G130 * H130, 0)</f>
        <v>41069.699999999997</v>
      </c>
      <c r="R130" s="5">
        <f t="shared" ref="R130:R193" si="10" xml:space="preserve"> IFERROR(G130 * I130, 0)</f>
        <v>37945.5</v>
      </c>
      <c r="S130" s="5">
        <f>Table1[[#This Row],[Total_Line_Spend]]-Table1[[#This Row],[Negotiated_Total]]</f>
        <v>3124.1999999999971</v>
      </c>
      <c r="T130" t="str">
        <f xml:space="preserve"> IF(Table1[[#This Row],[Delay_Days]] &gt; 4, "High Risk", IF(Table1[[#This Row],[Delay_Days]] &gt; 0, "Medium Risk", "Low Risk"))</f>
        <v>Low Risk</v>
      </c>
    </row>
    <row r="131" spans="1:20" x14ac:dyDescent="0.25">
      <c r="A131" t="s">
        <v>156</v>
      </c>
      <c r="B131" t="s">
        <v>807</v>
      </c>
      <c r="C131" s="1">
        <v>44703</v>
      </c>
      <c r="D131" s="1">
        <v>44715</v>
      </c>
      <c r="E131" t="s">
        <v>21</v>
      </c>
      <c r="F131" t="s">
        <v>18</v>
      </c>
      <c r="G131">
        <v>64</v>
      </c>
      <c r="H131" s="5">
        <v>51.56</v>
      </c>
      <c r="I131" s="5">
        <v>50.88</v>
      </c>
      <c r="J131">
        <v>5</v>
      </c>
      <c r="K131" t="s">
        <v>15</v>
      </c>
      <c r="L131">
        <f t="shared" ref="L131:L194" si="11" xml:space="preserve"> INT(D131) - INT(C131)</f>
        <v>12</v>
      </c>
      <c r="M131">
        <v>11</v>
      </c>
      <c r="N131">
        <f t="shared" si="8"/>
        <v>1</v>
      </c>
      <c r="O131" t="str">
        <f xml:space="preserve"> IF(AND(Table1[[#This Row],[Actual_Lead_Time]] &lt;= Table1[[#This Row],[Standard_Lead_Time]], OR(ISBLANK(J131), J131 = 0)), "OTIF", "Non-OTIF")</f>
        <v>Non-OTIF</v>
      </c>
      <c r="P131">
        <f>IF(Table1[[#This Row],[OTIF_Status]] = "OTIF", 1, 0)</f>
        <v>0</v>
      </c>
      <c r="Q131" s="5">
        <f t="shared" si="9"/>
        <v>3299.84</v>
      </c>
      <c r="R131" s="5">
        <f t="shared" si="10"/>
        <v>3256.32</v>
      </c>
      <c r="S131" s="5">
        <f>Table1[[#This Row],[Total_Line_Spend]]-Table1[[#This Row],[Negotiated_Total]]</f>
        <v>43.519999999999982</v>
      </c>
      <c r="T131" t="str">
        <f xml:space="preserve"> IF(Table1[[#This Row],[Delay_Days]] &gt; 4, "High Risk", IF(Table1[[#This Row],[Delay_Days]] &gt; 0, "Medium Risk", "Low Risk"))</f>
        <v>Medium Risk</v>
      </c>
    </row>
    <row r="132" spans="1:20" x14ac:dyDescent="0.25">
      <c r="A132" t="s">
        <v>157</v>
      </c>
      <c r="B132" t="s">
        <v>804</v>
      </c>
      <c r="C132" s="1">
        <v>45083</v>
      </c>
      <c r="D132" s="1">
        <v>45099</v>
      </c>
      <c r="E132" t="s">
        <v>21</v>
      </c>
      <c r="F132" t="s">
        <v>18</v>
      </c>
      <c r="G132">
        <v>1886</v>
      </c>
      <c r="H132" s="5">
        <v>23.46</v>
      </c>
      <c r="I132" s="5">
        <v>23.18</v>
      </c>
      <c r="K132" t="s">
        <v>15</v>
      </c>
      <c r="L132">
        <f t="shared" si="11"/>
        <v>16</v>
      </c>
      <c r="M132">
        <v>11</v>
      </c>
      <c r="N132">
        <f t="shared" si="8"/>
        <v>5</v>
      </c>
      <c r="O132" t="str">
        <f xml:space="preserve"> IF(AND(Table1[[#This Row],[Actual_Lead_Time]] &lt;= Table1[[#This Row],[Standard_Lead_Time]], OR(ISBLANK(J132), J132 = 0)), "OTIF", "Non-OTIF")</f>
        <v>Non-OTIF</v>
      </c>
      <c r="P132">
        <f>IF(Table1[[#This Row],[OTIF_Status]] = "OTIF", 1, 0)</f>
        <v>0</v>
      </c>
      <c r="Q132" s="5">
        <f t="shared" si="9"/>
        <v>44245.560000000005</v>
      </c>
      <c r="R132" s="5">
        <f t="shared" si="10"/>
        <v>43717.479999999996</v>
      </c>
      <c r="S132" s="5">
        <f>Table1[[#This Row],[Total_Line_Spend]]-Table1[[#This Row],[Negotiated_Total]]</f>
        <v>528.08000000000902</v>
      </c>
      <c r="T132" t="str">
        <f xml:space="preserve"> IF(Table1[[#This Row],[Delay_Days]] &gt; 4, "High Risk", IF(Table1[[#This Row],[Delay_Days]] &gt; 0, "Medium Risk", "Low Risk"))</f>
        <v>High Risk</v>
      </c>
    </row>
    <row r="133" spans="1:20" x14ac:dyDescent="0.25">
      <c r="A133" t="s">
        <v>158</v>
      </c>
      <c r="B133" t="s">
        <v>805</v>
      </c>
      <c r="C133" s="1">
        <v>45067</v>
      </c>
      <c r="D133" s="1">
        <v>45069</v>
      </c>
      <c r="E133" t="s">
        <v>13</v>
      </c>
      <c r="F133" t="s">
        <v>18</v>
      </c>
      <c r="G133">
        <v>114</v>
      </c>
      <c r="H133" s="5">
        <v>103.53</v>
      </c>
      <c r="I133" s="5">
        <v>101.54</v>
      </c>
      <c r="J133">
        <v>14</v>
      </c>
      <c r="K133" t="s">
        <v>15</v>
      </c>
      <c r="L133">
        <f t="shared" si="11"/>
        <v>2</v>
      </c>
      <c r="M133">
        <v>11</v>
      </c>
      <c r="N133">
        <f t="shared" si="8"/>
        <v>0</v>
      </c>
      <c r="O133" t="str">
        <f xml:space="preserve"> IF(AND(Table1[[#This Row],[Actual_Lead_Time]] &lt;= Table1[[#This Row],[Standard_Lead_Time]], OR(ISBLANK(J133), J133 = 0)), "OTIF", "Non-OTIF")</f>
        <v>Non-OTIF</v>
      </c>
      <c r="P133">
        <f>IF(Table1[[#This Row],[OTIF_Status]] = "OTIF", 1, 0)</f>
        <v>0</v>
      </c>
      <c r="Q133" s="5">
        <f t="shared" si="9"/>
        <v>11802.42</v>
      </c>
      <c r="R133" s="5">
        <f t="shared" si="10"/>
        <v>11575.560000000001</v>
      </c>
      <c r="S133" s="5">
        <f>Table1[[#This Row],[Total_Line_Spend]]-Table1[[#This Row],[Negotiated_Total]]</f>
        <v>226.85999999999876</v>
      </c>
      <c r="T133" t="str">
        <f xml:space="preserve"> IF(Table1[[#This Row],[Delay_Days]] &gt; 4, "High Risk", IF(Table1[[#This Row],[Delay_Days]] &gt; 0, "Medium Risk", "Low Risk"))</f>
        <v>Low Risk</v>
      </c>
    </row>
    <row r="134" spans="1:20" x14ac:dyDescent="0.25">
      <c r="A134" t="s">
        <v>159</v>
      </c>
      <c r="B134" t="s">
        <v>805</v>
      </c>
      <c r="C134" s="1">
        <v>44655</v>
      </c>
      <c r="D134" s="1">
        <v>44673</v>
      </c>
      <c r="E134" t="s">
        <v>39</v>
      </c>
      <c r="F134" t="s">
        <v>14</v>
      </c>
      <c r="G134">
        <v>1930</v>
      </c>
      <c r="H134" s="5">
        <v>65.52</v>
      </c>
      <c r="I134" s="5">
        <v>56.9</v>
      </c>
      <c r="J134">
        <v>282</v>
      </c>
      <c r="K134" t="s">
        <v>15</v>
      </c>
      <c r="L134">
        <f t="shared" si="11"/>
        <v>18</v>
      </c>
      <c r="M134">
        <v>11</v>
      </c>
      <c r="N134">
        <f t="shared" si="8"/>
        <v>7</v>
      </c>
      <c r="O134" t="str">
        <f xml:space="preserve"> IF(AND(Table1[[#This Row],[Actual_Lead_Time]] &lt;= Table1[[#This Row],[Standard_Lead_Time]], OR(ISBLANK(J134), J134 = 0)), "OTIF", "Non-OTIF")</f>
        <v>Non-OTIF</v>
      </c>
      <c r="P134">
        <f>IF(Table1[[#This Row],[OTIF_Status]] = "OTIF", 1, 0)</f>
        <v>0</v>
      </c>
      <c r="Q134" s="5">
        <f t="shared" si="9"/>
        <v>126453.59999999999</v>
      </c>
      <c r="R134" s="5">
        <f t="shared" si="10"/>
        <v>109817</v>
      </c>
      <c r="S134" s="5">
        <f>Table1[[#This Row],[Total_Line_Spend]]-Table1[[#This Row],[Negotiated_Total]]</f>
        <v>16636.599999999991</v>
      </c>
      <c r="T134" t="str">
        <f xml:space="preserve"> IF(Table1[[#This Row],[Delay_Days]] &gt; 4, "High Risk", IF(Table1[[#This Row],[Delay_Days]] &gt; 0, "Medium Risk", "Low Risk"))</f>
        <v>High Risk</v>
      </c>
    </row>
    <row r="135" spans="1:20" x14ac:dyDescent="0.25">
      <c r="A135" t="s">
        <v>160</v>
      </c>
      <c r="B135" t="s">
        <v>807</v>
      </c>
      <c r="C135" s="1">
        <v>44610</v>
      </c>
      <c r="D135" s="1">
        <v>44620</v>
      </c>
      <c r="E135" t="s">
        <v>13</v>
      </c>
      <c r="F135" t="s">
        <v>35</v>
      </c>
      <c r="G135">
        <v>1912</v>
      </c>
      <c r="H135" s="5">
        <v>30.73</v>
      </c>
      <c r="I135" s="5">
        <v>29.82</v>
      </c>
      <c r="J135">
        <v>191</v>
      </c>
      <c r="K135" t="s">
        <v>15</v>
      </c>
      <c r="L135">
        <f t="shared" si="11"/>
        <v>10</v>
      </c>
      <c r="M135">
        <v>11</v>
      </c>
      <c r="N135">
        <f t="shared" si="8"/>
        <v>0</v>
      </c>
      <c r="O135" t="str">
        <f xml:space="preserve"> IF(AND(Table1[[#This Row],[Actual_Lead_Time]] &lt;= Table1[[#This Row],[Standard_Lead_Time]], OR(ISBLANK(J135), J135 = 0)), "OTIF", "Non-OTIF")</f>
        <v>Non-OTIF</v>
      </c>
      <c r="P135">
        <f>IF(Table1[[#This Row],[OTIF_Status]] = "OTIF", 1, 0)</f>
        <v>0</v>
      </c>
      <c r="Q135" s="5">
        <f t="shared" si="9"/>
        <v>58755.76</v>
      </c>
      <c r="R135" s="5">
        <f t="shared" si="10"/>
        <v>57015.840000000004</v>
      </c>
      <c r="S135" s="5">
        <f>Table1[[#This Row],[Total_Line_Spend]]-Table1[[#This Row],[Negotiated_Total]]</f>
        <v>1739.9199999999983</v>
      </c>
      <c r="T135" t="str">
        <f xml:space="preserve"> IF(Table1[[#This Row],[Delay_Days]] &gt; 4, "High Risk", IF(Table1[[#This Row],[Delay_Days]] &gt; 0, "Medium Risk", "Low Risk"))</f>
        <v>Low Risk</v>
      </c>
    </row>
    <row r="136" spans="1:20" x14ac:dyDescent="0.25">
      <c r="A136" t="s">
        <v>161</v>
      </c>
      <c r="B136" t="s">
        <v>808</v>
      </c>
      <c r="C136" s="1">
        <v>44674</v>
      </c>
      <c r="D136" s="1">
        <v>44690</v>
      </c>
      <c r="E136" t="s">
        <v>21</v>
      </c>
      <c r="F136" t="s">
        <v>18</v>
      </c>
      <c r="G136">
        <v>570</v>
      </c>
      <c r="H136" s="5">
        <v>71.510000000000005</v>
      </c>
      <c r="I136" s="5">
        <v>66.47</v>
      </c>
      <c r="K136" t="s">
        <v>15</v>
      </c>
      <c r="L136">
        <f t="shared" si="11"/>
        <v>16</v>
      </c>
      <c r="M136">
        <v>11</v>
      </c>
      <c r="N136">
        <f t="shared" si="8"/>
        <v>5</v>
      </c>
      <c r="O136" t="str">
        <f xml:space="preserve"> IF(AND(Table1[[#This Row],[Actual_Lead_Time]] &lt;= Table1[[#This Row],[Standard_Lead_Time]], OR(ISBLANK(J136), J136 = 0)), "OTIF", "Non-OTIF")</f>
        <v>Non-OTIF</v>
      </c>
      <c r="P136">
        <f>IF(Table1[[#This Row],[OTIF_Status]] = "OTIF", 1, 0)</f>
        <v>0</v>
      </c>
      <c r="Q136" s="5">
        <f t="shared" si="9"/>
        <v>40760.700000000004</v>
      </c>
      <c r="R136" s="5">
        <f t="shared" si="10"/>
        <v>37887.9</v>
      </c>
      <c r="S136" s="5">
        <f>Table1[[#This Row],[Total_Line_Spend]]-Table1[[#This Row],[Negotiated_Total]]</f>
        <v>2872.8000000000029</v>
      </c>
      <c r="T136" t="str">
        <f xml:space="preserve"> IF(Table1[[#This Row],[Delay_Days]] &gt; 4, "High Risk", IF(Table1[[#This Row],[Delay_Days]] &gt; 0, "Medium Risk", "Low Risk"))</f>
        <v>High Risk</v>
      </c>
    </row>
    <row r="137" spans="1:20" x14ac:dyDescent="0.25">
      <c r="A137" t="s">
        <v>162</v>
      </c>
      <c r="B137" t="s">
        <v>807</v>
      </c>
      <c r="C137" s="1">
        <v>44718</v>
      </c>
      <c r="D137" s="1">
        <v>44738</v>
      </c>
      <c r="E137" t="s">
        <v>26</v>
      </c>
      <c r="F137" t="s">
        <v>18</v>
      </c>
      <c r="G137">
        <v>1417</v>
      </c>
      <c r="H137" s="5">
        <v>67.27</v>
      </c>
      <c r="I137" s="5">
        <v>60.62</v>
      </c>
      <c r="K137" t="s">
        <v>15</v>
      </c>
      <c r="L137">
        <f t="shared" si="11"/>
        <v>20</v>
      </c>
      <c r="M137">
        <v>11</v>
      </c>
      <c r="N137">
        <f t="shared" si="8"/>
        <v>9</v>
      </c>
      <c r="O137" t="str">
        <f xml:space="preserve"> IF(AND(Table1[[#This Row],[Actual_Lead_Time]] &lt;= Table1[[#This Row],[Standard_Lead_Time]], OR(ISBLANK(J137), J137 = 0)), "OTIF", "Non-OTIF")</f>
        <v>Non-OTIF</v>
      </c>
      <c r="P137">
        <f>IF(Table1[[#This Row],[OTIF_Status]] = "OTIF", 1, 0)</f>
        <v>0</v>
      </c>
      <c r="Q137" s="5">
        <f t="shared" si="9"/>
        <v>95321.59</v>
      </c>
      <c r="R137" s="5">
        <f t="shared" si="10"/>
        <v>85898.54</v>
      </c>
      <c r="S137" s="5">
        <f>Table1[[#This Row],[Total_Line_Spend]]-Table1[[#This Row],[Negotiated_Total]]</f>
        <v>9423.0500000000029</v>
      </c>
      <c r="T137" t="str">
        <f xml:space="preserve"> IF(Table1[[#This Row],[Delay_Days]] &gt; 4, "High Risk", IF(Table1[[#This Row],[Delay_Days]] &gt; 0, "Medium Risk", "Low Risk"))</f>
        <v>High Risk</v>
      </c>
    </row>
    <row r="138" spans="1:20" x14ac:dyDescent="0.25">
      <c r="A138" t="s">
        <v>163</v>
      </c>
      <c r="B138" t="s">
        <v>804</v>
      </c>
      <c r="C138" s="1">
        <v>45204</v>
      </c>
      <c r="D138" s="1">
        <v>45210</v>
      </c>
      <c r="E138" t="s">
        <v>26</v>
      </c>
      <c r="F138" t="s">
        <v>18</v>
      </c>
      <c r="G138">
        <v>1202</v>
      </c>
      <c r="H138" s="5">
        <v>46.67</v>
      </c>
      <c r="I138" s="5">
        <v>44.13</v>
      </c>
      <c r="J138">
        <v>21</v>
      </c>
      <c r="K138" t="s">
        <v>27</v>
      </c>
      <c r="L138">
        <f t="shared" si="11"/>
        <v>6</v>
      </c>
      <c r="M138">
        <v>11</v>
      </c>
      <c r="N138">
        <f t="shared" si="8"/>
        <v>0</v>
      </c>
      <c r="O138" t="str">
        <f xml:space="preserve"> IF(AND(Table1[[#This Row],[Actual_Lead_Time]] &lt;= Table1[[#This Row],[Standard_Lead_Time]], OR(ISBLANK(J138), J138 = 0)), "OTIF", "Non-OTIF")</f>
        <v>Non-OTIF</v>
      </c>
      <c r="P138">
        <f>IF(Table1[[#This Row],[OTIF_Status]] = "OTIF", 1, 0)</f>
        <v>0</v>
      </c>
      <c r="Q138" s="5">
        <f t="shared" si="9"/>
        <v>56097.340000000004</v>
      </c>
      <c r="R138" s="5">
        <f t="shared" si="10"/>
        <v>53044.26</v>
      </c>
      <c r="S138" s="5">
        <f>Table1[[#This Row],[Total_Line_Spend]]-Table1[[#This Row],[Negotiated_Total]]</f>
        <v>3053.0800000000017</v>
      </c>
      <c r="T138" t="str">
        <f xml:space="preserve"> IF(Table1[[#This Row],[Delay_Days]] &gt; 4, "High Risk", IF(Table1[[#This Row],[Delay_Days]] &gt; 0, "Medium Risk", "Low Risk"))</f>
        <v>Low Risk</v>
      </c>
    </row>
    <row r="139" spans="1:20" x14ac:dyDescent="0.25">
      <c r="A139" t="s">
        <v>164</v>
      </c>
      <c r="B139" t="s">
        <v>807</v>
      </c>
      <c r="C139" s="1">
        <v>44725</v>
      </c>
      <c r="D139" s="1">
        <v>44726</v>
      </c>
      <c r="E139" t="s">
        <v>13</v>
      </c>
      <c r="F139" t="s">
        <v>18</v>
      </c>
      <c r="G139">
        <v>697</v>
      </c>
      <c r="H139" s="5">
        <v>20.73</v>
      </c>
      <c r="I139" s="5">
        <v>19.829999999999998</v>
      </c>
      <c r="J139">
        <v>78</v>
      </c>
      <c r="K139" t="s">
        <v>27</v>
      </c>
      <c r="L139">
        <f t="shared" si="11"/>
        <v>1</v>
      </c>
      <c r="M139">
        <v>11</v>
      </c>
      <c r="N139">
        <f t="shared" si="8"/>
        <v>0</v>
      </c>
      <c r="O139" t="str">
        <f xml:space="preserve"> IF(AND(Table1[[#This Row],[Actual_Lead_Time]] &lt;= Table1[[#This Row],[Standard_Lead_Time]], OR(ISBLANK(J139), J139 = 0)), "OTIF", "Non-OTIF")</f>
        <v>Non-OTIF</v>
      </c>
      <c r="P139">
        <f>IF(Table1[[#This Row],[OTIF_Status]] = "OTIF", 1, 0)</f>
        <v>0</v>
      </c>
      <c r="Q139" s="5">
        <f t="shared" si="9"/>
        <v>14448.81</v>
      </c>
      <c r="R139" s="5">
        <f t="shared" si="10"/>
        <v>13821.509999999998</v>
      </c>
      <c r="S139" s="5">
        <f>Table1[[#This Row],[Total_Line_Spend]]-Table1[[#This Row],[Negotiated_Total]]</f>
        <v>627.30000000000109</v>
      </c>
      <c r="T139" t="str">
        <f xml:space="preserve"> IF(Table1[[#This Row],[Delay_Days]] &gt; 4, "High Risk", IF(Table1[[#This Row],[Delay_Days]] &gt; 0, "Medium Risk", "Low Risk"))</f>
        <v>Low Risk</v>
      </c>
    </row>
    <row r="140" spans="1:20" x14ac:dyDescent="0.25">
      <c r="A140" t="s">
        <v>165</v>
      </c>
      <c r="B140" t="s">
        <v>808</v>
      </c>
      <c r="C140" s="1">
        <v>45258</v>
      </c>
      <c r="D140" s="1">
        <v>45261</v>
      </c>
      <c r="E140" t="s">
        <v>21</v>
      </c>
      <c r="F140" t="s">
        <v>18</v>
      </c>
      <c r="G140">
        <v>1545</v>
      </c>
      <c r="H140" s="5">
        <v>78.19</v>
      </c>
      <c r="I140" s="5">
        <v>76.91</v>
      </c>
      <c r="J140">
        <v>42</v>
      </c>
      <c r="K140" t="s">
        <v>15</v>
      </c>
      <c r="L140">
        <f t="shared" si="11"/>
        <v>3</v>
      </c>
      <c r="M140">
        <v>11</v>
      </c>
      <c r="N140">
        <f t="shared" si="8"/>
        <v>0</v>
      </c>
      <c r="O140" t="str">
        <f xml:space="preserve"> IF(AND(Table1[[#This Row],[Actual_Lead_Time]] &lt;= Table1[[#This Row],[Standard_Lead_Time]], OR(ISBLANK(J140), J140 = 0)), "OTIF", "Non-OTIF")</f>
        <v>Non-OTIF</v>
      </c>
      <c r="P140">
        <f>IF(Table1[[#This Row],[OTIF_Status]] = "OTIF", 1, 0)</f>
        <v>0</v>
      </c>
      <c r="Q140" s="5">
        <f t="shared" si="9"/>
        <v>120803.55</v>
      </c>
      <c r="R140" s="5">
        <f t="shared" si="10"/>
        <v>118825.95</v>
      </c>
      <c r="S140" s="5">
        <f>Table1[[#This Row],[Total_Line_Spend]]-Table1[[#This Row],[Negotiated_Total]]</f>
        <v>1977.6000000000058</v>
      </c>
      <c r="T140" t="str">
        <f xml:space="preserve"> IF(Table1[[#This Row],[Delay_Days]] &gt; 4, "High Risk", IF(Table1[[#This Row],[Delay_Days]] &gt; 0, "Medium Risk", "Low Risk"))</f>
        <v>Low Risk</v>
      </c>
    </row>
    <row r="141" spans="1:20" x14ac:dyDescent="0.25">
      <c r="A141" t="s">
        <v>166</v>
      </c>
      <c r="B141" t="s">
        <v>806</v>
      </c>
      <c r="C141" s="1">
        <v>44994</v>
      </c>
      <c r="D141" s="1">
        <v>44998</v>
      </c>
      <c r="E141" t="s">
        <v>21</v>
      </c>
      <c r="F141" t="s">
        <v>33</v>
      </c>
      <c r="G141">
        <v>1136</v>
      </c>
      <c r="H141" s="5">
        <v>60.81</v>
      </c>
      <c r="I141" s="5">
        <v>58.25</v>
      </c>
      <c r="J141">
        <v>62</v>
      </c>
      <c r="K141" t="s">
        <v>15</v>
      </c>
      <c r="L141">
        <f t="shared" si="11"/>
        <v>4</v>
      </c>
      <c r="M141">
        <v>11</v>
      </c>
      <c r="N141">
        <f t="shared" si="8"/>
        <v>0</v>
      </c>
      <c r="O141" t="str">
        <f xml:space="preserve"> IF(AND(Table1[[#This Row],[Actual_Lead_Time]] &lt;= Table1[[#This Row],[Standard_Lead_Time]], OR(ISBLANK(J141), J141 = 0)), "OTIF", "Non-OTIF")</f>
        <v>Non-OTIF</v>
      </c>
      <c r="P141">
        <f>IF(Table1[[#This Row],[OTIF_Status]] = "OTIF", 1, 0)</f>
        <v>0</v>
      </c>
      <c r="Q141" s="5">
        <f t="shared" si="9"/>
        <v>69080.160000000003</v>
      </c>
      <c r="R141" s="5">
        <f t="shared" si="10"/>
        <v>66172</v>
      </c>
      <c r="S141" s="5">
        <f>Table1[[#This Row],[Total_Line_Spend]]-Table1[[#This Row],[Negotiated_Total]]</f>
        <v>2908.1600000000035</v>
      </c>
      <c r="T141" t="str">
        <f xml:space="preserve"> IF(Table1[[#This Row],[Delay_Days]] &gt; 4, "High Risk", IF(Table1[[#This Row],[Delay_Days]] &gt; 0, "Medium Risk", "Low Risk"))</f>
        <v>Low Risk</v>
      </c>
    </row>
    <row r="142" spans="1:20" x14ac:dyDescent="0.25">
      <c r="A142" t="s">
        <v>167</v>
      </c>
      <c r="B142" t="s">
        <v>807</v>
      </c>
      <c r="C142" s="1">
        <v>45172</v>
      </c>
      <c r="D142" s="1">
        <v>45176</v>
      </c>
      <c r="E142" t="s">
        <v>21</v>
      </c>
      <c r="F142" t="s">
        <v>18</v>
      </c>
      <c r="G142">
        <v>1212</v>
      </c>
      <c r="H142" s="5">
        <v>87.46</v>
      </c>
      <c r="I142" s="5">
        <v>74.55</v>
      </c>
      <c r="J142">
        <v>118</v>
      </c>
      <c r="K142" t="s">
        <v>27</v>
      </c>
      <c r="L142">
        <f t="shared" si="11"/>
        <v>4</v>
      </c>
      <c r="M142">
        <v>11</v>
      </c>
      <c r="N142">
        <f t="shared" si="8"/>
        <v>0</v>
      </c>
      <c r="O142" t="str">
        <f xml:space="preserve"> IF(AND(Table1[[#This Row],[Actual_Lead_Time]] &lt;= Table1[[#This Row],[Standard_Lead_Time]], OR(ISBLANK(J142), J142 = 0)), "OTIF", "Non-OTIF")</f>
        <v>Non-OTIF</v>
      </c>
      <c r="P142">
        <f>IF(Table1[[#This Row],[OTIF_Status]] = "OTIF", 1, 0)</f>
        <v>0</v>
      </c>
      <c r="Q142" s="5">
        <f t="shared" si="9"/>
        <v>106001.51999999999</v>
      </c>
      <c r="R142" s="5">
        <f t="shared" si="10"/>
        <v>90354.599999999991</v>
      </c>
      <c r="S142" s="5">
        <f>Table1[[#This Row],[Total_Line_Spend]]-Table1[[#This Row],[Negotiated_Total]]</f>
        <v>15646.919999999998</v>
      </c>
      <c r="T142" t="str">
        <f xml:space="preserve"> IF(Table1[[#This Row],[Delay_Days]] &gt; 4, "High Risk", IF(Table1[[#This Row],[Delay_Days]] &gt; 0, "Medium Risk", "Low Risk"))</f>
        <v>Low Risk</v>
      </c>
    </row>
    <row r="143" spans="1:20" x14ac:dyDescent="0.25">
      <c r="A143" t="s">
        <v>168</v>
      </c>
      <c r="B143" t="s">
        <v>808</v>
      </c>
      <c r="C143" s="1">
        <v>44627</v>
      </c>
      <c r="D143" s="1">
        <v>44632</v>
      </c>
      <c r="E143" t="s">
        <v>21</v>
      </c>
      <c r="F143" t="s">
        <v>18</v>
      </c>
      <c r="G143">
        <v>1572</v>
      </c>
      <c r="H143" s="5">
        <v>57.38</v>
      </c>
      <c r="I143" s="5">
        <v>49.32</v>
      </c>
      <c r="J143">
        <v>40</v>
      </c>
      <c r="K143" t="s">
        <v>15</v>
      </c>
      <c r="L143">
        <f t="shared" si="11"/>
        <v>5</v>
      </c>
      <c r="M143">
        <v>11</v>
      </c>
      <c r="N143">
        <f t="shared" si="8"/>
        <v>0</v>
      </c>
      <c r="O143" t="str">
        <f xml:space="preserve"> IF(AND(Table1[[#This Row],[Actual_Lead_Time]] &lt;= Table1[[#This Row],[Standard_Lead_Time]], OR(ISBLANK(J143), J143 = 0)), "OTIF", "Non-OTIF")</f>
        <v>Non-OTIF</v>
      </c>
      <c r="P143">
        <f>IF(Table1[[#This Row],[OTIF_Status]] = "OTIF", 1, 0)</f>
        <v>0</v>
      </c>
      <c r="Q143" s="5">
        <f t="shared" si="9"/>
        <v>90201.36</v>
      </c>
      <c r="R143" s="5">
        <f t="shared" si="10"/>
        <v>77531.039999999994</v>
      </c>
      <c r="S143" s="5">
        <f>Table1[[#This Row],[Total_Line_Spend]]-Table1[[#This Row],[Negotiated_Total]]</f>
        <v>12670.320000000007</v>
      </c>
      <c r="T143" t="str">
        <f xml:space="preserve"> IF(Table1[[#This Row],[Delay_Days]] &gt; 4, "High Risk", IF(Table1[[#This Row],[Delay_Days]] &gt; 0, "Medium Risk", "Low Risk"))</f>
        <v>Low Risk</v>
      </c>
    </row>
    <row r="144" spans="1:20" x14ac:dyDescent="0.25">
      <c r="A144" t="s">
        <v>169</v>
      </c>
      <c r="B144" t="s">
        <v>806</v>
      </c>
      <c r="C144" s="1">
        <v>44956</v>
      </c>
      <c r="D144" s="1">
        <v>44966</v>
      </c>
      <c r="E144" t="s">
        <v>39</v>
      </c>
      <c r="F144" t="s">
        <v>18</v>
      </c>
      <c r="G144">
        <v>642</v>
      </c>
      <c r="H144" s="5">
        <v>91.9</v>
      </c>
      <c r="I144" s="5">
        <v>81.489999999999995</v>
      </c>
      <c r="J144">
        <v>26</v>
      </c>
      <c r="K144" t="s">
        <v>15</v>
      </c>
      <c r="L144">
        <f t="shared" si="11"/>
        <v>10</v>
      </c>
      <c r="M144">
        <v>11</v>
      </c>
      <c r="N144">
        <f t="shared" si="8"/>
        <v>0</v>
      </c>
      <c r="O144" t="str">
        <f xml:space="preserve"> IF(AND(Table1[[#This Row],[Actual_Lead_Time]] &lt;= Table1[[#This Row],[Standard_Lead_Time]], OR(ISBLANK(J144), J144 = 0)), "OTIF", "Non-OTIF")</f>
        <v>Non-OTIF</v>
      </c>
      <c r="P144">
        <f>IF(Table1[[#This Row],[OTIF_Status]] = "OTIF", 1, 0)</f>
        <v>0</v>
      </c>
      <c r="Q144" s="5">
        <f t="shared" si="9"/>
        <v>58999.8</v>
      </c>
      <c r="R144" s="5">
        <f t="shared" si="10"/>
        <v>52316.579999999994</v>
      </c>
      <c r="S144" s="5">
        <f>Table1[[#This Row],[Total_Line_Spend]]-Table1[[#This Row],[Negotiated_Total]]</f>
        <v>6683.2200000000084</v>
      </c>
      <c r="T144" t="str">
        <f xml:space="preserve"> IF(Table1[[#This Row],[Delay_Days]] &gt; 4, "High Risk", IF(Table1[[#This Row],[Delay_Days]] &gt; 0, "Medium Risk", "Low Risk"))</f>
        <v>Low Risk</v>
      </c>
    </row>
    <row r="145" spans="1:20" x14ac:dyDescent="0.25">
      <c r="A145" t="s">
        <v>170</v>
      </c>
      <c r="B145" t="s">
        <v>808</v>
      </c>
      <c r="C145" s="1">
        <v>44952</v>
      </c>
      <c r="D145" s="1">
        <v>44961</v>
      </c>
      <c r="E145" t="s">
        <v>13</v>
      </c>
      <c r="F145" t="s">
        <v>18</v>
      </c>
      <c r="G145">
        <v>441</v>
      </c>
      <c r="H145" s="5">
        <v>63.25</v>
      </c>
      <c r="I145" s="5">
        <v>54.12</v>
      </c>
      <c r="J145">
        <v>16</v>
      </c>
      <c r="K145" t="s">
        <v>15</v>
      </c>
      <c r="L145">
        <f t="shared" si="11"/>
        <v>9</v>
      </c>
      <c r="M145">
        <v>11</v>
      </c>
      <c r="N145">
        <f t="shared" si="8"/>
        <v>0</v>
      </c>
      <c r="O145" t="str">
        <f xml:space="preserve"> IF(AND(Table1[[#This Row],[Actual_Lead_Time]] &lt;= Table1[[#This Row],[Standard_Lead_Time]], OR(ISBLANK(J145), J145 = 0)), "OTIF", "Non-OTIF")</f>
        <v>Non-OTIF</v>
      </c>
      <c r="P145">
        <f>IF(Table1[[#This Row],[OTIF_Status]] = "OTIF", 1, 0)</f>
        <v>0</v>
      </c>
      <c r="Q145" s="5">
        <f t="shared" si="9"/>
        <v>27893.25</v>
      </c>
      <c r="R145" s="5">
        <f t="shared" si="10"/>
        <v>23866.92</v>
      </c>
      <c r="S145" s="5">
        <f>Table1[[#This Row],[Total_Line_Spend]]-Table1[[#This Row],[Negotiated_Total]]</f>
        <v>4026.3300000000017</v>
      </c>
      <c r="T145" t="str">
        <f xml:space="preserve"> IF(Table1[[#This Row],[Delay_Days]] &gt; 4, "High Risk", IF(Table1[[#This Row],[Delay_Days]] &gt; 0, "Medium Risk", "Low Risk"))</f>
        <v>Low Risk</v>
      </c>
    </row>
    <row r="146" spans="1:20" x14ac:dyDescent="0.25">
      <c r="A146" t="s">
        <v>171</v>
      </c>
      <c r="B146" t="s">
        <v>808</v>
      </c>
      <c r="C146" s="1">
        <v>45172</v>
      </c>
      <c r="D146" s="1">
        <v>45188</v>
      </c>
      <c r="E146" t="s">
        <v>13</v>
      </c>
      <c r="F146" t="s">
        <v>18</v>
      </c>
      <c r="G146">
        <v>1748</v>
      </c>
      <c r="H146" s="5">
        <v>66.53</v>
      </c>
      <c r="I146" s="5">
        <v>57.11</v>
      </c>
      <c r="K146" t="s">
        <v>15</v>
      </c>
      <c r="L146">
        <f t="shared" si="11"/>
        <v>16</v>
      </c>
      <c r="M146">
        <v>11</v>
      </c>
      <c r="N146">
        <f t="shared" si="8"/>
        <v>5</v>
      </c>
      <c r="O146" t="str">
        <f xml:space="preserve"> IF(AND(Table1[[#This Row],[Actual_Lead_Time]] &lt;= Table1[[#This Row],[Standard_Lead_Time]], OR(ISBLANK(J146), J146 = 0)), "OTIF", "Non-OTIF")</f>
        <v>Non-OTIF</v>
      </c>
      <c r="P146">
        <f>IF(Table1[[#This Row],[OTIF_Status]] = "OTIF", 1, 0)</f>
        <v>0</v>
      </c>
      <c r="Q146" s="5">
        <f t="shared" si="9"/>
        <v>116294.44</v>
      </c>
      <c r="R146" s="5">
        <f t="shared" si="10"/>
        <v>99828.28</v>
      </c>
      <c r="S146" s="5">
        <f>Table1[[#This Row],[Total_Line_Spend]]-Table1[[#This Row],[Negotiated_Total]]</f>
        <v>16466.160000000003</v>
      </c>
      <c r="T146" t="str">
        <f xml:space="preserve"> IF(Table1[[#This Row],[Delay_Days]] &gt; 4, "High Risk", IF(Table1[[#This Row],[Delay_Days]] &gt; 0, "Medium Risk", "Low Risk"))</f>
        <v>High Risk</v>
      </c>
    </row>
    <row r="147" spans="1:20" x14ac:dyDescent="0.25">
      <c r="A147" t="s">
        <v>172</v>
      </c>
      <c r="B147" t="s">
        <v>806</v>
      </c>
      <c r="C147" s="1">
        <v>45041</v>
      </c>
      <c r="D147" s="1">
        <v>45051</v>
      </c>
      <c r="E147" t="s">
        <v>39</v>
      </c>
      <c r="F147" t="s">
        <v>35</v>
      </c>
      <c r="G147">
        <v>468</v>
      </c>
      <c r="H147" s="5">
        <v>95.57</v>
      </c>
      <c r="I147" s="5">
        <v>91.8</v>
      </c>
      <c r="J147">
        <v>24</v>
      </c>
      <c r="K147" t="s">
        <v>15</v>
      </c>
      <c r="L147">
        <f t="shared" si="11"/>
        <v>10</v>
      </c>
      <c r="M147">
        <v>11</v>
      </c>
      <c r="N147">
        <f t="shared" si="8"/>
        <v>0</v>
      </c>
      <c r="O147" t="str">
        <f xml:space="preserve"> IF(AND(Table1[[#This Row],[Actual_Lead_Time]] &lt;= Table1[[#This Row],[Standard_Lead_Time]], OR(ISBLANK(J147), J147 = 0)), "OTIF", "Non-OTIF")</f>
        <v>Non-OTIF</v>
      </c>
      <c r="P147">
        <f>IF(Table1[[#This Row],[OTIF_Status]] = "OTIF", 1, 0)</f>
        <v>0</v>
      </c>
      <c r="Q147" s="5">
        <f t="shared" si="9"/>
        <v>44726.759999999995</v>
      </c>
      <c r="R147" s="5">
        <f t="shared" si="10"/>
        <v>42962.400000000001</v>
      </c>
      <c r="S147" s="5">
        <f>Table1[[#This Row],[Total_Line_Spend]]-Table1[[#This Row],[Negotiated_Total]]</f>
        <v>1764.3599999999933</v>
      </c>
      <c r="T147" t="str">
        <f xml:space="preserve"> IF(Table1[[#This Row],[Delay_Days]] &gt; 4, "High Risk", IF(Table1[[#This Row],[Delay_Days]] &gt; 0, "Medium Risk", "Low Risk"))</f>
        <v>Low Risk</v>
      </c>
    </row>
    <row r="148" spans="1:20" x14ac:dyDescent="0.25">
      <c r="A148" t="s">
        <v>173</v>
      </c>
      <c r="B148" t="s">
        <v>807</v>
      </c>
      <c r="C148" s="1">
        <v>45103</v>
      </c>
      <c r="D148" s="1">
        <v>45121</v>
      </c>
      <c r="E148" t="s">
        <v>26</v>
      </c>
      <c r="F148" t="s">
        <v>18</v>
      </c>
      <c r="G148">
        <v>338</v>
      </c>
      <c r="H148" s="5">
        <v>50.25</v>
      </c>
      <c r="I148" s="5">
        <v>46.28</v>
      </c>
      <c r="J148">
        <v>49</v>
      </c>
      <c r="K148" t="s">
        <v>27</v>
      </c>
      <c r="L148">
        <f t="shared" si="11"/>
        <v>18</v>
      </c>
      <c r="M148">
        <v>11</v>
      </c>
      <c r="N148">
        <f t="shared" si="8"/>
        <v>7</v>
      </c>
      <c r="O148" t="str">
        <f xml:space="preserve"> IF(AND(Table1[[#This Row],[Actual_Lead_Time]] &lt;= Table1[[#This Row],[Standard_Lead_Time]], OR(ISBLANK(J148), J148 = 0)), "OTIF", "Non-OTIF")</f>
        <v>Non-OTIF</v>
      </c>
      <c r="P148">
        <f>IF(Table1[[#This Row],[OTIF_Status]] = "OTIF", 1, 0)</f>
        <v>0</v>
      </c>
      <c r="Q148" s="5">
        <f t="shared" si="9"/>
        <v>16984.5</v>
      </c>
      <c r="R148" s="5">
        <f t="shared" si="10"/>
        <v>15642.640000000001</v>
      </c>
      <c r="S148" s="5">
        <f>Table1[[#This Row],[Total_Line_Spend]]-Table1[[#This Row],[Negotiated_Total]]</f>
        <v>1341.8599999999988</v>
      </c>
      <c r="T148" t="str">
        <f xml:space="preserve"> IF(Table1[[#This Row],[Delay_Days]] &gt; 4, "High Risk", IF(Table1[[#This Row],[Delay_Days]] &gt; 0, "Medium Risk", "Low Risk"))</f>
        <v>High Risk</v>
      </c>
    </row>
    <row r="149" spans="1:20" x14ac:dyDescent="0.25">
      <c r="A149" t="s">
        <v>174</v>
      </c>
      <c r="B149" t="s">
        <v>806</v>
      </c>
      <c r="C149" s="1">
        <v>44819</v>
      </c>
      <c r="D149" s="1">
        <v>44826</v>
      </c>
      <c r="E149" t="s">
        <v>13</v>
      </c>
      <c r="F149" t="s">
        <v>18</v>
      </c>
      <c r="G149">
        <v>428</v>
      </c>
      <c r="H149" s="5">
        <v>22.94</v>
      </c>
      <c r="I149" s="5">
        <v>21.52</v>
      </c>
      <c r="J149">
        <v>26</v>
      </c>
      <c r="K149" t="s">
        <v>15</v>
      </c>
      <c r="L149">
        <f t="shared" si="11"/>
        <v>7</v>
      </c>
      <c r="M149">
        <v>11</v>
      </c>
      <c r="N149">
        <f t="shared" si="8"/>
        <v>0</v>
      </c>
      <c r="O149" t="str">
        <f xml:space="preserve"> IF(AND(Table1[[#This Row],[Actual_Lead_Time]] &lt;= Table1[[#This Row],[Standard_Lead_Time]], OR(ISBLANK(J149), J149 = 0)), "OTIF", "Non-OTIF")</f>
        <v>Non-OTIF</v>
      </c>
      <c r="P149">
        <f>IF(Table1[[#This Row],[OTIF_Status]] = "OTIF", 1, 0)</f>
        <v>0</v>
      </c>
      <c r="Q149" s="5">
        <f t="shared" si="9"/>
        <v>9818.32</v>
      </c>
      <c r="R149" s="5">
        <f t="shared" si="10"/>
        <v>9210.56</v>
      </c>
      <c r="S149" s="5">
        <f>Table1[[#This Row],[Total_Line_Spend]]-Table1[[#This Row],[Negotiated_Total]]</f>
        <v>607.76000000000022</v>
      </c>
      <c r="T149" t="str">
        <f xml:space="preserve"> IF(Table1[[#This Row],[Delay_Days]] &gt; 4, "High Risk", IF(Table1[[#This Row],[Delay_Days]] &gt; 0, "Medium Risk", "Low Risk"))</f>
        <v>Low Risk</v>
      </c>
    </row>
    <row r="150" spans="1:20" x14ac:dyDescent="0.25">
      <c r="A150" t="s">
        <v>175</v>
      </c>
      <c r="B150" t="s">
        <v>807</v>
      </c>
      <c r="C150" s="1">
        <v>45128</v>
      </c>
      <c r="D150" s="1">
        <v>45139</v>
      </c>
      <c r="E150" t="s">
        <v>24</v>
      </c>
      <c r="F150" t="s">
        <v>18</v>
      </c>
      <c r="G150">
        <v>1846</v>
      </c>
      <c r="H150" s="5">
        <v>13.72</v>
      </c>
      <c r="I150" s="5">
        <v>12.62</v>
      </c>
      <c r="J150">
        <v>216</v>
      </c>
      <c r="K150" t="s">
        <v>15</v>
      </c>
      <c r="L150">
        <f t="shared" si="11"/>
        <v>11</v>
      </c>
      <c r="M150">
        <v>11</v>
      </c>
      <c r="N150">
        <f t="shared" si="8"/>
        <v>0</v>
      </c>
      <c r="O150" t="str">
        <f xml:space="preserve"> IF(AND(Table1[[#This Row],[Actual_Lead_Time]] &lt;= Table1[[#This Row],[Standard_Lead_Time]], OR(ISBLANK(J150), J150 = 0)), "OTIF", "Non-OTIF")</f>
        <v>Non-OTIF</v>
      </c>
      <c r="P150">
        <f>IF(Table1[[#This Row],[OTIF_Status]] = "OTIF", 1, 0)</f>
        <v>0</v>
      </c>
      <c r="Q150" s="5">
        <f t="shared" si="9"/>
        <v>25327.120000000003</v>
      </c>
      <c r="R150" s="5">
        <f t="shared" si="10"/>
        <v>23296.519999999997</v>
      </c>
      <c r="S150" s="5">
        <f>Table1[[#This Row],[Total_Line_Spend]]-Table1[[#This Row],[Negotiated_Total]]</f>
        <v>2030.6000000000058</v>
      </c>
      <c r="T150" t="str">
        <f xml:space="preserve"> IF(Table1[[#This Row],[Delay_Days]] &gt; 4, "High Risk", IF(Table1[[#This Row],[Delay_Days]] &gt; 0, "Medium Risk", "Low Risk"))</f>
        <v>Low Risk</v>
      </c>
    </row>
    <row r="151" spans="1:20" x14ac:dyDescent="0.25">
      <c r="A151" t="s">
        <v>176</v>
      </c>
      <c r="B151" t="s">
        <v>808</v>
      </c>
      <c r="C151" s="1">
        <v>44573</v>
      </c>
      <c r="D151" s="1">
        <v>44578</v>
      </c>
      <c r="E151" t="s">
        <v>13</v>
      </c>
      <c r="F151" t="s">
        <v>18</v>
      </c>
      <c r="G151">
        <v>1563</v>
      </c>
      <c r="H151" s="5">
        <v>77.959999999999994</v>
      </c>
      <c r="I151" s="5">
        <v>70.8</v>
      </c>
      <c r="J151">
        <v>41</v>
      </c>
      <c r="K151" t="s">
        <v>15</v>
      </c>
      <c r="L151">
        <f t="shared" si="11"/>
        <v>5</v>
      </c>
      <c r="M151">
        <v>11</v>
      </c>
      <c r="N151">
        <f t="shared" si="8"/>
        <v>0</v>
      </c>
      <c r="O151" t="str">
        <f xml:space="preserve"> IF(AND(Table1[[#This Row],[Actual_Lead_Time]] &lt;= Table1[[#This Row],[Standard_Lead_Time]], OR(ISBLANK(J151), J151 = 0)), "OTIF", "Non-OTIF")</f>
        <v>Non-OTIF</v>
      </c>
      <c r="P151">
        <f>IF(Table1[[#This Row],[OTIF_Status]] = "OTIF", 1, 0)</f>
        <v>0</v>
      </c>
      <c r="Q151" s="5">
        <f t="shared" si="9"/>
        <v>121851.48</v>
      </c>
      <c r="R151" s="5">
        <f t="shared" si="10"/>
        <v>110660.4</v>
      </c>
      <c r="S151" s="5">
        <f>Table1[[#This Row],[Total_Line_Spend]]-Table1[[#This Row],[Negotiated_Total]]</f>
        <v>11191.080000000002</v>
      </c>
      <c r="T151" t="str">
        <f xml:space="preserve"> IF(Table1[[#This Row],[Delay_Days]] &gt; 4, "High Risk", IF(Table1[[#This Row],[Delay_Days]] &gt; 0, "Medium Risk", "Low Risk"))</f>
        <v>Low Risk</v>
      </c>
    </row>
    <row r="152" spans="1:20" x14ac:dyDescent="0.25">
      <c r="A152" t="s">
        <v>177</v>
      </c>
      <c r="B152" t="s">
        <v>807</v>
      </c>
      <c r="C152" s="1">
        <v>45258</v>
      </c>
      <c r="D152" s="1">
        <v>45267</v>
      </c>
      <c r="E152" t="s">
        <v>13</v>
      </c>
      <c r="F152" t="s">
        <v>18</v>
      </c>
      <c r="G152">
        <v>280</v>
      </c>
      <c r="H152" s="5">
        <v>73.069999999999993</v>
      </c>
      <c r="I152" s="5">
        <v>69.290000000000006</v>
      </c>
      <c r="J152">
        <v>30</v>
      </c>
      <c r="K152" t="s">
        <v>15</v>
      </c>
      <c r="L152">
        <f t="shared" si="11"/>
        <v>9</v>
      </c>
      <c r="M152">
        <v>11</v>
      </c>
      <c r="N152">
        <f t="shared" si="8"/>
        <v>0</v>
      </c>
      <c r="O152" t="str">
        <f xml:space="preserve"> IF(AND(Table1[[#This Row],[Actual_Lead_Time]] &lt;= Table1[[#This Row],[Standard_Lead_Time]], OR(ISBLANK(J152), J152 = 0)), "OTIF", "Non-OTIF")</f>
        <v>Non-OTIF</v>
      </c>
      <c r="P152">
        <f>IF(Table1[[#This Row],[OTIF_Status]] = "OTIF", 1, 0)</f>
        <v>0</v>
      </c>
      <c r="Q152" s="5">
        <f t="shared" si="9"/>
        <v>20459.599999999999</v>
      </c>
      <c r="R152" s="5">
        <f t="shared" si="10"/>
        <v>19401.2</v>
      </c>
      <c r="S152" s="5">
        <f>Table1[[#This Row],[Total_Line_Spend]]-Table1[[#This Row],[Negotiated_Total]]</f>
        <v>1058.3999999999978</v>
      </c>
      <c r="T152" t="str">
        <f xml:space="preserve"> IF(Table1[[#This Row],[Delay_Days]] &gt; 4, "High Risk", IF(Table1[[#This Row],[Delay_Days]] &gt; 0, "Medium Risk", "Low Risk"))</f>
        <v>Low Risk</v>
      </c>
    </row>
    <row r="153" spans="1:20" x14ac:dyDescent="0.25">
      <c r="A153" t="s">
        <v>178</v>
      </c>
      <c r="B153" t="s">
        <v>805</v>
      </c>
      <c r="C153" s="1">
        <v>44679</v>
      </c>
      <c r="D153" s="1">
        <v>44693</v>
      </c>
      <c r="E153" t="s">
        <v>26</v>
      </c>
      <c r="F153" t="s">
        <v>18</v>
      </c>
      <c r="G153">
        <v>1067</v>
      </c>
      <c r="H153" s="5">
        <v>74.47</v>
      </c>
      <c r="I153" s="5">
        <v>64.16</v>
      </c>
      <c r="K153" t="s">
        <v>27</v>
      </c>
      <c r="L153">
        <f t="shared" si="11"/>
        <v>14</v>
      </c>
      <c r="M153">
        <v>11</v>
      </c>
      <c r="N153">
        <f t="shared" si="8"/>
        <v>3</v>
      </c>
      <c r="O153" t="str">
        <f xml:space="preserve"> IF(AND(Table1[[#This Row],[Actual_Lead_Time]] &lt;= Table1[[#This Row],[Standard_Lead_Time]], OR(ISBLANK(J153), J153 = 0)), "OTIF", "Non-OTIF")</f>
        <v>Non-OTIF</v>
      </c>
      <c r="P153">
        <f>IF(Table1[[#This Row],[OTIF_Status]] = "OTIF", 1, 0)</f>
        <v>0</v>
      </c>
      <c r="Q153" s="5">
        <f t="shared" si="9"/>
        <v>79459.490000000005</v>
      </c>
      <c r="R153" s="5">
        <f t="shared" si="10"/>
        <v>68458.720000000001</v>
      </c>
      <c r="S153" s="5">
        <f>Table1[[#This Row],[Total_Line_Spend]]-Table1[[#This Row],[Negotiated_Total]]</f>
        <v>11000.770000000004</v>
      </c>
      <c r="T153" t="str">
        <f xml:space="preserve"> IF(Table1[[#This Row],[Delay_Days]] &gt; 4, "High Risk", IF(Table1[[#This Row],[Delay_Days]] &gt; 0, "Medium Risk", "Low Risk"))</f>
        <v>Medium Risk</v>
      </c>
    </row>
    <row r="154" spans="1:20" x14ac:dyDescent="0.25">
      <c r="A154" t="s">
        <v>179</v>
      </c>
      <c r="B154" t="s">
        <v>806</v>
      </c>
      <c r="C154" s="1">
        <v>45260</v>
      </c>
      <c r="D154" s="1">
        <v>45277</v>
      </c>
      <c r="E154" t="s">
        <v>39</v>
      </c>
      <c r="F154" t="s">
        <v>35</v>
      </c>
      <c r="G154">
        <v>90</v>
      </c>
      <c r="H154" s="5">
        <v>32.380000000000003</v>
      </c>
      <c r="I154" s="5">
        <v>29.96</v>
      </c>
      <c r="J154">
        <v>7</v>
      </c>
      <c r="K154" t="s">
        <v>15</v>
      </c>
      <c r="L154">
        <f t="shared" si="11"/>
        <v>17</v>
      </c>
      <c r="M154">
        <v>11</v>
      </c>
      <c r="N154">
        <f t="shared" si="8"/>
        <v>6</v>
      </c>
      <c r="O154" t="str">
        <f xml:space="preserve"> IF(AND(Table1[[#This Row],[Actual_Lead_Time]] &lt;= Table1[[#This Row],[Standard_Lead_Time]], OR(ISBLANK(J154), J154 = 0)), "OTIF", "Non-OTIF")</f>
        <v>Non-OTIF</v>
      </c>
      <c r="P154">
        <f>IF(Table1[[#This Row],[OTIF_Status]] = "OTIF", 1, 0)</f>
        <v>0</v>
      </c>
      <c r="Q154" s="5">
        <f t="shared" si="9"/>
        <v>2914.2000000000003</v>
      </c>
      <c r="R154" s="5">
        <f t="shared" si="10"/>
        <v>2696.4</v>
      </c>
      <c r="S154" s="5">
        <f>Table1[[#This Row],[Total_Line_Spend]]-Table1[[#This Row],[Negotiated_Total]]</f>
        <v>217.80000000000018</v>
      </c>
      <c r="T154" t="str">
        <f xml:space="preserve"> IF(Table1[[#This Row],[Delay_Days]] &gt; 4, "High Risk", IF(Table1[[#This Row],[Delay_Days]] &gt; 0, "Medium Risk", "Low Risk"))</f>
        <v>High Risk</v>
      </c>
    </row>
    <row r="155" spans="1:20" x14ac:dyDescent="0.25">
      <c r="A155" t="s">
        <v>180</v>
      </c>
      <c r="B155" t="s">
        <v>806</v>
      </c>
      <c r="C155" s="1">
        <v>45111</v>
      </c>
      <c r="D155" s="1">
        <v>45112</v>
      </c>
      <c r="E155" t="s">
        <v>26</v>
      </c>
      <c r="F155" t="s">
        <v>18</v>
      </c>
      <c r="G155">
        <v>1101</v>
      </c>
      <c r="H155" s="5">
        <v>24.28</v>
      </c>
      <c r="I155" s="5">
        <v>22.73</v>
      </c>
      <c r="J155">
        <v>59</v>
      </c>
      <c r="K155" t="s">
        <v>27</v>
      </c>
      <c r="L155">
        <f t="shared" si="11"/>
        <v>1</v>
      </c>
      <c r="M155">
        <v>11</v>
      </c>
      <c r="N155">
        <f t="shared" si="8"/>
        <v>0</v>
      </c>
      <c r="O155" t="str">
        <f xml:space="preserve"> IF(AND(Table1[[#This Row],[Actual_Lead_Time]] &lt;= Table1[[#This Row],[Standard_Lead_Time]], OR(ISBLANK(J155), J155 = 0)), "OTIF", "Non-OTIF")</f>
        <v>Non-OTIF</v>
      </c>
      <c r="P155">
        <f>IF(Table1[[#This Row],[OTIF_Status]] = "OTIF", 1, 0)</f>
        <v>0</v>
      </c>
      <c r="Q155" s="5">
        <f t="shared" si="9"/>
        <v>26732.280000000002</v>
      </c>
      <c r="R155" s="5">
        <f t="shared" si="10"/>
        <v>25025.73</v>
      </c>
      <c r="S155" s="5">
        <f>Table1[[#This Row],[Total_Line_Spend]]-Table1[[#This Row],[Negotiated_Total]]</f>
        <v>1706.5500000000029</v>
      </c>
      <c r="T155" t="str">
        <f xml:space="preserve"> IF(Table1[[#This Row],[Delay_Days]] &gt; 4, "High Risk", IF(Table1[[#This Row],[Delay_Days]] &gt; 0, "Medium Risk", "Low Risk"))</f>
        <v>Low Risk</v>
      </c>
    </row>
    <row r="156" spans="1:20" x14ac:dyDescent="0.25">
      <c r="A156" t="s">
        <v>181</v>
      </c>
      <c r="B156" t="s">
        <v>804</v>
      </c>
      <c r="C156" s="1">
        <v>44835</v>
      </c>
      <c r="D156" s="1">
        <v>44845</v>
      </c>
      <c r="E156" t="s">
        <v>26</v>
      </c>
      <c r="F156" t="s">
        <v>18</v>
      </c>
      <c r="G156">
        <v>184</v>
      </c>
      <c r="H156" s="5">
        <v>11.82</v>
      </c>
      <c r="I156" s="5">
        <v>10.51</v>
      </c>
      <c r="J156">
        <v>4</v>
      </c>
      <c r="K156" t="s">
        <v>15</v>
      </c>
      <c r="L156">
        <f t="shared" si="11"/>
        <v>10</v>
      </c>
      <c r="M156">
        <v>11</v>
      </c>
      <c r="N156">
        <f t="shared" si="8"/>
        <v>0</v>
      </c>
      <c r="O156" t="str">
        <f xml:space="preserve"> IF(AND(Table1[[#This Row],[Actual_Lead_Time]] &lt;= Table1[[#This Row],[Standard_Lead_Time]], OR(ISBLANK(J156), J156 = 0)), "OTIF", "Non-OTIF")</f>
        <v>Non-OTIF</v>
      </c>
      <c r="P156">
        <f>IF(Table1[[#This Row],[OTIF_Status]] = "OTIF", 1, 0)</f>
        <v>0</v>
      </c>
      <c r="Q156" s="5">
        <f t="shared" si="9"/>
        <v>2174.88</v>
      </c>
      <c r="R156" s="5">
        <f t="shared" si="10"/>
        <v>1933.84</v>
      </c>
      <c r="S156" s="5">
        <f>Table1[[#This Row],[Total_Line_Spend]]-Table1[[#This Row],[Negotiated_Total]]</f>
        <v>241.04000000000019</v>
      </c>
      <c r="T156" t="str">
        <f xml:space="preserve"> IF(Table1[[#This Row],[Delay_Days]] &gt; 4, "High Risk", IF(Table1[[#This Row],[Delay_Days]] &gt; 0, "Medium Risk", "Low Risk"))</f>
        <v>Low Risk</v>
      </c>
    </row>
    <row r="157" spans="1:20" x14ac:dyDescent="0.25">
      <c r="A157" t="s">
        <v>182</v>
      </c>
      <c r="B157" t="s">
        <v>808</v>
      </c>
      <c r="C157" s="1">
        <v>45218</v>
      </c>
      <c r="D157" s="1">
        <v>45237</v>
      </c>
      <c r="E157" t="s">
        <v>39</v>
      </c>
      <c r="F157" t="s">
        <v>18</v>
      </c>
      <c r="G157">
        <v>250</v>
      </c>
      <c r="H157" s="5">
        <v>45.92</v>
      </c>
      <c r="I157" s="5">
        <v>41.02</v>
      </c>
      <c r="J157">
        <v>3</v>
      </c>
      <c r="K157" t="s">
        <v>15</v>
      </c>
      <c r="L157">
        <f t="shared" si="11"/>
        <v>19</v>
      </c>
      <c r="M157">
        <v>11</v>
      </c>
      <c r="N157">
        <f t="shared" si="8"/>
        <v>8</v>
      </c>
      <c r="O157" t="str">
        <f xml:space="preserve"> IF(AND(Table1[[#This Row],[Actual_Lead_Time]] &lt;= Table1[[#This Row],[Standard_Lead_Time]], OR(ISBLANK(J157), J157 = 0)), "OTIF", "Non-OTIF")</f>
        <v>Non-OTIF</v>
      </c>
      <c r="P157">
        <f>IF(Table1[[#This Row],[OTIF_Status]] = "OTIF", 1, 0)</f>
        <v>0</v>
      </c>
      <c r="Q157" s="5">
        <f t="shared" si="9"/>
        <v>11480</v>
      </c>
      <c r="R157" s="5">
        <f t="shared" si="10"/>
        <v>10255</v>
      </c>
      <c r="S157" s="5">
        <f>Table1[[#This Row],[Total_Line_Spend]]-Table1[[#This Row],[Negotiated_Total]]</f>
        <v>1225</v>
      </c>
      <c r="T157" t="str">
        <f xml:space="preserve"> IF(Table1[[#This Row],[Delay_Days]] &gt; 4, "High Risk", IF(Table1[[#This Row],[Delay_Days]] &gt; 0, "Medium Risk", "Low Risk"))</f>
        <v>High Risk</v>
      </c>
    </row>
    <row r="158" spans="1:20" x14ac:dyDescent="0.25">
      <c r="A158" t="s">
        <v>183</v>
      </c>
      <c r="B158" t="s">
        <v>808</v>
      </c>
      <c r="C158" s="1">
        <v>44910</v>
      </c>
      <c r="D158" s="1">
        <v>44921</v>
      </c>
      <c r="E158" t="s">
        <v>24</v>
      </c>
      <c r="F158" t="s">
        <v>14</v>
      </c>
      <c r="G158">
        <v>1913</v>
      </c>
      <c r="H158" s="5">
        <v>66.56</v>
      </c>
      <c r="I158" s="5">
        <v>61.34</v>
      </c>
      <c r="J158">
        <v>61</v>
      </c>
      <c r="K158" t="s">
        <v>15</v>
      </c>
      <c r="L158">
        <f t="shared" si="11"/>
        <v>11</v>
      </c>
      <c r="M158">
        <v>11</v>
      </c>
      <c r="N158">
        <f t="shared" si="8"/>
        <v>0</v>
      </c>
      <c r="O158" t="str">
        <f xml:space="preserve"> IF(AND(Table1[[#This Row],[Actual_Lead_Time]] &lt;= Table1[[#This Row],[Standard_Lead_Time]], OR(ISBLANK(J158), J158 = 0)), "OTIF", "Non-OTIF")</f>
        <v>Non-OTIF</v>
      </c>
      <c r="P158">
        <f>IF(Table1[[#This Row],[OTIF_Status]] = "OTIF", 1, 0)</f>
        <v>0</v>
      </c>
      <c r="Q158" s="5">
        <f t="shared" si="9"/>
        <v>127329.28</v>
      </c>
      <c r="R158" s="5">
        <f t="shared" si="10"/>
        <v>117343.42000000001</v>
      </c>
      <c r="S158" s="5">
        <f>Table1[[#This Row],[Total_Line_Spend]]-Table1[[#This Row],[Negotiated_Total]]</f>
        <v>9985.859999999986</v>
      </c>
      <c r="T158" t="str">
        <f xml:space="preserve"> IF(Table1[[#This Row],[Delay_Days]] &gt; 4, "High Risk", IF(Table1[[#This Row],[Delay_Days]] &gt; 0, "Medium Risk", "Low Risk"))</f>
        <v>Low Risk</v>
      </c>
    </row>
    <row r="159" spans="1:20" x14ac:dyDescent="0.25">
      <c r="A159" t="s">
        <v>184</v>
      </c>
      <c r="B159" t="s">
        <v>807</v>
      </c>
      <c r="C159" s="1">
        <v>44676</v>
      </c>
      <c r="D159" s="1">
        <v>44681</v>
      </c>
      <c r="E159" t="s">
        <v>39</v>
      </c>
      <c r="F159" t="s">
        <v>18</v>
      </c>
      <c r="G159">
        <v>829</v>
      </c>
      <c r="H159" s="5">
        <v>45.98</v>
      </c>
      <c r="I159" s="5">
        <v>40.39</v>
      </c>
      <c r="K159" t="s">
        <v>15</v>
      </c>
      <c r="L159">
        <f t="shared" si="11"/>
        <v>5</v>
      </c>
      <c r="M159">
        <v>11</v>
      </c>
      <c r="N159">
        <f t="shared" si="8"/>
        <v>0</v>
      </c>
      <c r="O159" t="str">
        <f xml:space="preserve"> IF(AND(Table1[[#This Row],[Actual_Lead_Time]] &lt;= Table1[[#This Row],[Standard_Lead_Time]], OR(ISBLANK(J159), J159 = 0)), "OTIF", "Non-OTIF")</f>
        <v>OTIF</v>
      </c>
      <c r="P159">
        <f>IF(Table1[[#This Row],[OTIF_Status]] = "OTIF", 1, 0)</f>
        <v>1</v>
      </c>
      <c r="Q159" s="5">
        <f t="shared" si="9"/>
        <v>38117.42</v>
      </c>
      <c r="R159" s="5">
        <f t="shared" si="10"/>
        <v>33483.31</v>
      </c>
      <c r="S159" s="5">
        <f>Table1[[#This Row],[Total_Line_Spend]]-Table1[[#This Row],[Negotiated_Total]]</f>
        <v>4634.1100000000006</v>
      </c>
      <c r="T159" t="str">
        <f xml:space="preserve"> IF(Table1[[#This Row],[Delay_Days]] &gt; 4, "High Risk", IF(Table1[[#This Row],[Delay_Days]] &gt; 0, "Medium Risk", "Low Risk"))</f>
        <v>Low Risk</v>
      </c>
    </row>
    <row r="160" spans="1:20" x14ac:dyDescent="0.25">
      <c r="A160" t="s">
        <v>185</v>
      </c>
      <c r="B160" t="s">
        <v>805</v>
      </c>
      <c r="C160" s="1">
        <v>44862</v>
      </c>
      <c r="D160" s="1">
        <v>44878</v>
      </c>
      <c r="E160" t="s">
        <v>26</v>
      </c>
      <c r="F160" t="s">
        <v>18</v>
      </c>
      <c r="G160">
        <v>979</v>
      </c>
      <c r="H160" s="5">
        <v>51.59</v>
      </c>
      <c r="I160" s="5">
        <v>49.69</v>
      </c>
      <c r="J160">
        <v>148</v>
      </c>
      <c r="K160" t="s">
        <v>15</v>
      </c>
      <c r="L160">
        <f t="shared" si="11"/>
        <v>16</v>
      </c>
      <c r="M160">
        <v>11</v>
      </c>
      <c r="N160">
        <f t="shared" si="8"/>
        <v>5</v>
      </c>
      <c r="O160" t="str">
        <f xml:space="preserve"> IF(AND(Table1[[#This Row],[Actual_Lead_Time]] &lt;= Table1[[#This Row],[Standard_Lead_Time]], OR(ISBLANK(J160), J160 = 0)), "OTIF", "Non-OTIF")</f>
        <v>Non-OTIF</v>
      </c>
      <c r="P160">
        <f>IF(Table1[[#This Row],[OTIF_Status]] = "OTIF", 1, 0)</f>
        <v>0</v>
      </c>
      <c r="Q160" s="5">
        <f t="shared" si="9"/>
        <v>50506.61</v>
      </c>
      <c r="R160" s="5">
        <f t="shared" si="10"/>
        <v>48646.509999999995</v>
      </c>
      <c r="S160" s="5">
        <f>Table1[[#This Row],[Total_Line_Spend]]-Table1[[#This Row],[Negotiated_Total]]</f>
        <v>1860.1000000000058</v>
      </c>
      <c r="T160" t="str">
        <f xml:space="preserve"> IF(Table1[[#This Row],[Delay_Days]] &gt; 4, "High Risk", IF(Table1[[#This Row],[Delay_Days]] &gt; 0, "Medium Risk", "Low Risk"))</f>
        <v>High Risk</v>
      </c>
    </row>
    <row r="161" spans="1:20" x14ac:dyDescent="0.25">
      <c r="A161" t="s">
        <v>186</v>
      </c>
      <c r="B161" t="s">
        <v>808</v>
      </c>
      <c r="C161" s="1">
        <v>45007</v>
      </c>
      <c r="D161" s="1">
        <v>45025</v>
      </c>
      <c r="E161" t="s">
        <v>39</v>
      </c>
      <c r="F161" t="s">
        <v>33</v>
      </c>
      <c r="G161">
        <v>1106</v>
      </c>
      <c r="H161" s="5">
        <v>97.77</v>
      </c>
      <c r="I161" s="5">
        <v>90.45</v>
      </c>
      <c r="J161">
        <v>31</v>
      </c>
      <c r="K161" t="s">
        <v>15</v>
      </c>
      <c r="L161">
        <f t="shared" si="11"/>
        <v>18</v>
      </c>
      <c r="M161">
        <v>11</v>
      </c>
      <c r="N161">
        <f t="shared" si="8"/>
        <v>7</v>
      </c>
      <c r="O161" t="str">
        <f xml:space="preserve"> IF(AND(Table1[[#This Row],[Actual_Lead_Time]] &lt;= Table1[[#This Row],[Standard_Lead_Time]], OR(ISBLANK(J161), J161 = 0)), "OTIF", "Non-OTIF")</f>
        <v>Non-OTIF</v>
      </c>
      <c r="P161">
        <f>IF(Table1[[#This Row],[OTIF_Status]] = "OTIF", 1, 0)</f>
        <v>0</v>
      </c>
      <c r="Q161" s="5">
        <f t="shared" si="9"/>
        <v>108133.62</v>
      </c>
      <c r="R161" s="5">
        <f t="shared" si="10"/>
        <v>100037.7</v>
      </c>
      <c r="S161" s="5">
        <f>Table1[[#This Row],[Total_Line_Spend]]-Table1[[#This Row],[Negotiated_Total]]</f>
        <v>8095.9199999999983</v>
      </c>
      <c r="T161" t="str">
        <f xml:space="preserve"> IF(Table1[[#This Row],[Delay_Days]] &gt; 4, "High Risk", IF(Table1[[#This Row],[Delay_Days]] &gt; 0, "Medium Risk", "Low Risk"))</f>
        <v>High Risk</v>
      </c>
    </row>
    <row r="162" spans="1:20" x14ac:dyDescent="0.25">
      <c r="A162" t="s">
        <v>187</v>
      </c>
      <c r="B162" t="s">
        <v>805</v>
      </c>
      <c r="C162" s="1">
        <v>44723</v>
      </c>
      <c r="D162" s="1">
        <v>44736</v>
      </c>
      <c r="E162" t="s">
        <v>13</v>
      </c>
      <c r="F162" t="s">
        <v>35</v>
      </c>
      <c r="G162">
        <v>1121</v>
      </c>
      <c r="H162" s="5">
        <v>42.38</v>
      </c>
      <c r="I162" s="5">
        <v>38.340000000000003</v>
      </c>
      <c r="J162">
        <v>152</v>
      </c>
      <c r="K162" t="s">
        <v>15</v>
      </c>
      <c r="L162">
        <f t="shared" si="11"/>
        <v>13</v>
      </c>
      <c r="M162">
        <v>11</v>
      </c>
      <c r="N162">
        <f t="shared" si="8"/>
        <v>2</v>
      </c>
      <c r="O162" t="str">
        <f xml:space="preserve"> IF(AND(Table1[[#This Row],[Actual_Lead_Time]] &lt;= Table1[[#This Row],[Standard_Lead_Time]], OR(ISBLANK(J162), J162 = 0)), "OTIF", "Non-OTIF")</f>
        <v>Non-OTIF</v>
      </c>
      <c r="P162">
        <f>IF(Table1[[#This Row],[OTIF_Status]] = "OTIF", 1, 0)</f>
        <v>0</v>
      </c>
      <c r="Q162" s="5">
        <f t="shared" si="9"/>
        <v>47507.98</v>
      </c>
      <c r="R162" s="5">
        <f t="shared" si="10"/>
        <v>42979.140000000007</v>
      </c>
      <c r="S162" s="5">
        <f>Table1[[#This Row],[Total_Line_Spend]]-Table1[[#This Row],[Negotiated_Total]]</f>
        <v>4528.8399999999965</v>
      </c>
      <c r="T162" t="str">
        <f xml:space="preserve"> IF(Table1[[#This Row],[Delay_Days]] &gt; 4, "High Risk", IF(Table1[[#This Row],[Delay_Days]] &gt; 0, "Medium Risk", "Low Risk"))</f>
        <v>Medium Risk</v>
      </c>
    </row>
    <row r="163" spans="1:20" x14ac:dyDescent="0.25">
      <c r="A163" t="s">
        <v>188</v>
      </c>
      <c r="B163" t="s">
        <v>804</v>
      </c>
      <c r="C163" s="1">
        <v>45026</v>
      </c>
      <c r="D163" s="1">
        <v>45037</v>
      </c>
      <c r="E163" t="s">
        <v>13</v>
      </c>
      <c r="F163" t="s">
        <v>18</v>
      </c>
      <c r="G163">
        <v>552</v>
      </c>
      <c r="H163" s="5">
        <v>60.48</v>
      </c>
      <c r="I163" s="5">
        <v>56.78</v>
      </c>
      <c r="J163">
        <v>10</v>
      </c>
      <c r="K163" t="s">
        <v>15</v>
      </c>
      <c r="L163">
        <f t="shared" si="11"/>
        <v>11</v>
      </c>
      <c r="M163">
        <v>11</v>
      </c>
      <c r="N163">
        <f t="shared" si="8"/>
        <v>0</v>
      </c>
      <c r="O163" t="str">
        <f xml:space="preserve"> IF(AND(Table1[[#This Row],[Actual_Lead_Time]] &lt;= Table1[[#This Row],[Standard_Lead_Time]], OR(ISBLANK(J163), J163 = 0)), "OTIF", "Non-OTIF")</f>
        <v>Non-OTIF</v>
      </c>
      <c r="P163">
        <f>IF(Table1[[#This Row],[OTIF_Status]] = "OTIF", 1, 0)</f>
        <v>0</v>
      </c>
      <c r="Q163" s="5">
        <f t="shared" si="9"/>
        <v>33384.959999999999</v>
      </c>
      <c r="R163" s="5">
        <f t="shared" si="10"/>
        <v>31342.560000000001</v>
      </c>
      <c r="S163" s="5">
        <f>Table1[[#This Row],[Total_Line_Spend]]-Table1[[#This Row],[Negotiated_Total]]</f>
        <v>2042.3999999999978</v>
      </c>
      <c r="T163" t="str">
        <f xml:space="preserve"> IF(Table1[[#This Row],[Delay_Days]] &gt; 4, "High Risk", IF(Table1[[#This Row],[Delay_Days]] &gt; 0, "Medium Risk", "Low Risk"))</f>
        <v>Low Risk</v>
      </c>
    </row>
    <row r="164" spans="1:20" x14ac:dyDescent="0.25">
      <c r="A164" t="s">
        <v>189</v>
      </c>
      <c r="B164" t="s">
        <v>806</v>
      </c>
      <c r="C164" s="1">
        <v>44565</v>
      </c>
      <c r="D164" s="1">
        <v>44573</v>
      </c>
      <c r="E164" t="s">
        <v>24</v>
      </c>
      <c r="F164" t="s">
        <v>18</v>
      </c>
      <c r="G164">
        <v>456</v>
      </c>
      <c r="H164" s="5">
        <v>80.53</v>
      </c>
      <c r="I164" s="5">
        <v>77.86</v>
      </c>
      <c r="J164">
        <v>26</v>
      </c>
      <c r="K164" t="s">
        <v>15</v>
      </c>
      <c r="L164">
        <f t="shared" si="11"/>
        <v>8</v>
      </c>
      <c r="M164">
        <v>11</v>
      </c>
      <c r="N164">
        <f t="shared" si="8"/>
        <v>0</v>
      </c>
      <c r="O164" t="str">
        <f xml:space="preserve"> IF(AND(Table1[[#This Row],[Actual_Lead_Time]] &lt;= Table1[[#This Row],[Standard_Lead_Time]], OR(ISBLANK(J164), J164 = 0)), "OTIF", "Non-OTIF")</f>
        <v>Non-OTIF</v>
      </c>
      <c r="P164">
        <f>IF(Table1[[#This Row],[OTIF_Status]] = "OTIF", 1, 0)</f>
        <v>0</v>
      </c>
      <c r="Q164" s="5">
        <f t="shared" si="9"/>
        <v>36721.68</v>
      </c>
      <c r="R164" s="5">
        <f t="shared" si="10"/>
        <v>35504.159999999996</v>
      </c>
      <c r="S164" s="5">
        <f>Table1[[#This Row],[Total_Line_Spend]]-Table1[[#This Row],[Negotiated_Total]]</f>
        <v>1217.5200000000041</v>
      </c>
      <c r="T164" t="str">
        <f xml:space="preserve"> IF(Table1[[#This Row],[Delay_Days]] &gt; 4, "High Risk", IF(Table1[[#This Row],[Delay_Days]] &gt; 0, "Medium Risk", "Low Risk"))</f>
        <v>Low Risk</v>
      </c>
    </row>
    <row r="165" spans="1:20" x14ac:dyDescent="0.25">
      <c r="A165" t="s">
        <v>190</v>
      </c>
      <c r="B165" t="s">
        <v>805</v>
      </c>
      <c r="C165" s="1">
        <v>44831</v>
      </c>
      <c r="D165" s="1">
        <v>44839</v>
      </c>
      <c r="E165" t="s">
        <v>24</v>
      </c>
      <c r="F165" t="s">
        <v>18</v>
      </c>
      <c r="G165">
        <v>1647</v>
      </c>
      <c r="H165" s="5">
        <v>47.52</v>
      </c>
      <c r="I165" s="5">
        <v>44.92</v>
      </c>
      <c r="K165" t="s">
        <v>15</v>
      </c>
      <c r="L165">
        <f t="shared" si="11"/>
        <v>8</v>
      </c>
      <c r="M165">
        <v>11</v>
      </c>
      <c r="N165">
        <f t="shared" si="8"/>
        <v>0</v>
      </c>
      <c r="O165" t="str">
        <f xml:space="preserve"> IF(AND(Table1[[#This Row],[Actual_Lead_Time]] &lt;= Table1[[#This Row],[Standard_Lead_Time]], OR(ISBLANK(J165), J165 = 0)), "OTIF", "Non-OTIF")</f>
        <v>OTIF</v>
      </c>
      <c r="P165">
        <f>IF(Table1[[#This Row],[OTIF_Status]] = "OTIF", 1, 0)</f>
        <v>1</v>
      </c>
      <c r="Q165" s="5">
        <f t="shared" si="9"/>
        <v>78265.440000000002</v>
      </c>
      <c r="R165" s="5">
        <f t="shared" si="10"/>
        <v>73983.240000000005</v>
      </c>
      <c r="S165" s="5">
        <f>Table1[[#This Row],[Total_Line_Spend]]-Table1[[#This Row],[Negotiated_Total]]</f>
        <v>4282.1999999999971</v>
      </c>
      <c r="T165" t="str">
        <f xml:space="preserve"> IF(Table1[[#This Row],[Delay_Days]] &gt; 4, "High Risk", IF(Table1[[#This Row],[Delay_Days]] &gt; 0, "Medium Risk", "Low Risk"))</f>
        <v>Low Risk</v>
      </c>
    </row>
    <row r="166" spans="1:20" x14ac:dyDescent="0.25">
      <c r="A166" t="s">
        <v>191</v>
      </c>
      <c r="B166" t="s">
        <v>808</v>
      </c>
      <c r="C166" s="1">
        <v>45074</v>
      </c>
      <c r="D166" s="1">
        <v>45088</v>
      </c>
      <c r="E166" t="s">
        <v>39</v>
      </c>
      <c r="F166" t="s">
        <v>35</v>
      </c>
      <c r="G166">
        <v>1801</v>
      </c>
      <c r="H166" s="5">
        <v>71.27</v>
      </c>
      <c r="I166" s="5">
        <v>61.24</v>
      </c>
      <c r="J166">
        <v>43</v>
      </c>
      <c r="K166" t="s">
        <v>15</v>
      </c>
      <c r="L166">
        <f t="shared" si="11"/>
        <v>14</v>
      </c>
      <c r="M166">
        <v>11</v>
      </c>
      <c r="N166">
        <f t="shared" si="8"/>
        <v>3</v>
      </c>
      <c r="O166" t="str">
        <f xml:space="preserve"> IF(AND(Table1[[#This Row],[Actual_Lead_Time]] &lt;= Table1[[#This Row],[Standard_Lead_Time]], OR(ISBLANK(J166), J166 = 0)), "OTIF", "Non-OTIF")</f>
        <v>Non-OTIF</v>
      </c>
      <c r="P166">
        <f>IF(Table1[[#This Row],[OTIF_Status]] = "OTIF", 1, 0)</f>
        <v>0</v>
      </c>
      <c r="Q166" s="5">
        <f t="shared" si="9"/>
        <v>128357.26999999999</v>
      </c>
      <c r="R166" s="5">
        <f t="shared" si="10"/>
        <v>110293.24</v>
      </c>
      <c r="S166" s="5">
        <f>Table1[[#This Row],[Total_Line_Spend]]-Table1[[#This Row],[Negotiated_Total]]</f>
        <v>18064.029999999984</v>
      </c>
      <c r="T166" t="str">
        <f xml:space="preserve"> IF(Table1[[#This Row],[Delay_Days]] &gt; 4, "High Risk", IF(Table1[[#This Row],[Delay_Days]] &gt; 0, "Medium Risk", "Low Risk"))</f>
        <v>Medium Risk</v>
      </c>
    </row>
    <row r="167" spans="1:20" x14ac:dyDescent="0.25">
      <c r="A167" t="s">
        <v>192</v>
      </c>
      <c r="B167" t="s">
        <v>806</v>
      </c>
      <c r="C167" s="1">
        <v>44744</v>
      </c>
      <c r="D167" s="1">
        <v>44760</v>
      </c>
      <c r="E167" t="s">
        <v>39</v>
      </c>
      <c r="F167" t="s">
        <v>18</v>
      </c>
      <c r="G167">
        <v>854</v>
      </c>
      <c r="H167" s="5">
        <v>90.24</v>
      </c>
      <c r="I167" s="5">
        <v>85.53</v>
      </c>
      <c r="K167" t="s">
        <v>15</v>
      </c>
      <c r="L167">
        <f t="shared" si="11"/>
        <v>16</v>
      </c>
      <c r="M167">
        <v>11</v>
      </c>
      <c r="N167">
        <f t="shared" si="8"/>
        <v>5</v>
      </c>
      <c r="O167" t="str">
        <f xml:space="preserve"> IF(AND(Table1[[#This Row],[Actual_Lead_Time]] &lt;= Table1[[#This Row],[Standard_Lead_Time]], OR(ISBLANK(J167), J167 = 0)), "OTIF", "Non-OTIF")</f>
        <v>Non-OTIF</v>
      </c>
      <c r="P167">
        <f>IF(Table1[[#This Row],[OTIF_Status]] = "OTIF", 1, 0)</f>
        <v>0</v>
      </c>
      <c r="Q167" s="5">
        <f t="shared" si="9"/>
        <v>77064.959999999992</v>
      </c>
      <c r="R167" s="5">
        <f t="shared" si="10"/>
        <v>73042.62</v>
      </c>
      <c r="S167" s="5">
        <f>Table1[[#This Row],[Total_Line_Spend]]-Table1[[#This Row],[Negotiated_Total]]</f>
        <v>4022.3399999999965</v>
      </c>
      <c r="T167" t="str">
        <f xml:space="preserve"> IF(Table1[[#This Row],[Delay_Days]] &gt; 4, "High Risk", IF(Table1[[#This Row],[Delay_Days]] &gt; 0, "Medium Risk", "Low Risk"))</f>
        <v>High Risk</v>
      </c>
    </row>
    <row r="168" spans="1:20" x14ac:dyDescent="0.25">
      <c r="A168" t="s">
        <v>193</v>
      </c>
      <c r="B168" t="s">
        <v>805</v>
      </c>
      <c r="C168" s="1">
        <v>45081</v>
      </c>
      <c r="D168" s="1">
        <v>45094</v>
      </c>
      <c r="E168" t="s">
        <v>39</v>
      </c>
      <c r="F168" t="s">
        <v>18</v>
      </c>
      <c r="G168">
        <v>148</v>
      </c>
      <c r="H168" s="5">
        <v>103.57</v>
      </c>
      <c r="I168" s="5">
        <v>98.62</v>
      </c>
      <c r="J168">
        <v>23</v>
      </c>
      <c r="K168" t="s">
        <v>27</v>
      </c>
      <c r="L168">
        <f t="shared" si="11"/>
        <v>13</v>
      </c>
      <c r="M168">
        <v>11</v>
      </c>
      <c r="N168">
        <f t="shared" si="8"/>
        <v>2</v>
      </c>
      <c r="O168" t="str">
        <f xml:space="preserve"> IF(AND(Table1[[#This Row],[Actual_Lead_Time]] &lt;= Table1[[#This Row],[Standard_Lead_Time]], OR(ISBLANK(J168), J168 = 0)), "OTIF", "Non-OTIF")</f>
        <v>Non-OTIF</v>
      </c>
      <c r="P168">
        <f>IF(Table1[[#This Row],[OTIF_Status]] = "OTIF", 1, 0)</f>
        <v>0</v>
      </c>
      <c r="Q168" s="5">
        <f t="shared" si="9"/>
        <v>15328.359999999999</v>
      </c>
      <c r="R168" s="5">
        <f t="shared" si="10"/>
        <v>14595.76</v>
      </c>
      <c r="S168" s="5">
        <f>Table1[[#This Row],[Total_Line_Spend]]-Table1[[#This Row],[Negotiated_Total]]</f>
        <v>732.59999999999854</v>
      </c>
      <c r="T168" t="str">
        <f xml:space="preserve"> IF(Table1[[#This Row],[Delay_Days]] &gt; 4, "High Risk", IF(Table1[[#This Row],[Delay_Days]] &gt; 0, "Medium Risk", "Low Risk"))</f>
        <v>Medium Risk</v>
      </c>
    </row>
    <row r="169" spans="1:20" x14ac:dyDescent="0.25">
      <c r="A169" t="s">
        <v>194</v>
      </c>
      <c r="B169" t="s">
        <v>805</v>
      </c>
      <c r="C169" s="1">
        <v>44670</v>
      </c>
      <c r="D169" s="1">
        <v>44675</v>
      </c>
      <c r="E169" t="s">
        <v>21</v>
      </c>
      <c r="F169" t="s">
        <v>18</v>
      </c>
      <c r="G169">
        <v>733</v>
      </c>
      <c r="H169" s="5">
        <v>23.59</v>
      </c>
      <c r="I169" s="5">
        <v>22.85</v>
      </c>
      <c r="J169">
        <v>92</v>
      </c>
      <c r="K169" t="s">
        <v>15</v>
      </c>
      <c r="L169">
        <f t="shared" si="11"/>
        <v>5</v>
      </c>
      <c r="M169">
        <v>11</v>
      </c>
      <c r="N169">
        <f t="shared" si="8"/>
        <v>0</v>
      </c>
      <c r="O169" t="str">
        <f xml:space="preserve"> IF(AND(Table1[[#This Row],[Actual_Lead_Time]] &lt;= Table1[[#This Row],[Standard_Lead_Time]], OR(ISBLANK(J169), J169 = 0)), "OTIF", "Non-OTIF")</f>
        <v>Non-OTIF</v>
      </c>
      <c r="P169">
        <f>IF(Table1[[#This Row],[OTIF_Status]] = "OTIF", 1, 0)</f>
        <v>0</v>
      </c>
      <c r="Q169" s="5">
        <f t="shared" si="9"/>
        <v>17291.47</v>
      </c>
      <c r="R169" s="5">
        <f t="shared" si="10"/>
        <v>16749.05</v>
      </c>
      <c r="S169" s="5">
        <f>Table1[[#This Row],[Total_Line_Spend]]-Table1[[#This Row],[Negotiated_Total]]</f>
        <v>542.42000000000189</v>
      </c>
      <c r="T169" t="str">
        <f xml:space="preserve"> IF(Table1[[#This Row],[Delay_Days]] &gt; 4, "High Risk", IF(Table1[[#This Row],[Delay_Days]] &gt; 0, "Medium Risk", "Low Risk"))</f>
        <v>Low Risk</v>
      </c>
    </row>
    <row r="170" spans="1:20" x14ac:dyDescent="0.25">
      <c r="A170" t="s">
        <v>195</v>
      </c>
      <c r="B170" t="s">
        <v>807</v>
      </c>
      <c r="C170" s="1">
        <v>45202</v>
      </c>
      <c r="D170" s="1">
        <v>45204</v>
      </c>
      <c r="E170" t="s">
        <v>26</v>
      </c>
      <c r="F170" t="s">
        <v>18</v>
      </c>
      <c r="G170">
        <v>1945</v>
      </c>
      <c r="H170" s="5">
        <v>103.2</v>
      </c>
      <c r="I170" s="5">
        <v>88.56</v>
      </c>
      <c r="K170" t="s">
        <v>15</v>
      </c>
      <c r="L170">
        <f t="shared" si="11"/>
        <v>2</v>
      </c>
      <c r="M170">
        <v>11</v>
      </c>
      <c r="N170">
        <f t="shared" si="8"/>
        <v>0</v>
      </c>
      <c r="O170" t="str">
        <f xml:space="preserve"> IF(AND(Table1[[#This Row],[Actual_Lead_Time]] &lt;= Table1[[#This Row],[Standard_Lead_Time]], OR(ISBLANK(J170), J170 = 0)), "OTIF", "Non-OTIF")</f>
        <v>OTIF</v>
      </c>
      <c r="P170">
        <f>IF(Table1[[#This Row],[OTIF_Status]] = "OTIF", 1, 0)</f>
        <v>1</v>
      </c>
      <c r="Q170" s="5">
        <f t="shared" si="9"/>
        <v>200724</v>
      </c>
      <c r="R170" s="5">
        <f t="shared" si="10"/>
        <v>172249.2</v>
      </c>
      <c r="S170" s="5">
        <f>Table1[[#This Row],[Total_Line_Spend]]-Table1[[#This Row],[Negotiated_Total]]</f>
        <v>28474.799999999988</v>
      </c>
      <c r="T170" t="str">
        <f xml:space="preserve"> IF(Table1[[#This Row],[Delay_Days]] &gt; 4, "High Risk", IF(Table1[[#This Row],[Delay_Days]] &gt; 0, "Medium Risk", "Low Risk"))</f>
        <v>Low Risk</v>
      </c>
    </row>
    <row r="171" spans="1:20" x14ac:dyDescent="0.25">
      <c r="A171" t="s">
        <v>196</v>
      </c>
      <c r="B171" t="s">
        <v>806</v>
      </c>
      <c r="C171" s="1">
        <v>44867</v>
      </c>
      <c r="D171" s="1">
        <v>44886</v>
      </c>
      <c r="E171" t="s">
        <v>26</v>
      </c>
      <c r="F171" t="s">
        <v>18</v>
      </c>
      <c r="G171">
        <v>775</v>
      </c>
      <c r="H171" s="5">
        <v>57</v>
      </c>
      <c r="I171" s="5">
        <v>49.14</v>
      </c>
      <c r="J171">
        <v>48</v>
      </c>
      <c r="K171" t="s">
        <v>15</v>
      </c>
      <c r="L171">
        <f t="shared" si="11"/>
        <v>19</v>
      </c>
      <c r="M171">
        <v>11</v>
      </c>
      <c r="N171">
        <f t="shared" si="8"/>
        <v>8</v>
      </c>
      <c r="O171" t="str">
        <f xml:space="preserve"> IF(AND(Table1[[#This Row],[Actual_Lead_Time]] &lt;= Table1[[#This Row],[Standard_Lead_Time]], OR(ISBLANK(J171), J171 = 0)), "OTIF", "Non-OTIF")</f>
        <v>Non-OTIF</v>
      </c>
      <c r="P171">
        <f>IF(Table1[[#This Row],[OTIF_Status]] = "OTIF", 1, 0)</f>
        <v>0</v>
      </c>
      <c r="Q171" s="5">
        <f t="shared" si="9"/>
        <v>44175</v>
      </c>
      <c r="R171" s="5">
        <f t="shared" si="10"/>
        <v>38083.5</v>
      </c>
      <c r="S171" s="5">
        <f>Table1[[#This Row],[Total_Line_Spend]]-Table1[[#This Row],[Negotiated_Total]]</f>
        <v>6091.5</v>
      </c>
      <c r="T171" t="str">
        <f xml:space="preserve"> IF(Table1[[#This Row],[Delay_Days]] &gt; 4, "High Risk", IF(Table1[[#This Row],[Delay_Days]] &gt; 0, "Medium Risk", "Low Risk"))</f>
        <v>High Risk</v>
      </c>
    </row>
    <row r="172" spans="1:20" x14ac:dyDescent="0.25">
      <c r="A172" t="s">
        <v>197</v>
      </c>
      <c r="B172" t="s">
        <v>805</v>
      </c>
      <c r="C172" s="1">
        <v>45216</v>
      </c>
      <c r="D172" s="1">
        <v>45220</v>
      </c>
      <c r="E172" t="s">
        <v>24</v>
      </c>
      <c r="F172" t="s">
        <v>18</v>
      </c>
      <c r="G172">
        <v>1620</v>
      </c>
      <c r="H172" s="5">
        <v>36.729999999999997</v>
      </c>
      <c r="I172" s="5">
        <v>33.450000000000003</v>
      </c>
      <c r="J172">
        <v>235</v>
      </c>
      <c r="K172" t="s">
        <v>27</v>
      </c>
      <c r="L172">
        <f t="shared" si="11"/>
        <v>4</v>
      </c>
      <c r="M172">
        <v>11</v>
      </c>
      <c r="N172">
        <f t="shared" si="8"/>
        <v>0</v>
      </c>
      <c r="O172" t="str">
        <f xml:space="preserve"> IF(AND(Table1[[#This Row],[Actual_Lead_Time]] &lt;= Table1[[#This Row],[Standard_Lead_Time]], OR(ISBLANK(J172), J172 = 0)), "OTIF", "Non-OTIF")</f>
        <v>Non-OTIF</v>
      </c>
      <c r="P172">
        <f>IF(Table1[[#This Row],[OTIF_Status]] = "OTIF", 1, 0)</f>
        <v>0</v>
      </c>
      <c r="Q172" s="5">
        <f t="shared" si="9"/>
        <v>59502.6</v>
      </c>
      <c r="R172" s="5">
        <f t="shared" si="10"/>
        <v>54189.000000000007</v>
      </c>
      <c r="S172" s="5">
        <f>Table1[[#This Row],[Total_Line_Spend]]-Table1[[#This Row],[Negotiated_Total]]</f>
        <v>5313.5999999999913</v>
      </c>
      <c r="T172" t="str">
        <f xml:space="preserve"> IF(Table1[[#This Row],[Delay_Days]] &gt; 4, "High Risk", IF(Table1[[#This Row],[Delay_Days]] &gt; 0, "Medium Risk", "Low Risk"))</f>
        <v>Low Risk</v>
      </c>
    </row>
    <row r="173" spans="1:20" x14ac:dyDescent="0.25">
      <c r="A173" t="s">
        <v>198</v>
      </c>
      <c r="B173" t="s">
        <v>807</v>
      </c>
      <c r="C173" s="1">
        <v>45081</v>
      </c>
      <c r="D173" s="1">
        <v>45096</v>
      </c>
      <c r="E173" t="s">
        <v>13</v>
      </c>
      <c r="F173" t="s">
        <v>18</v>
      </c>
      <c r="G173">
        <v>1010</v>
      </c>
      <c r="H173" s="5">
        <v>55.68</v>
      </c>
      <c r="I173" s="5">
        <v>50.86</v>
      </c>
      <c r="K173" t="s">
        <v>15</v>
      </c>
      <c r="L173">
        <f t="shared" si="11"/>
        <v>15</v>
      </c>
      <c r="M173">
        <v>11</v>
      </c>
      <c r="N173">
        <f t="shared" si="8"/>
        <v>4</v>
      </c>
      <c r="O173" t="str">
        <f xml:space="preserve"> IF(AND(Table1[[#This Row],[Actual_Lead_Time]] &lt;= Table1[[#This Row],[Standard_Lead_Time]], OR(ISBLANK(J173), J173 = 0)), "OTIF", "Non-OTIF")</f>
        <v>Non-OTIF</v>
      </c>
      <c r="P173">
        <f>IF(Table1[[#This Row],[OTIF_Status]] = "OTIF", 1, 0)</f>
        <v>0</v>
      </c>
      <c r="Q173" s="5">
        <f t="shared" si="9"/>
        <v>56236.800000000003</v>
      </c>
      <c r="R173" s="5">
        <f t="shared" si="10"/>
        <v>51368.6</v>
      </c>
      <c r="S173" s="5">
        <f>Table1[[#This Row],[Total_Line_Spend]]-Table1[[#This Row],[Negotiated_Total]]</f>
        <v>4868.2000000000044</v>
      </c>
      <c r="T173" t="str">
        <f xml:space="preserve"> IF(Table1[[#This Row],[Delay_Days]] &gt; 4, "High Risk", IF(Table1[[#This Row],[Delay_Days]] &gt; 0, "Medium Risk", "Low Risk"))</f>
        <v>Medium Risk</v>
      </c>
    </row>
    <row r="174" spans="1:20" x14ac:dyDescent="0.25">
      <c r="A174" t="s">
        <v>199</v>
      </c>
      <c r="B174" t="s">
        <v>808</v>
      </c>
      <c r="C174" s="1">
        <v>45185</v>
      </c>
      <c r="D174" s="1">
        <v>45200</v>
      </c>
      <c r="E174" t="s">
        <v>13</v>
      </c>
      <c r="F174" t="s">
        <v>18</v>
      </c>
      <c r="G174">
        <v>1812</v>
      </c>
      <c r="H174" s="5">
        <v>108.02</v>
      </c>
      <c r="I174" s="5">
        <v>101.02</v>
      </c>
      <c r="J174">
        <v>51</v>
      </c>
      <c r="K174" t="s">
        <v>15</v>
      </c>
      <c r="L174">
        <f t="shared" si="11"/>
        <v>15</v>
      </c>
      <c r="M174">
        <v>11</v>
      </c>
      <c r="N174">
        <f t="shared" si="8"/>
        <v>4</v>
      </c>
      <c r="O174" t="str">
        <f xml:space="preserve"> IF(AND(Table1[[#This Row],[Actual_Lead_Time]] &lt;= Table1[[#This Row],[Standard_Lead_Time]], OR(ISBLANK(J174), J174 = 0)), "OTIF", "Non-OTIF")</f>
        <v>Non-OTIF</v>
      </c>
      <c r="P174">
        <f>IF(Table1[[#This Row],[OTIF_Status]] = "OTIF", 1, 0)</f>
        <v>0</v>
      </c>
      <c r="Q174" s="5">
        <f t="shared" si="9"/>
        <v>195732.24</v>
      </c>
      <c r="R174" s="5">
        <f t="shared" si="10"/>
        <v>183048.24</v>
      </c>
      <c r="S174" s="5">
        <f>Table1[[#This Row],[Total_Line_Spend]]-Table1[[#This Row],[Negotiated_Total]]</f>
        <v>12684</v>
      </c>
      <c r="T174" t="str">
        <f xml:space="preserve"> IF(Table1[[#This Row],[Delay_Days]] &gt; 4, "High Risk", IF(Table1[[#This Row],[Delay_Days]] &gt; 0, "Medium Risk", "Low Risk"))</f>
        <v>Medium Risk</v>
      </c>
    </row>
    <row r="175" spans="1:20" x14ac:dyDescent="0.25">
      <c r="A175" t="s">
        <v>200</v>
      </c>
      <c r="B175" t="s">
        <v>805</v>
      </c>
      <c r="C175" s="1">
        <v>44765</v>
      </c>
      <c r="D175" s="1">
        <v>44770</v>
      </c>
      <c r="E175" t="s">
        <v>13</v>
      </c>
      <c r="F175" t="s">
        <v>18</v>
      </c>
      <c r="G175">
        <v>662</v>
      </c>
      <c r="H175" s="5">
        <v>55.97</v>
      </c>
      <c r="I175" s="5">
        <v>50</v>
      </c>
      <c r="J175">
        <v>100</v>
      </c>
      <c r="K175" t="s">
        <v>15</v>
      </c>
      <c r="L175">
        <f t="shared" si="11"/>
        <v>5</v>
      </c>
      <c r="M175">
        <v>11</v>
      </c>
      <c r="N175">
        <f t="shared" si="8"/>
        <v>0</v>
      </c>
      <c r="O175" t="str">
        <f xml:space="preserve"> IF(AND(Table1[[#This Row],[Actual_Lead_Time]] &lt;= Table1[[#This Row],[Standard_Lead_Time]], OR(ISBLANK(J175), J175 = 0)), "OTIF", "Non-OTIF")</f>
        <v>Non-OTIF</v>
      </c>
      <c r="P175">
        <f>IF(Table1[[#This Row],[OTIF_Status]] = "OTIF", 1, 0)</f>
        <v>0</v>
      </c>
      <c r="Q175" s="5">
        <f t="shared" si="9"/>
        <v>37052.14</v>
      </c>
      <c r="R175" s="5">
        <f t="shared" si="10"/>
        <v>33100</v>
      </c>
      <c r="S175" s="5">
        <f>Table1[[#This Row],[Total_Line_Spend]]-Table1[[#This Row],[Negotiated_Total]]</f>
        <v>3952.1399999999994</v>
      </c>
      <c r="T175" t="str">
        <f xml:space="preserve"> IF(Table1[[#This Row],[Delay_Days]] &gt; 4, "High Risk", IF(Table1[[#This Row],[Delay_Days]] &gt; 0, "Medium Risk", "Low Risk"))</f>
        <v>Low Risk</v>
      </c>
    </row>
    <row r="176" spans="1:20" x14ac:dyDescent="0.25">
      <c r="A176" t="s">
        <v>201</v>
      </c>
      <c r="B176" t="s">
        <v>807</v>
      </c>
      <c r="C176" s="1">
        <v>44718</v>
      </c>
      <c r="D176" s="1">
        <v>44723</v>
      </c>
      <c r="E176" t="s">
        <v>13</v>
      </c>
      <c r="F176" t="s">
        <v>35</v>
      </c>
      <c r="G176">
        <v>1535</v>
      </c>
      <c r="H176" s="5">
        <v>40.58</v>
      </c>
      <c r="I176" s="5">
        <v>38.71</v>
      </c>
      <c r="J176">
        <v>165</v>
      </c>
      <c r="K176" t="s">
        <v>15</v>
      </c>
      <c r="L176">
        <f t="shared" si="11"/>
        <v>5</v>
      </c>
      <c r="M176">
        <v>11</v>
      </c>
      <c r="N176">
        <f t="shared" si="8"/>
        <v>0</v>
      </c>
      <c r="O176" t="str">
        <f xml:space="preserve"> IF(AND(Table1[[#This Row],[Actual_Lead_Time]] &lt;= Table1[[#This Row],[Standard_Lead_Time]], OR(ISBLANK(J176), J176 = 0)), "OTIF", "Non-OTIF")</f>
        <v>Non-OTIF</v>
      </c>
      <c r="P176">
        <f>IF(Table1[[#This Row],[OTIF_Status]] = "OTIF", 1, 0)</f>
        <v>0</v>
      </c>
      <c r="Q176" s="5">
        <f t="shared" si="9"/>
        <v>62290.299999999996</v>
      </c>
      <c r="R176" s="5">
        <f t="shared" si="10"/>
        <v>59419.85</v>
      </c>
      <c r="S176" s="5">
        <f>Table1[[#This Row],[Total_Line_Spend]]-Table1[[#This Row],[Negotiated_Total]]</f>
        <v>2870.4499999999971</v>
      </c>
      <c r="T176" t="str">
        <f xml:space="preserve"> IF(Table1[[#This Row],[Delay_Days]] &gt; 4, "High Risk", IF(Table1[[#This Row],[Delay_Days]] &gt; 0, "Medium Risk", "Low Risk"))</f>
        <v>Low Risk</v>
      </c>
    </row>
    <row r="177" spans="1:20" x14ac:dyDescent="0.25">
      <c r="A177" t="s">
        <v>202</v>
      </c>
      <c r="B177" t="s">
        <v>807</v>
      </c>
      <c r="C177" s="1">
        <v>44944</v>
      </c>
      <c r="D177" s="1">
        <v>44953</v>
      </c>
      <c r="E177" t="s">
        <v>26</v>
      </c>
      <c r="F177" t="s">
        <v>18</v>
      </c>
      <c r="G177">
        <v>692</v>
      </c>
      <c r="H177" s="5">
        <v>71.03</v>
      </c>
      <c r="I177" s="5">
        <v>67.739999999999995</v>
      </c>
      <c r="J177">
        <v>70</v>
      </c>
      <c r="K177" t="s">
        <v>15</v>
      </c>
      <c r="L177">
        <f t="shared" si="11"/>
        <v>9</v>
      </c>
      <c r="M177">
        <v>11</v>
      </c>
      <c r="N177">
        <f t="shared" si="8"/>
        <v>0</v>
      </c>
      <c r="O177" t="str">
        <f xml:space="preserve"> IF(AND(Table1[[#This Row],[Actual_Lead_Time]] &lt;= Table1[[#This Row],[Standard_Lead_Time]], OR(ISBLANK(J177), J177 = 0)), "OTIF", "Non-OTIF")</f>
        <v>Non-OTIF</v>
      </c>
      <c r="P177">
        <f>IF(Table1[[#This Row],[OTIF_Status]] = "OTIF", 1, 0)</f>
        <v>0</v>
      </c>
      <c r="Q177" s="5">
        <f t="shared" si="9"/>
        <v>49152.76</v>
      </c>
      <c r="R177" s="5">
        <f t="shared" si="10"/>
        <v>46876.079999999994</v>
      </c>
      <c r="S177" s="5">
        <f>Table1[[#This Row],[Total_Line_Spend]]-Table1[[#This Row],[Negotiated_Total]]</f>
        <v>2276.6800000000076</v>
      </c>
      <c r="T177" t="str">
        <f xml:space="preserve"> IF(Table1[[#This Row],[Delay_Days]] &gt; 4, "High Risk", IF(Table1[[#This Row],[Delay_Days]] &gt; 0, "Medium Risk", "Low Risk"))</f>
        <v>Low Risk</v>
      </c>
    </row>
    <row r="178" spans="1:20" x14ac:dyDescent="0.25">
      <c r="A178" t="s">
        <v>203</v>
      </c>
      <c r="B178" t="s">
        <v>806</v>
      </c>
      <c r="C178" s="1">
        <v>44727</v>
      </c>
      <c r="D178" s="1">
        <v>44740</v>
      </c>
      <c r="E178" t="s">
        <v>21</v>
      </c>
      <c r="F178" t="s">
        <v>18</v>
      </c>
      <c r="G178">
        <v>1842</v>
      </c>
      <c r="H178" s="5">
        <v>32.4</v>
      </c>
      <c r="I178" s="5">
        <v>28.08</v>
      </c>
      <c r="J178">
        <v>96</v>
      </c>
      <c r="K178" t="s">
        <v>15</v>
      </c>
      <c r="L178">
        <f t="shared" si="11"/>
        <v>13</v>
      </c>
      <c r="M178">
        <v>11</v>
      </c>
      <c r="N178">
        <f t="shared" si="8"/>
        <v>2</v>
      </c>
      <c r="O178" t="str">
        <f xml:space="preserve"> IF(AND(Table1[[#This Row],[Actual_Lead_Time]] &lt;= Table1[[#This Row],[Standard_Lead_Time]], OR(ISBLANK(J178), J178 = 0)), "OTIF", "Non-OTIF")</f>
        <v>Non-OTIF</v>
      </c>
      <c r="P178">
        <f>IF(Table1[[#This Row],[OTIF_Status]] = "OTIF", 1, 0)</f>
        <v>0</v>
      </c>
      <c r="Q178" s="5">
        <f t="shared" si="9"/>
        <v>59680.799999999996</v>
      </c>
      <c r="R178" s="5">
        <f t="shared" si="10"/>
        <v>51723.359999999993</v>
      </c>
      <c r="S178" s="5">
        <f>Table1[[#This Row],[Total_Line_Spend]]-Table1[[#This Row],[Negotiated_Total]]</f>
        <v>7957.4400000000023</v>
      </c>
      <c r="T178" t="str">
        <f xml:space="preserve"> IF(Table1[[#This Row],[Delay_Days]] &gt; 4, "High Risk", IF(Table1[[#This Row],[Delay_Days]] &gt; 0, "Medium Risk", "Low Risk"))</f>
        <v>Medium Risk</v>
      </c>
    </row>
    <row r="179" spans="1:20" x14ac:dyDescent="0.25">
      <c r="A179" t="s">
        <v>204</v>
      </c>
      <c r="B179" t="s">
        <v>807</v>
      </c>
      <c r="C179" s="1">
        <v>45114</v>
      </c>
      <c r="D179" s="1">
        <v>45125</v>
      </c>
      <c r="E179" t="s">
        <v>13</v>
      </c>
      <c r="F179" t="s">
        <v>14</v>
      </c>
      <c r="G179">
        <v>1078</v>
      </c>
      <c r="H179" s="5">
        <v>18.34</v>
      </c>
      <c r="I179" s="5">
        <v>17.41</v>
      </c>
      <c r="J179">
        <v>102</v>
      </c>
      <c r="K179" t="s">
        <v>15</v>
      </c>
      <c r="L179">
        <f t="shared" si="11"/>
        <v>11</v>
      </c>
      <c r="M179">
        <v>11</v>
      </c>
      <c r="N179">
        <f t="shared" si="8"/>
        <v>0</v>
      </c>
      <c r="O179" t="str">
        <f xml:space="preserve"> IF(AND(Table1[[#This Row],[Actual_Lead_Time]] &lt;= Table1[[#This Row],[Standard_Lead_Time]], OR(ISBLANK(J179), J179 = 0)), "OTIF", "Non-OTIF")</f>
        <v>Non-OTIF</v>
      </c>
      <c r="P179">
        <f>IF(Table1[[#This Row],[OTIF_Status]] = "OTIF", 1, 0)</f>
        <v>0</v>
      </c>
      <c r="Q179" s="5">
        <f t="shared" si="9"/>
        <v>19770.52</v>
      </c>
      <c r="R179" s="5">
        <f t="shared" si="10"/>
        <v>18767.98</v>
      </c>
      <c r="S179" s="5">
        <f>Table1[[#This Row],[Total_Line_Spend]]-Table1[[#This Row],[Negotiated_Total]]</f>
        <v>1002.5400000000009</v>
      </c>
      <c r="T179" t="str">
        <f xml:space="preserve"> IF(Table1[[#This Row],[Delay_Days]] &gt; 4, "High Risk", IF(Table1[[#This Row],[Delay_Days]] &gt; 0, "Medium Risk", "Low Risk"))</f>
        <v>Low Risk</v>
      </c>
    </row>
    <row r="180" spans="1:20" x14ac:dyDescent="0.25">
      <c r="A180" t="s">
        <v>205</v>
      </c>
      <c r="B180" t="s">
        <v>805</v>
      </c>
      <c r="C180" s="1">
        <v>45105</v>
      </c>
      <c r="D180" s="1">
        <v>45123</v>
      </c>
      <c r="E180" t="s">
        <v>24</v>
      </c>
      <c r="F180" t="s">
        <v>18</v>
      </c>
      <c r="G180">
        <v>1291</v>
      </c>
      <c r="H180" s="5">
        <v>23.44</v>
      </c>
      <c r="I180" s="5">
        <v>22.23</v>
      </c>
      <c r="K180" t="s">
        <v>15</v>
      </c>
      <c r="L180">
        <f t="shared" si="11"/>
        <v>18</v>
      </c>
      <c r="M180">
        <v>11</v>
      </c>
      <c r="N180">
        <f t="shared" si="8"/>
        <v>7</v>
      </c>
      <c r="O180" t="str">
        <f xml:space="preserve"> IF(AND(Table1[[#This Row],[Actual_Lead_Time]] &lt;= Table1[[#This Row],[Standard_Lead_Time]], OR(ISBLANK(J180), J180 = 0)), "OTIF", "Non-OTIF")</f>
        <v>Non-OTIF</v>
      </c>
      <c r="P180">
        <f>IF(Table1[[#This Row],[OTIF_Status]] = "OTIF", 1, 0)</f>
        <v>0</v>
      </c>
      <c r="Q180" s="5">
        <f t="shared" si="9"/>
        <v>30261.040000000001</v>
      </c>
      <c r="R180" s="5">
        <f t="shared" si="10"/>
        <v>28698.93</v>
      </c>
      <c r="S180" s="5">
        <f>Table1[[#This Row],[Total_Line_Spend]]-Table1[[#This Row],[Negotiated_Total]]</f>
        <v>1562.1100000000006</v>
      </c>
      <c r="T180" t="str">
        <f xml:space="preserve"> IF(Table1[[#This Row],[Delay_Days]] &gt; 4, "High Risk", IF(Table1[[#This Row],[Delay_Days]] &gt; 0, "Medium Risk", "Low Risk"))</f>
        <v>High Risk</v>
      </c>
    </row>
    <row r="181" spans="1:20" x14ac:dyDescent="0.25">
      <c r="A181" t="s">
        <v>206</v>
      </c>
      <c r="B181" t="s">
        <v>804</v>
      </c>
      <c r="C181" s="1">
        <v>44562</v>
      </c>
      <c r="D181" s="1">
        <v>44573</v>
      </c>
      <c r="E181" t="s">
        <v>39</v>
      </c>
      <c r="F181" t="s">
        <v>18</v>
      </c>
      <c r="G181">
        <v>552</v>
      </c>
      <c r="H181" s="5">
        <v>21.52</v>
      </c>
      <c r="I181" s="5">
        <v>18.79</v>
      </c>
      <c r="J181">
        <v>13</v>
      </c>
      <c r="K181" t="s">
        <v>15</v>
      </c>
      <c r="L181">
        <f t="shared" si="11"/>
        <v>11</v>
      </c>
      <c r="M181">
        <v>11</v>
      </c>
      <c r="N181">
        <f t="shared" si="8"/>
        <v>0</v>
      </c>
      <c r="O181" t="str">
        <f xml:space="preserve"> IF(AND(Table1[[#This Row],[Actual_Lead_Time]] &lt;= Table1[[#This Row],[Standard_Lead_Time]], OR(ISBLANK(J181), J181 = 0)), "OTIF", "Non-OTIF")</f>
        <v>Non-OTIF</v>
      </c>
      <c r="P181">
        <f>IF(Table1[[#This Row],[OTIF_Status]] = "OTIF", 1, 0)</f>
        <v>0</v>
      </c>
      <c r="Q181" s="5">
        <f t="shared" si="9"/>
        <v>11879.039999999999</v>
      </c>
      <c r="R181" s="5">
        <f t="shared" si="10"/>
        <v>10372.08</v>
      </c>
      <c r="S181" s="5">
        <f>Table1[[#This Row],[Total_Line_Spend]]-Table1[[#This Row],[Negotiated_Total]]</f>
        <v>1506.9599999999991</v>
      </c>
      <c r="T181" t="str">
        <f xml:space="preserve"> IF(Table1[[#This Row],[Delay_Days]] &gt; 4, "High Risk", IF(Table1[[#This Row],[Delay_Days]] &gt; 0, "Medium Risk", "Low Risk"))</f>
        <v>Low Risk</v>
      </c>
    </row>
    <row r="182" spans="1:20" x14ac:dyDescent="0.25">
      <c r="A182" t="s">
        <v>207</v>
      </c>
      <c r="B182" t="s">
        <v>808</v>
      </c>
      <c r="C182" s="1">
        <v>45175</v>
      </c>
      <c r="D182" s="1">
        <v>45191</v>
      </c>
      <c r="E182" t="s">
        <v>39</v>
      </c>
      <c r="F182" t="s">
        <v>18</v>
      </c>
      <c r="G182">
        <v>816</v>
      </c>
      <c r="H182" s="5">
        <v>26.04</v>
      </c>
      <c r="I182" s="5">
        <v>25.61</v>
      </c>
      <c r="J182">
        <v>28</v>
      </c>
      <c r="K182" t="s">
        <v>15</v>
      </c>
      <c r="L182">
        <f t="shared" si="11"/>
        <v>16</v>
      </c>
      <c r="M182">
        <v>11</v>
      </c>
      <c r="N182">
        <f t="shared" si="8"/>
        <v>5</v>
      </c>
      <c r="O182" t="str">
        <f xml:space="preserve"> IF(AND(Table1[[#This Row],[Actual_Lead_Time]] &lt;= Table1[[#This Row],[Standard_Lead_Time]], OR(ISBLANK(J182), J182 = 0)), "OTIF", "Non-OTIF")</f>
        <v>Non-OTIF</v>
      </c>
      <c r="P182">
        <f>IF(Table1[[#This Row],[OTIF_Status]] = "OTIF", 1, 0)</f>
        <v>0</v>
      </c>
      <c r="Q182" s="5">
        <f t="shared" si="9"/>
        <v>21248.639999999999</v>
      </c>
      <c r="R182" s="5">
        <f t="shared" si="10"/>
        <v>20897.759999999998</v>
      </c>
      <c r="S182" s="5">
        <f>Table1[[#This Row],[Total_Line_Spend]]-Table1[[#This Row],[Negotiated_Total]]</f>
        <v>350.88000000000102</v>
      </c>
      <c r="T182" t="str">
        <f xml:space="preserve"> IF(Table1[[#This Row],[Delay_Days]] &gt; 4, "High Risk", IF(Table1[[#This Row],[Delay_Days]] &gt; 0, "Medium Risk", "Low Risk"))</f>
        <v>High Risk</v>
      </c>
    </row>
    <row r="183" spans="1:20" x14ac:dyDescent="0.25">
      <c r="A183" t="s">
        <v>208</v>
      </c>
      <c r="B183" t="s">
        <v>805</v>
      </c>
      <c r="C183" s="1">
        <v>44893</v>
      </c>
      <c r="D183" s="1">
        <v>44895</v>
      </c>
      <c r="E183" t="s">
        <v>24</v>
      </c>
      <c r="F183" t="s">
        <v>18</v>
      </c>
      <c r="G183">
        <v>447</v>
      </c>
      <c r="H183" s="5">
        <v>23.62</v>
      </c>
      <c r="I183" s="5">
        <v>21.81</v>
      </c>
      <c r="J183">
        <v>50</v>
      </c>
      <c r="K183" t="s">
        <v>15</v>
      </c>
      <c r="L183">
        <f t="shared" si="11"/>
        <v>2</v>
      </c>
      <c r="M183">
        <v>11</v>
      </c>
      <c r="N183">
        <f t="shared" si="8"/>
        <v>0</v>
      </c>
      <c r="O183" t="str">
        <f xml:space="preserve"> IF(AND(Table1[[#This Row],[Actual_Lead_Time]] &lt;= Table1[[#This Row],[Standard_Lead_Time]], OR(ISBLANK(J183), J183 = 0)), "OTIF", "Non-OTIF")</f>
        <v>Non-OTIF</v>
      </c>
      <c r="P183">
        <f>IF(Table1[[#This Row],[OTIF_Status]] = "OTIF", 1, 0)</f>
        <v>0</v>
      </c>
      <c r="Q183" s="5">
        <f t="shared" si="9"/>
        <v>10558.140000000001</v>
      </c>
      <c r="R183" s="5">
        <f t="shared" si="10"/>
        <v>9749.07</v>
      </c>
      <c r="S183" s="5">
        <f>Table1[[#This Row],[Total_Line_Spend]]-Table1[[#This Row],[Negotiated_Total]]</f>
        <v>809.07000000000153</v>
      </c>
      <c r="T183" t="str">
        <f xml:space="preserve"> IF(Table1[[#This Row],[Delay_Days]] &gt; 4, "High Risk", IF(Table1[[#This Row],[Delay_Days]] &gt; 0, "Medium Risk", "Low Risk"))</f>
        <v>Low Risk</v>
      </c>
    </row>
    <row r="184" spans="1:20" x14ac:dyDescent="0.25">
      <c r="A184" t="s">
        <v>209</v>
      </c>
      <c r="B184" t="s">
        <v>805</v>
      </c>
      <c r="C184" s="1">
        <v>45062</v>
      </c>
      <c r="D184" s="1">
        <v>45070</v>
      </c>
      <c r="E184" t="s">
        <v>24</v>
      </c>
      <c r="F184" t="s">
        <v>33</v>
      </c>
      <c r="G184">
        <v>920</v>
      </c>
      <c r="H184" s="5">
        <v>73.09</v>
      </c>
      <c r="I184" s="5">
        <v>70.14</v>
      </c>
      <c r="K184" t="s">
        <v>15</v>
      </c>
      <c r="L184">
        <f t="shared" si="11"/>
        <v>8</v>
      </c>
      <c r="M184">
        <v>11</v>
      </c>
      <c r="N184">
        <f t="shared" si="8"/>
        <v>0</v>
      </c>
      <c r="O184" t="str">
        <f xml:space="preserve"> IF(AND(Table1[[#This Row],[Actual_Lead_Time]] &lt;= Table1[[#This Row],[Standard_Lead_Time]], OR(ISBLANK(J184), J184 = 0)), "OTIF", "Non-OTIF")</f>
        <v>OTIF</v>
      </c>
      <c r="P184">
        <f>IF(Table1[[#This Row],[OTIF_Status]] = "OTIF", 1, 0)</f>
        <v>1</v>
      </c>
      <c r="Q184" s="5">
        <f t="shared" si="9"/>
        <v>67242.8</v>
      </c>
      <c r="R184" s="5">
        <f t="shared" si="10"/>
        <v>64528.800000000003</v>
      </c>
      <c r="S184" s="5">
        <f>Table1[[#This Row],[Total_Line_Spend]]-Table1[[#This Row],[Negotiated_Total]]</f>
        <v>2714</v>
      </c>
      <c r="T184" t="str">
        <f xml:space="preserve"> IF(Table1[[#This Row],[Delay_Days]] &gt; 4, "High Risk", IF(Table1[[#This Row],[Delay_Days]] &gt; 0, "Medium Risk", "Low Risk"))</f>
        <v>Low Risk</v>
      </c>
    </row>
    <row r="185" spans="1:20" x14ac:dyDescent="0.25">
      <c r="A185" t="s">
        <v>210</v>
      </c>
      <c r="B185" t="s">
        <v>808</v>
      </c>
      <c r="C185" s="1">
        <v>44581</v>
      </c>
      <c r="D185" s="1">
        <v>44591</v>
      </c>
      <c r="E185" t="s">
        <v>24</v>
      </c>
      <c r="F185" t="s">
        <v>33</v>
      </c>
      <c r="G185">
        <v>844</v>
      </c>
      <c r="H185" s="5">
        <v>26.37</v>
      </c>
      <c r="I185" s="5">
        <v>25.08</v>
      </c>
      <c r="J185">
        <v>38</v>
      </c>
      <c r="K185" t="s">
        <v>15</v>
      </c>
      <c r="L185">
        <f t="shared" si="11"/>
        <v>10</v>
      </c>
      <c r="M185">
        <v>11</v>
      </c>
      <c r="N185">
        <f t="shared" si="8"/>
        <v>0</v>
      </c>
      <c r="O185" t="str">
        <f xml:space="preserve"> IF(AND(Table1[[#This Row],[Actual_Lead_Time]] &lt;= Table1[[#This Row],[Standard_Lead_Time]], OR(ISBLANK(J185), J185 = 0)), "OTIF", "Non-OTIF")</f>
        <v>Non-OTIF</v>
      </c>
      <c r="P185">
        <f>IF(Table1[[#This Row],[OTIF_Status]] = "OTIF", 1, 0)</f>
        <v>0</v>
      </c>
      <c r="Q185" s="5">
        <f t="shared" si="9"/>
        <v>22256.280000000002</v>
      </c>
      <c r="R185" s="5">
        <f t="shared" si="10"/>
        <v>21167.519999999997</v>
      </c>
      <c r="S185" s="5">
        <f>Table1[[#This Row],[Total_Line_Spend]]-Table1[[#This Row],[Negotiated_Total]]</f>
        <v>1088.7600000000057</v>
      </c>
      <c r="T185" t="str">
        <f xml:space="preserve"> IF(Table1[[#This Row],[Delay_Days]] &gt; 4, "High Risk", IF(Table1[[#This Row],[Delay_Days]] &gt; 0, "Medium Risk", "Low Risk"))</f>
        <v>Low Risk</v>
      </c>
    </row>
    <row r="186" spans="1:20" x14ac:dyDescent="0.25">
      <c r="A186" t="s">
        <v>211</v>
      </c>
      <c r="B186" t="s">
        <v>808</v>
      </c>
      <c r="C186" s="1">
        <v>44676</v>
      </c>
      <c r="D186" s="1">
        <v>44687</v>
      </c>
      <c r="E186" t="s">
        <v>21</v>
      </c>
      <c r="F186" t="s">
        <v>18</v>
      </c>
      <c r="G186">
        <v>442</v>
      </c>
      <c r="H186" s="5">
        <v>41.73</v>
      </c>
      <c r="I186" s="5">
        <v>36.450000000000003</v>
      </c>
      <c r="J186">
        <v>15</v>
      </c>
      <c r="K186" t="s">
        <v>15</v>
      </c>
      <c r="L186">
        <f t="shared" si="11"/>
        <v>11</v>
      </c>
      <c r="M186">
        <v>11</v>
      </c>
      <c r="N186">
        <f t="shared" si="8"/>
        <v>0</v>
      </c>
      <c r="O186" t="str">
        <f xml:space="preserve"> IF(AND(Table1[[#This Row],[Actual_Lead_Time]] &lt;= Table1[[#This Row],[Standard_Lead_Time]], OR(ISBLANK(J186), J186 = 0)), "OTIF", "Non-OTIF")</f>
        <v>Non-OTIF</v>
      </c>
      <c r="P186">
        <f>IF(Table1[[#This Row],[OTIF_Status]] = "OTIF", 1, 0)</f>
        <v>0</v>
      </c>
      <c r="Q186" s="5">
        <f t="shared" si="9"/>
        <v>18444.66</v>
      </c>
      <c r="R186" s="5">
        <f t="shared" si="10"/>
        <v>16110.900000000001</v>
      </c>
      <c r="S186" s="5">
        <f>Table1[[#This Row],[Total_Line_Spend]]-Table1[[#This Row],[Negotiated_Total]]</f>
        <v>2333.7599999999984</v>
      </c>
      <c r="T186" t="str">
        <f xml:space="preserve"> IF(Table1[[#This Row],[Delay_Days]] &gt; 4, "High Risk", IF(Table1[[#This Row],[Delay_Days]] &gt; 0, "Medium Risk", "Low Risk"))</f>
        <v>Low Risk</v>
      </c>
    </row>
    <row r="187" spans="1:20" x14ac:dyDescent="0.25">
      <c r="A187" t="s">
        <v>212</v>
      </c>
      <c r="B187" t="s">
        <v>807</v>
      </c>
      <c r="C187" s="1">
        <v>44933</v>
      </c>
      <c r="D187" s="1">
        <v>44947</v>
      </c>
      <c r="E187" t="s">
        <v>39</v>
      </c>
      <c r="F187" t="s">
        <v>14</v>
      </c>
      <c r="G187">
        <v>256</v>
      </c>
      <c r="H187" s="5">
        <v>96.15</v>
      </c>
      <c r="I187" s="5">
        <v>83.44</v>
      </c>
      <c r="J187">
        <v>26</v>
      </c>
      <c r="K187" t="s">
        <v>15</v>
      </c>
      <c r="L187">
        <f t="shared" si="11"/>
        <v>14</v>
      </c>
      <c r="M187">
        <v>11</v>
      </c>
      <c r="N187">
        <f t="shared" si="8"/>
        <v>3</v>
      </c>
      <c r="O187" t="str">
        <f xml:space="preserve"> IF(AND(Table1[[#This Row],[Actual_Lead_Time]] &lt;= Table1[[#This Row],[Standard_Lead_Time]], OR(ISBLANK(J187), J187 = 0)), "OTIF", "Non-OTIF")</f>
        <v>Non-OTIF</v>
      </c>
      <c r="P187">
        <f>IF(Table1[[#This Row],[OTIF_Status]] = "OTIF", 1, 0)</f>
        <v>0</v>
      </c>
      <c r="Q187" s="5">
        <f t="shared" si="9"/>
        <v>24614.400000000001</v>
      </c>
      <c r="R187" s="5">
        <f t="shared" si="10"/>
        <v>21360.639999999999</v>
      </c>
      <c r="S187" s="5">
        <f>Table1[[#This Row],[Total_Line_Spend]]-Table1[[#This Row],[Negotiated_Total]]</f>
        <v>3253.760000000002</v>
      </c>
      <c r="T187" t="str">
        <f xml:space="preserve"> IF(Table1[[#This Row],[Delay_Days]] &gt; 4, "High Risk", IF(Table1[[#This Row],[Delay_Days]] &gt; 0, "Medium Risk", "Low Risk"))</f>
        <v>Medium Risk</v>
      </c>
    </row>
    <row r="188" spans="1:20" x14ac:dyDescent="0.25">
      <c r="A188" t="s">
        <v>213</v>
      </c>
      <c r="B188" t="s">
        <v>805</v>
      </c>
      <c r="C188" s="1">
        <v>44876</v>
      </c>
      <c r="D188" s="1">
        <v>44887</v>
      </c>
      <c r="E188" t="s">
        <v>21</v>
      </c>
      <c r="F188" t="s">
        <v>33</v>
      </c>
      <c r="G188">
        <v>1088</v>
      </c>
      <c r="H188" s="5">
        <v>55.29</v>
      </c>
      <c r="I188" s="5">
        <v>53.04</v>
      </c>
      <c r="J188">
        <v>161</v>
      </c>
      <c r="K188" t="s">
        <v>27</v>
      </c>
      <c r="L188">
        <f t="shared" si="11"/>
        <v>11</v>
      </c>
      <c r="M188">
        <v>11</v>
      </c>
      <c r="N188">
        <f t="shared" si="8"/>
        <v>0</v>
      </c>
      <c r="O188" t="str">
        <f xml:space="preserve"> IF(AND(Table1[[#This Row],[Actual_Lead_Time]] &lt;= Table1[[#This Row],[Standard_Lead_Time]], OR(ISBLANK(J188), J188 = 0)), "OTIF", "Non-OTIF")</f>
        <v>Non-OTIF</v>
      </c>
      <c r="P188">
        <f>IF(Table1[[#This Row],[OTIF_Status]] = "OTIF", 1, 0)</f>
        <v>0</v>
      </c>
      <c r="Q188" s="5">
        <f t="shared" si="9"/>
        <v>60155.519999999997</v>
      </c>
      <c r="R188" s="5">
        <f t="shared" si="10"/>
        <v>57707.519999999997</v>
      </c>
      <c r="S188" s="5">
        <f>Table1[[#This Row],[Total_Line_Spend]]-Table1[[#This Row],[Negotiated_Total]]</f>
        <v>2448</v>
      </c>
      <c r="T188" t="str">
        <f xml:space="preserve"> IF(Table1[[#This Row],[Delay_Days]] &gt; 4, "High Risk", IF(Table1[[#This Row],[Delay_Days]] &gt; 0, "Medium Risk", "Low Risk"))</f>
        <v>Low Risk</v>
      </c>
    </row>
    <row r="189" spans="1:20" x14ac:dyDescent="0.25">
      <c r="A189" t="s">
        <v>214</v>
      </c>
      <c r="B189" t="s">
        <v>807</v>
      </c>
      <c r="C189" s="1">
        <v>44807</v>
      </c>
      <c r="D189" s="1">
        <v>44811</v>
      </c>
      <c r="E189" t="s">
        <v>13</v>
      </c>
      <c r="F189" t="s">
        <v>18</v>
      </c>
      <c r="G189">
        <v>1931</v>
      </c>
      <c r="H189" s="5">
        <v>72.88</v>
      </c>
      <c r="I189" s="5">
        <v>64.69</v>
      </c>
      <c r="J189">
        <v>187</v>
      </c>
      <c r="K189" t="s">
        <v>15</v>
      </c>
      <c r="L189">
        <f t="shared" si="11"/>
        <v>4</v>
      </c>
      <c r="M189">
        <v>11</v>
      </c>
      <c r="N189">
        <f t="shared" si="8"/>
        <v>0</v>
      </c>
      <c r="O189" t="str">
        <f xml:space="preserve"> IF(AND(Table1[[#This Row],[Actual_Lead_Time]] &lt;= Table1[[#This Row],[Standard_Lead_Time]], OR(ISBLANK(J189), J189 = 0)), "OTIF", "Non-OTIF")</f>
        <v>Non-OTIF</v>
      </c>
      <c r="P189">
        <f>IF(Table1[[#This Row],[OTIF_Status]] = "OTIF", 1, 0)</f>
        <v>0</v>
      </c>
      <c r="Q189" s="5">
        <f t="shared" si="9"/>
        <v>140731.28</v>
      </c>
      <c r="R189" s="5">
        <f t="shared" si="10"/>
        <v>124916.39</v>
      </c>
      <c r="S189" s="5">
        <f>Table1[[#This Row],[Total_Line_Spend]]-Table1[[#This Row],[Negotiated_Total]]</f>
        <v>15814.89</v>
      </c>
      <c r="T189" t="str">
        <f xml:space="preserve"> IF(Table1[[#This Row],[Delay_Days]] &gt; 4, "High Risk", IF(Table1[[#This Row],[Delay_Days]] &gt; 0, "Medium Risk", "Low Risk"))</f>
        <v>Low Risk</v>
      </c>
    </row>
    <row r="190" spans="1:20" x14ac:dyDescent="0.25">
      <c r="A190" t="s">
        <v>215</v>
      </c>
      <c r="B190" t="s">
        <v>806</v>
      </c>
      <c r="C190" s="1">
        <v>44621</v>
      </c>
      <c r="D190" s="1">
        <v>44631</v>
      </c>
      <c r="E190" t="s">
        <v>39</v>
      </c>
      <c r="F190" t="s">
        <v>18</v>
      </c>
      <c r="G190">
        <v>1627</v>
      </c>
      <c r="H190" s="5">
        <v>25.76</v>
      </c>
      <c r="I190" s="5">
        <v>25.09</v>
      </c>
      <c r="J190">
        <v>74</v>
      </c>
      <c r="K190" t="s">
        <v>15</v>
      </c>
      <c r="L190">
        <f t="shared" si="11"/>
        <v>10</v>
      </c>
      <c r="M190">
        <v>11</v>
      </c>
      <c r="N190">
        <f t="shared" si="8"/>
        <v>0</v>
      </c>
      <c r="O190" t="str">
        <f xml:space="preserve"> IF(AND(Table1[[#This Row],[Actual_Lead_Time]] &lt;= Table1[[#This Row],[Standard_Lead_Time]], OR(ISBLANK(J190), J190 = 0)), "OTIF", "Non-OTIF")</f>
        <v>Non-OTIF</v>
      </c>
      <c r="P190">
        <f>IF(Table1[[#This Row],[OTIF_Status]] = "OTIF", 1, 0)</f>
        <v>0</v>
      </c>
      <c r="Q190" s="5">
        <f t="shared" si="9"/>
        <v>41911.520000000004</v>
      </c>
      <c r="R190" s="5">
        <f t="shared" si="10"/>
        <v>40821.43</v>
      </c>
      <c r="S190" s="5">
        <f>Table1[[#This Row],[Total_Line_Spend]]-Table1[[#This Row],[Negotiated_Total]]</f>
        <v>1090.0900000000038</v>
      </c>
      <c r="T190" t="str">
        <f xml:space="preserve"> IF(Table1[[#This Row],[Delay_Days]] &gt; 4, "High Risk", IF(Table1[[#This Row],[Delay_Days]] &gt; 0, "Medium Risk", "Low Risk"))</f>
        <v>Low Risk</v>
      </c>
    </row>
    <row r="191" spans="1:20" x14ac:dyDescent="0.25">
      <c r="A191" t="s">
        <v>216</v>
      </c>
      <c r="B191" t="s">
        <v>807</v>
      </c>
      <c r="C191" s="1">
        <v>44808</v>
      </c>
      <c r="D191" s="1">
        <v>44819</v>
      </c>
      <c r="E191" t="s">
        <v>24</v>
      </c>
      <c r="F191" t="s">
        <v>18</v>
      </c>
      <c r="G191">
        <v>941</v>
      </c>
      <c r="H191" s="5">
        <v>28.4</v>
      </c>
      <c r="I191" s="5">
        <v>27.21</v>
      </c>
      <c r="K191" t="s">
        <v>27</v>
      </c>
      <c r="L191">
        <f t="shared" si="11"/>
        <v>11</v>
      </c>
      <c r="M191">
        <v>11</v>
      </c>
      <c r="N191">
        <f t="shared" si="8"/>
        <v>0</v>
      </c>
      <c r="O191" t="str">
        <f xml:space="preserve"> IF(AND(Table1[[#This Row],[Actual_Lead_Time]] &lt;= Table1[[#This Row],[Standard_Lead_Time]], OR(ISBLANK(J191), J191 = 0)), "OTIF", "Non-OTIF")</f>
        <v>OTIF</v>
      </c>
      <c r="P191">
        <f>IF(Table1[[#This Row],[OTIF_Status]] = "OTIF", 1, 0)</f>
        <v>1</v>
      </c>
      <c r="Q191" s="5">
        <f t="shared" si="9"/>
        <v>26724.399999999998</v>
      </c>
      <c r="R191" s="5">
        <f t="shared" si="10"/>
        <v>25604.61</v>
      </c>
      <c r="S191" s="5">
        <f>Table1[[#This Row],[Total_Line_Spend]]-Table1[[#This Row],[Negotiated_Total]]</f>
        <v>1119.7899999999972</v>
      </c>
      <c r="T191" t="str">
        <f xml:space="preserve"> IF(Table1[[#This Row],[Delay_Days]] &gt; 4, "High Risk", IF(Table1[[#This Row],[Delay_Days]] &gt; 0, "Medium Risk", "Low Risk"))</f>
        <v>Low Risk</v>
      </c>
    </row>
    <row r="192" spans="1:20" x14ac:dyDescent="0.25">
      <c r="A192" t="s">
        <v>217</v>
      </c>
      <c r="B192" t="s">
        <v>806</v>
      </c>
      <c r="C192" s="1">
        <v>45142</v>
      </c>
      <c r="D192" s="1">
        <v>45144</v>
      </c>
      <c r="E192" t="s">
        <v>21</v>
      </c>
      <c r="F192" t="s">
        <v>18</v>
      </c>
      <c r="G192">
        <v>1534</v>
      </c>
      <c r="H192" s="5">
        <v>14.98</v>
      </c>
      <c r="I192" s="5">
        <v>12.79</v>
      </c>
      <c r="K192" t="s">
        <v>15</v>
      </c>
      <c r="L192">
        <f t="shared" si="11"/>
        <v>2</v>
      </c>
      <c r="M192">
        <v>11</v>
      </c>
      <c r="N192">
        <f t="shared" si="8"/>
        <v>0</v>
      </c>
      <c r="O192" t="str">
        <f xml:space="preserve"> IF(AND(Table1[[#This Row],[Actual_Lead_Time]] &lt;= Table1[[#This Row],[Standard_Lead_Time]], OR(ISBLANK(J192), J192 = 0)), "OTIF", "Non-OTIF")</f>
        <v>OTIF</v>
      </c>
      <c r="P192">
        <f>IF(Table1[[#This Row],[OTIF_Status]] = "OTIF", 1, 0)</f>
        <v>1</v>
      </c>
      <c r="Q192" s="5">
        <f t="shared" si="9"/>
        <v>22979.32</v>
      </c>
      <c r="R192" s="5">
        <f t="shared" si="10"/>
        <v>19619.859999999997</v>
      </c>
      <c r="S192" s="5">
        <f>Table1[[#This Row],[Total_Line_Spend]]-Table1[[#This Row],[Negotiated_Total]]</f>
        <v>3359.4600000000028</v>
      </c>
      <c r="T192" t="str">
        <f xml:space="preserve"> IF(Table1[[#This Row],[Delay_Days]] &gt; 4, "High Risk", IF(Table1[[#This Row],[Delay_Days]] &gt; 0, "Medium Risk", "Low Risk"))</f>
        <v>Low Risk</v>
      </c>
    </row>
    <row r="193" spans="1:20" x14ac:dyDescent="0.25">
      <c r="A193" t="s">
        <v>218</v>
      </c>
      <c r="B193" t="s">
        <v>804</v>
      </c>
      <c r="C193" s="1">
        <v>44642</v>
      </c>
      <c r="D193" s="1">
        <v>44654</v>
      </c>
      <c r="E193" t="s">
        <v>26</v>
      </c>
      <c r="F193" t="s">
        <v>18</v>
      </c>
      <c r="G193">
        <v>1764</v>
      </c>
      <c r="H193" s="5">
        <v>25.46</v>
      </c>
      <c r="I193" s="5">
        <v>24.52</v>
      </c>
      <c r="J193">
        <v>46</v>
      </c>
      <c r="K193" t="s">
        <v>15</v>
      </c>
      <c r="L193">
        <f t="shared" si="11"/>
        <v>12</v>
      </c>
      <c r="M193">
        <v>11</v>
      </c>
      <c r="N193">
        <f t="shared" si="8"/>
        <v>1</v>
      </c>
      <c r="O193" t="str">
        <f xml:space="preserve"> IF(AND(Table1[[#This Row],[Actual_Lead_Time]] &lt;= Table1[[#This Row],[Standard_Lead_Time]], OR(ISBLANK(J193), J193 = 0)), "OTIF", "Non-OTIF")</f>
        <v>Non-OTIF</v>
      </c>
      <c r="P193">
        <f>IF(Table1[[#This Row],[OTIF_Status]] = "OTIF", 1, 0)</f>
        <v>0</v>
      </c>
      <c r="Q193" s="5">
        <f t="shared" si="9"/>
        <v>44911.44</v>
      </c>
      <c r="R193" s="5">
        <f t="shared" si="10"/>
        <v>43253.279999999999</v>
      </c>
      <c r="S193" s="5">
        <f>Table1[[#This Row],[Total_Line_Spend]]-Table1[[#This Row],[Negotiated_Total]]</f>
        <v>1658.1600000000035</v>
      </c>
      <c r="T193" t="str">
        <f xml:space="preserve"> IF(Table1[[#This Row],[Delay_Days]] &gt; 4, "High Risk", IF(Table1[[#This Row],[Delay_Days]] &gt; 0, "Medium Risk", "Low Risk"))</f>
        <v>Medium Risk</v>
      </c>
    </row>
    <row r="194" spans="1:20" x14ac:dyDescent="0.25">
      <c r="A194" t="s">
        <v>219</v>
      </c>
      <c r="B194" t="s">
        <v>805</v>
      </c>
      <c r="C194" s="1">
        <v>44649</v>
      </c>
      <c r="D194" s="1">
        <v>44657</v>
      </c>
      <c r="E194" t="s">
        <v>39</v>
      </c>
      <c r="F194" t="s">
        <v>18</v>
      </c>
      <c r="G194">
        <v>1648</v>
      </c>
      <c r="H194" s="5">
        <v>35.42</v>
      </c>
      <c r="I194" s="5">
        <v>31.46</v>
      </c>
      <c r="K194" t="s">
        <v>27</v>
      </c>
      <c r="L194">
        <f t="shared" si="11"/>
        <v>8</v>
      </c>
      <c r="M194">
        <v>11</v>
      </c>
      <c r="N194">
        <f t="shared" ref="N194:N257" si="12">MAX(0, L194-M194)</f>
        <v>0</v>
      </c>
      <c r="O194" t="str">
        <f xml:space="preserve"> IF(AND(Table1[[#This Row],[Actual_Lead_Time]] &lt;= Table1[[#This Row],[Standard_Lead_Time]], OR(ISBLANK(J194), J194 = 0)), "OTIF", "Non-OTIF")</f>
        <v>OTIF</v>
      </c>
      <c r="P194">
        <f>IF(Table1[[#This Row],[OTIF_Status]] = "OTIF", 1, 0)</f>
        <v>1</v>
      </c>
      <c r="Q194" s="5">
        <f t="shared" ref="Q194:Q257" si="13" xml:space="preserve"> IFERROR(G194 * H194, 0)</f>
        <v>58372.160000000003</v>
      </c>
      <c r="R194" s="5">
        <f t="shared" ref="R194:R257" si="14" xml:space="preserve"> IFERROR(G194 * I194, 0)</f>
        <v>51846.080000000002</v>
      </c>
      <c r="S194" s="5">
        <f>Table1[[#This Row],[Total_Line_Spend]]-Table1[[#This Row],[Negotiated_Total]]</f>
        <v>6526.0800000000017</v>
      </c>
      <c r="T194" t="str">
        <f xml:space="preserve"> IF(Table1[[#This Row],[Delay_Days]] &gt; 4, "High Risk", IF(Table1[[#This Row],[Delay_Days]] &gt; 0, "Medium Risk", "Low Risk"))</f>
        <v>Low Risk</v>
      </c>
    </row>
    <row r="195" spans="1:20" x14ac:dyDescent="0.25">
      <c r="A195" t="s">
        <v>220</v>
      </c>
      <c r="B195" t="s">
        <v>806</v>
      </c>
      <c r="C195" s="1">
        <v>45059</v>
      </c>
      <c r="D195" s="1">
        <v>45078</v>
      </c>
      <c r="E195" t="s">
        <v>24</v>
      </c>
      <c r="F195" t="s">
        <v>18</v>
      </c>
      <c r="G195">
        <v>913</v>
      </c>
      <c r="H195" s="5">
        <v>28.01</v>
      </c>
      <c r="I195" s="5">
        <v>24.06</v>
      </c>
      <c r="J195">
        <v>53</v>
      </c>
      <c r="K195" t="s">
        <v>15</v>
      </c>
      <c r="L195">
        <f t="shared" ref="L195:L258" si="15" xml:space="preserve"> INT(D195) - INT(C195)</f>
        <v>19</v>
      </c>
      <c r="M195">
        <v>11</v>
      </c>
      <c r="N195">
        <f t="shared" si="12"/>
        <v>8</v>
      </c>
      <c r="O195" t="str">
        <f xml:space="preserve"> IF(AND(Table1[[#This Row],[Actual_Lead_Time]] &lt;= Table1[[#This Row],[Standard_Lead_Time]], OR(ISBLANK(J195), J195 = 0)), "OTIF", "Non-OTIF")</f>
        <v>Non-OTIF</v>
      </c>
      <c r="P195">
        <f>IF(Table1[[#This Row],[OTIF_Status]] = "OTIF", 1, 0)</f>
        <v>0</v>
      </c>
      <c r="Q195" s="5">
        <f t="shared" si="13"/>
        <v>25573.13</v>
      </c>
      <c r="R195" s="5">
        <f t="shared" si="14"/>
        <v>21966.78</v>
      </c>
      <c r="S195" s="5">
        <f>Table1[[#This Row],[Total_Line_Spend]]-Table1[[#This Row],[Negotiated_Total]]</f>
        <v>3606.3500000000022</v>
      </c>
      <c r="T195" t="str">
        <f xml:space="preserve"> IF(Table1[[#This Row],[Delay_Days]] &gt; 4, "High Risk", IF(Table1[[#This Row],[Delay_Days]] &gt; 0, "Medium Risk", "Low Risk"))</f>
        <v>High Risk</v>
      </c>
    </row>
    <row r="196" spans="1:20" x14ac:dyDescent="0.25">
      <c r="A196" t="s">
        <v>221</v>
      </c>
      <c r="B196" t="s">
        <v>804</v>
      </c>
      <c r="C196" s="1">
        <v>44632</v>
      </c>
      <c r="D196" s="1">
        <v>44638</v>
      </c>
      <c r="E196" t="s">
        <v>24</v>
      </c>
      <c r="F196" t="s">
        <v>14</v>
      </c>
      <c r="G196">
        <v>792</v>
      </c>
      <c r="H196" s="5">
        <v>18.16</v>
      </c>
      <c r="I196" s="5">
        <v>17.25</v>
      </c>
      <c r="J196">
        <v>17</v>
      </c>
      <c r="K196" t="s">
        <v>15</v>
      </c>
      <c r="L196">
        <f t="shared" si="15"/>
        <v>6</v>
      </c>
      <c r="M196">
        <v>11</v>
      </c>
      <c r="N196">
        <f t="shared" si="12"/>
        <v>0</v>
      </c>
      <c r="O196" t="str">
        <f xml:space="preserve"> IF(AND(Table1[[#This Row],[Actual_Lead_Time]] &lt;= Table1[[#This Row],[Standard_Lead_Time]], OR(ISBLANK(J196), J196 = 0)), "OTIF", "Non-OTIF")</f>
        <v>Non-OTIF</v>
      </c>
      <c r="P196">
        <f>IF(Table1[[#This Row],[OTIF_Status]] = "OTIF", 1, 0)</f>
        <v>0</v>
      </c>
      <c r="Q196" s="5">
        <f t="shared" si="13"/>
        <v>14382.72</v>
      </c>
      <c r="R196" s="5">
        <f t="shared" si="14"/>
        <v>13662</v>
      </c>
      <c r="S196" s="5">
        <f>Table1[[#This Row],[Total_Line_Spend]]-Table1[[#This Row],[Negotiated_Total]]</f>
        <v>720.71999999999935</v>
      </c>
      <c r="T196" t="str">
        <f xml:space="preserve"> IF(Table1[[#This Row],[Delay_Days]] &gt; 4, "High Risk", IF(Table1[[#This Row],[Delay_Days]] &gt; 0, "Medium Risk", "Low Risk"))</f>
        <v>Low Risk</v>
      </c>
    </row>
    <row r="197" spans="1:20" x14ac:dyDescent="0.25">
      <c r="A197" t="s">
        <v>222</v>
      </c>
      <c r="B197" t="s">
        <v>808</v>
      </c>
      <c r="C197" s="1">
        <v>45107</v>
      </c>
      <c r="D197" s="1">
        <v>45110</v>
      </c>
      <c r="E197" t="s">
        <v>13</v>
      </c>
      <c r="F197" t="s">
        <v>33</v>
      </c>
      <c r="G197">
        <v>1314</v>
      </c>
      <c r="H197" s="5">
        <v>22.63</v>
      </c>
      <c r="I197" s="5">
        <v>21.06</v>
      </c>
      <c r="J197">
        <v>44</v>
      </c>
      <c r="K197" t="s">
        <v>15</v>
      </c>
      <c r="L197">
        <f t="shared" si="15"/>
        <v>3</v>
      </c>
      <c r="M197">
        <v>11</v>
      </c>
      <c r="N197">
        <f t="shared" si="12"/>
        <v>0</v>
      </c>
      <c r="O197" t="str">
        <f xml:space="preserve"> IF(AND(Table1[[#This Row],[Actual_Lead_Time]] &lt;= Table1[[#This Row],[Standard_Lead_Time]], OR(ISBLANK(J197), J197 = 0)), "OTIF", "Non-OTIF")</f>
        <v>Non-OTIF</v>
      </c>
      <c r="P197">
        <f>IF(Table1[[#This Row],[OTIF_Status]] = "OTIF", 1, 0)</f>
        <v>0</v>
      </c>
      <c r="Q197" s="5">
        <f t="shared" si="13"/>
        <v>29735.82</v>
      </c>
      <c r="R197" s="5">
        <f t="shared" si="14"/>
        <v>27672.839999999997</v>
      </c>
      <c r="S197" s="5">
        <f>Table1[[#This Row],[Total_Line_Spend]]-Table1[[#This Row],[Negotiated_Total]]</f>
        <v>2062.9800000000032</v>
      </c>
      <c r="T197" t="str">
        <f xml:space="preserve"> IF(Table1[[#This Row],[Delay_Days]] &gt; 4, "High Risk", IF(Table1[[#This Row],[Delay_Days]] &gt; 0, "Medium Risk", "Low Risk"))</f>
        <v>Low Risk</v>
      </c>
    </row>
    <row r="198" spans="1:20" x14ac:dyDescent="0.25">
      <c r="A198" t="s">
        <v>223</v>
      </c>
      <c r="B198" t="s">
        <v>807</v>
      </c>
      <c r="C198" s="1">
        <v>44690</v>
      </c>
      <c r="D198" s="1">
        <v>44703</v>
      </c>
      <c r="E198" t="s">
        <v>21</v>
      </c>
      <c r="F198" t="s">
        <v>18</v>
      </c>
      <c r="G198">
        <v>613</v>
      </c>
      <c r="H198" s="5">
        <v>52.5</v>
      </c>
      <c r="I198" s="5">
        <v>45.19</v>
      </c>
      <c r="J198">
        <v>70</v>
      </c>
      <c r="K198" t="s">
        <v>15</v>
      </c>
      <c r="L198">
        <f t="shared" si="15"/>
        <v>13</v>
      </c>
      <c r="M198">
        <v>11</v>
      </c>
      <c r="N198">
        <f t="shared" si="12"/>
        <v>2</v>
      </c>
      <c r="O198" t="str">
        <f xml:space="preserve"> IF(AND(Table1[[#This Row],[Actual_Lead_Time]] &lt;= Table1[[#This Row],[Standard_Lead_Time]], OR(ISBLANK(J198), J198 = 0)), "OTIF", "Non-OTIF")</f>
        <v>Non-OTIF</v>
      </c>
      <c r="P198">
        <f>IF(Table1[[#This Row],[OTIF_Status]] = "OTIF", 1, 0)</f>
        <v>0</v>
      </c>
      <c r="Q198" s="5">
        <f t="shared" si="13"/>
        <v>32182.5</v>
      </c>
      <c r="R198" s="5">
        <f t="shared" si="14"/>
        <v>27701.469999999998</v>
      </c>
      <c r="S198" s="5">
        <f>Table1[[#This Row],[Total_Line_Spend]]-Table1[[#This Row],[Negotiated_Total]]</f>
        <v>4481.0300000000025</v>
      </c>
      <c r="T198" t="str">
        <f xml:space="preserve"> IF(Table1[[#This Row],[Delay_Days]] &gt; 4, "High Risk", IF(Table1[[#This Row],[Delay_Days]] &gt; 0, "Medium Risk", "Low Risk"))</f>
        <v>Medium Risk</v>
      </c>
    </row>
    <row r="199" spans="1:20" x14ac:dyDescent="0.25">
      <c r="A199" t="s">
        <v>224</v>
      </c>
      <c r="B199" t="s">
        <v>804</v>
      </c>
      <c r="C199" s="1">
        <v>44693</v>
      </c>
      <c r="D199" s="1">
        <v>44701</v>
      </c>
      <c r="E199" t="s">
        <v>13</v>
      </c>
      <c r="F199" t="s">
        <v>18</v>
      </c>
      <c r="G199">
        <v>1070</v>
      </c>
      <c r="H199" s="5">
        <v>29.14</v>
      </c>
      <c r="I199" s="5">
        <v>26.63</v>
      </c>
      <c r="J199">
        <v>24</v>
      </c>
      <c r="K199" t="s">
        <v>15</v>
      </c>
      <c r="L199">
        <f t="shared" si="15"/>
        <v>8</v>
      </c>
      <c r="M199">
        <v>11</v>
      </c>
      <c r="N199">
        <f t="shared" si="12"/>
        <v>0</v>
      </c>
      <c r="O199" t="str">
        <f xml:space="preserve"> IF(AND(Table1[[#This Row],[Actual_Lead_Time]] &lt;= Table1[[#This Row],[Standard_Lead_Time]], OR(ISBLANK(J199), J199 = 0)), "OTIF", "Non-OTIF")</f>
        <v>Non-OTIF</v>
      </c>
      <c r="P199">
        <f>IF(Table1[[#This Row],[OTIF_Status]] = "OTIF", 1, 0)</f>
        <v>0</v>
      </c>
      <c r="Q199" s="5">
        <f t="shared" si="13"/>
        <v>31179.8</v>
      </c>
      <c r="R199" s="5">
        <f t="shared" si="14"/>
        <v>28494.1</v>
      </c>
      <c r="S199" s="5">
        <f>Table1[[#This Row],[Total_Line_Spend]]-Table1[[#This Row],[Negotiated_Total]]</f>
        <v>2685.7000000000007</v>
      </c>
      <c r="T199" t="str">
        <f xml:space="preserve"> IF(Table1[[#This Row],[Delay_Days]] &gt; 4, "High Risk", IF(Table1[[#This Row],[Delay_Days]] &gt; 0, "Medium Risk", "Low Risk"))</f>
        <v>Low Risk</v>
      </c>
    </row>
    <row r="200" spans="1:20" x14ac:dyDescent="0.25">
      <c r="A200" t="s">
        <v>225</v>
      </c>
      <c r="B200" t="s">
        <v>806</v>
      </c>
      <c r="C200" s="1">
        <v>45237</v>
      </c>
      <c r="D200" s="1">
        <v>45256</v>
      </c>
      <c r="E200" t="s">
        <v>26</v>
      </c>
      <c r="F200" t="s">
        <v>33</v>
      </c>
      <c r="G200">
        <v>145</v>
      </c>
      <c r="H200" s="5">
        <v>47.49</v>
      </c>
      <c r="I200" s="5">
        <v>42.76</v>
      </c>
      <c r="J200">
        <v>6</v>
      </c>
      <c r="K200" t="s">
        <v>15</v>
      </c>
      <c r="L200">
        <f t="shared" si="15"/>
        <v>19</v>
      </c>
      <c r="M200">
        <v>11</v>
      </c>
      <c r="N200">
        <f t="shared" si="12"/>
        <v>8</v>
      </c>
      <c r="O200" t="str">
        <f xml:space="preserve"> IF(AND(Table1[[#This Row],[Actual_Lead_Time]] &lt;= Table1[[#This Row],[Standard_Lead_Time]], OR(ISBLANK(J200), J200 = 0)), "OTIF", "Non-OTIF")</f>
        <v>Non-OTIF</v>
      </c>
      <c r="P200">
        <f>IF(Table1[[#This Row],[OTIF_Status]] = "OTIF", 1, 0)</f>
        <v>0</v>
      </c>
      <c r="Q200" s="5">
        <f t="shared" si="13"/>
        <v>6886.05</v>
      </c>
      <c r="R200" s="5">
        <f t="shared" si="14"/>
        <v>6200.2</v>
      </c>
      <c r="S200" s="5">
        <f>Table1[[#This Row],[Total_Line_Spend]]-Table1[[#This Row],[Negotiated_Total]]</f>
        <v>685.85000000000036</v>
      </c>
      <c r="T200" t="str">
        <f xml:space="preserve"> IF(Table1[[#This Row],[Delay_Days]] &gt; 4, "High Risk", IF(Table1[[#This Row],[Delay_Days]] &gt; 0, "Medium Risk", "Low Risk"))</f>
        <v>High Risk</v>
      </c>
    </row>
    <row r="201" spans="1:20" x14ac:dyDescent="0.25">
      <c r="A201" t="s">
        <v>226</v>
      </c>
      <c r="B201" t="s">
        <v>805</v>
      </c>
      <c r="C201" s="1">
        <v>45048</v>
      </c>
      <c r="D201" s="1">
        <v>45063</v>
      </c>
      <c r="E201" t="s">
        <v>26</v>
      </c>
      <c r="F201" t="s">
        <v>18</v>
      </c>
      <c r="G201">
        <v>1973</v>
      </c>
      <c r="H201" s="5">
        <v>59.73</v>
      </c>
      <c r="I201" s="5">
        <v>54.95</v>
      </c>
      <c r="J201">
        <v>291</v>
      </c>
      <c r="K201" t="s">
        <v>15</v>
      </c>
      <c r="L201">
        <f t="shared" si="15"/>
        <v>15</v>
      </c>
      <c r="M201">
        <v>11</v>
      </c>
      <c r="N201">
        <f t="shared" si="12"/>
        <v>4</v>
      </c>
      <c r="O201" t="str">
        <f xml:space="preserve"> IF(AND(Table1[[#This Row],[Actual_Lead_Time]] &lt;= Table1[[#This Row],[Standard_Lead_Time]], OR(ISBLANK(J201), J201 = 0)), "OTIF", "Non-OTIF")</f>
        <v>Non-OTIF</v>
      </c>
      <c r="P201">
        <f>IF(Table1[[#This Row],[OTIF_Status]] = "OTIF", 1, 0)</f>
        <v>0</v>
      </c>
      <c r="Q201" s="5">
        <f t="shared" si="13"/>
        <v>117847.29</v>
      </c>
      <c r="R201" s="5">
        <f t="shared" si="14"/>
        <v>108416.35</v>
      </c>
      <c r="S201" s="5">
        <f>Table1[[#This Row],[Total_Line_Spend]]-Table1[[#This Row],[Negotiated_Total]]</f>
        <v>9430.9399999999878</v>
      </c>
      <c r="T201" t="str">
        <f xml:space="preserve"> IF(Table1[[#This Row],[Delay_Days]] &gt; 4, "High Risk", IF(Table1[[#This Row],[Delay_Days]] &gt; 0, "Medium Risk", "Low Risk"))</f>
        <v>Medium Risk</v>
      </c>
    </row>
    <row r="202" spans="1:20" x14ac:dyDescent="0.25">
      <c r="A202" t="s">
        <v>227</v>
      </c>
      <c r="B202" t="s">
        <v>808</v>
      </c>
      <c r="C202" s="1">
        <v>45124</v>
      </c>
      <c r="D202" s="1">
        <v>45139</v>
      </c>
      <c r="E202" t="s">
        <v>13</v>
      </c>
      <c r="F202" t="s">
        <v>18</v>
      </c>
      <c r="G202">
        <v>1807</v>
      </c>
      <c r="H202" s="5">
        <v>78.63</v>
      </c>
      <c r="I202" s="5">
        <v>73.08</v>
      </c>
      <c r="J202">
        <v>100</v>
      </c>
      <c r="K202" t="s">
        <v>15</v>
      </c>
      <c r="L202">
        <f t="shared" si="15"/>
        <v>15</v>
      </c>
      <c r="M202">
        <v>11</v>
      </c>
      <c r="N202">
        <f t="shared" si="12"/>
        <v>4</v>
      </c>
      <c r="O202" t="str">
        <f xml:space="preserve"> IF(AND(Table1[[#This Row],[Actual_Lead_Time]] &lt;= Table1[[#This Row],[Standard_Lead_Time]], OR(ISBLANK(J202), J202 = 0)), "OTIF", "Non-OTIF")</f>
        <v>Non-OTIF</v>
      </c>
      <c r="P202">
        <f>IF(Table1[[#This Row],[OTIF_Status]] = "OTIF", 1, 0)</f>
        <v>0</v>
      </c>
      <c r="Q202" s="5">
        <f t="shared" si="13"/>
        <v>142084.41</v>
      </c>
      <c r="R202" s="5">
        <f t="shared" si="14"/>
        <v>132055.56</v>
      </c>
      <c r="S202" s="5">
        <f>Table1[[#This Row],[Total_Line_Spend]]-Table1[[#This Row],[Negotiated_Total]]</f>
        <v>10028.850000000006</v>
      </c>
      <c r="T202" t="str">
        <f xml:space="preserve"> IF(Table1[[#This Row],[Delay_Days]] &gt; 4, "High Risk", IF(Table1[[#This Row],[Delay_Days]] &gt; 0, "Medium Risk", "Low Risk"))</f>
        <v>Medium Risk</v>
      </c>
    </row>
    <row r="203" spans="1:20" x14ac:dyDescent="0.25">
      <c r="A203" t="s">
        <v>228</v>
      </c>
      <c r="B203" t="s">
        <v>808</v>
      </c>
      <c r="C203" s="1">
        <v>44731</v>
      </c>
      <c r="D203" s="1">
        <v>44732</v>
      </c>
      <c r="E203" t="s">
        <v>39</v>
      </c>
      <c r="F203" t="s">
        <v>18</v>
      </c>
      <c r="G203">
        <v>534</v>
      </c>
      <c r="H203" s="5">
        <v>13.88</v>
      </c>
      <c r="I203" s="5">
        <v>12.51</v>
      </c>
      <c r="J203">
        <v>100</v>
      </c>
      <c r="K203" t="s">
        <v>15</v>
      </c>
      <c r="L203">
        <f t="shared" si="15"/>
        <v>1</v>
      </c>
      <c r="M203">
        <v>11</v>
      </c>
      <c r="N203">
        <f t="shared" si="12"/>
        <v>0</v>
      </c>
      <c r="O203" t="str">
        <f xml:space="preserve"> IF(AND(Table1[[#This Row],[Actual_Lead_Time]] &lt;= Table1[[#This Row],[Standard_Lead_Time]], OR(ISBLANK(J203), J203 = 0)), "OTIF", "Non-OTIF")</f>
        <v>Non-OTIF</v>
      </c>
      <c r="P203">
        <f>IF(Table1[[#This Row],[OTIF_Status]] = "OTIF", 1, 0)</f>
        <v>0</v>
      </c>
      <c r="Q203" s="5">
        <f t="shared" si="13"/>
        <v>7411.92</v>
      </c>
      <c r="R203" s="5">
        <f t="shared" si="14"/>
        <v>6680.34</v>
      </c>
      <c r="S203" s="5">
        <f>Table1[[#This Row],[Total_Line_Spend]]-Table1[[#This Row],[Negotiated_Total]]</f>
        <v>731.57999999999993</v>
      </c>
      <c r="T203" t="str">
        <f xml:space="preserve"> IF(Table1[[#This Row],[Delay_Days]] &gt; 4, "High Risk", IF(Table1[[#This Row],[Delay_Days]] &gt; 0, "Medium Risk", "Low Risk"))</f>
        <v>Low Risk</v>
      </c>
    </row>
    <row r="204" spans="1:20" x14ac:dyDescent="0.25">
      <c r="A204" t="s">
        <v>229</v>
      </c>
      <c r="B204" t="s">
        <v>804</v>
      </c>
      <c r="C204" s="1">
        <v>44833</v>
      </c>
      <c r="D204" s="1">
        <v>44848</v>
      </c>
      <c r="E204" t="s">
        <v>39</v>
      </c>
      <c r="F204" t="s">
        <v>18</v>
      </c>
      <c r="G204">
        <v>1480</v>
      </c>
      <c r="H204" s="5">
        <v>85.22</v>
      </c>
      <c r="I204" s="5">
        <v>75.48</v>
      </c>
      <c r="J204">
        <v>100</v>
      </c>
      <c r="K204" t="s">
        <v>15</v>
      </c>
      <c r="L204">
        <f t="shared" si="15"/>
        <v>15</v>
      </c>
      <c r="M204">
        <v>11</v>
      </c>
      <c r="N204">
        <f t="shared" si="12"/>
        <v>4</v>
      </c>
      <c r="O204" t="str">
        <f xml:space="preserve"> IF(AND(Table1[[#This Row],[Actual_Lead_Time]] &lt;= Table1[[#This Row],[Standard_Lead_Time]], OR(ISBLANK(J204), J204 = 0)), "OTIF", "Non-OTIF")</f>
        <v>Non-OTIF</v>
      </c>
      <c r="P204">
        <f>IF(Table1[[#This Row],[OTIF_Status]] = "OTIF", 1, 0)</f>
        <v>0</v>
      </c>
      <c r="Q204" s="5">
        <f t="shared" si="13"/>
        <v>126125.59999999999</v>
      </c>
      <c r="R204" s="5">
        <f t="shared" si="14"/>
        <v>111710.40000000001</v>
      </c>
      <c r="S204" s="5">
        <f>Table1[[#This Row],[Total_Line_Spend]]-Table1[[#This Row],[Negotiated_Total]]</f>
        <v>14415.199999999983</v>
      </c>
      <c r="T204" t="str">
        <f xml:space="preserve"> IF(Table1[[#This Row],[Delay_Days]] &gt; 4, "High Risk", IF(Table1[[#This Row],[Delay_Days]] &gt; 0, "Medium Risk", "Low Risk"))</f>
        <v>Medium Risk</v>
      </c>
    </row>
    <row r="205" spans="1:20" x14ac:dyDescent="0.25">
      <c r="A205" t="s">
        <v>230</v>
      </c>
      <c r="B205" t="s">
        <v>804</v>
      </c>
      <c r="C205" s="1">
        <v>45102</v>
      </c>
      <c r="D205" s="1">
        <v>45113</v>
      </c>
      <c r="E205" t="s">
        <v>13</v>
      </c>
      <c r="F205" t="s">
        <v>18</v>
      </c>
      <c r="G205">
        <v>280</v>
      </c>
      <c r="H205" s="5">
        <v>72.16</v>
      </c>
      <c r="I205" s="5">
        <v>62.38</v>
      </c>
      <c r="J205">
        <v>100</v>
      </c>
      <c r="K205" t="s">
        <v>15</v>
      </c>
      <c r="L205">
        <f t="shared" si="15"/>
        <v>11</v>
      </c>
      <c r="M205">
        <v>11</v>
      </c>
      <c r="N205">
        <f t="shared" si="12"/>
        <v>0</v>
      </c>
      <c r="O205" t="str">
        <f xml:space="preserve"> IF(AND(Table1[[#This Row],[Actual_Lead_Time]] &lt;= Table1[[#This Row],[Standard_Lead_Time]], OR(ISBLANK(J205), J205 = 0)), "OTIF", "Non-OTIF")</f>
        <v>Non-OTIF</v>
      </c>
      <c r="P205">
        <f>IF(Table1[[#This Row],[OTIF_Status]] = "OTIF", 1, 0)</f>
        <v>0</v>
      </c>
      <c r="Q205" s="5">
        <f t="shared" si="13"/>
        <v>20204.8</v>
      </c>
      <c r="R205" s="5">
        <f t="shared" si="14"/>
        <v>17466.400000000001</v>
      </c>
      <c r="S205" s="5">
        <f>Table1[[#This Row],[Total_Line_Spend]]-Table1[[#This Row],[Negotiated_Total]]</f>
        <v>2738.3999999999978</v>
      </c>
      <c r="T205" t="str">
        <f xml:space="preserve"> IF(Table1[[#This Row],[Delay_Days]] &gt; 4, "High Risk", IF(Table1[[#This Row],[Delay_Days]] &gt; 0, "Medium Risk", "Low Risk"))</f>
        <v>Low Risk</v>
      </c>
    </row>
    <row r="206" spans="1:20" x14ac:dyDescent="0.25">
      <c r="A206" t="s">
        <v>231</v>
      </c>
      <c r="B206" t="s">
        <v>807</v>
      </c>
      <c r="C206" s="1">
        <v>45183</v>
      </c>
      <c r="D206" s="1">
        <v>45189</v>
      </c>
      <c r="E206" t="s">
        <v>13</v>
      </c>
      <c r="F206" t="s">
        <v>14</v>
      </c>
      <c r="G206">
        <v>798</v>
      </c>
      <c r="H206" s="5">
        <v>19.09</v>
      </c>
      <c r="I206" s="5">
        <v>17.760000000000002</v>
      </c>
      <c r="J206">
        <v>100</v>
      </c>
      <c r="K206" t="s">
        <v>15</v>
      </c>
      <c r="L206">
        <f t="shared" si="15"/>
        <v>6</v>
      </c>
      <c r="M206">
        <v>11</v>
      </c>
      <c r="N206">
        <f t="shared" si="12"/>
        <v>0</v>
      </c>
      <c r="O206" t="str">
        <f xml:space="preserve"> IF(AND(Table1[[#This Row],[Actual_Lead_Time]] &lt;= Table1[[#This Row],[Standard_Lead_Time]], OR(ISBLANK(J206), J206 = 0)), "OTIF", "Non-OTIF")</f>
        <v>Non-OTIF</v>
      </c>
      <c r="P206">
        <f>IF(Table1[[#This Row],[OTIF_Status]] = "OTIF", 1, 0)</f>
        <v>0</v>
      </c>
      <c r="Q206" s="5">
        <f t="shared" si="13"/>
        <v>15233.82</v>
      </c>
      <c r="R206" s="5">
        <f t="shared" si="14"/>
        <v>14172.480000000001</v>
      </c>
      <c r="S206" s="5">
        <f>Table1[[#This Row],[Total_Line_Spend]]-Table1[[#This Row],[Negotiated_Total]]</f>
        <v>1061.3399999999983</v>
      </c>
      <c r="T206" t="str">
        <f xml:space="preserve"> IF(Table1[[#This Row],[Delay_Days]] &gt; 4, "High Risk", IF(Table1[[#This Row],[Delay_Days]] &gt; 0, "Medium Risk", "Low Risk"))</f>
        <v>Low Risk</v>
      </c>
    </row>
    <row r="207" spans="1:20" x14ac:dyDescent="0.25">
      <c r="A207" t="s">
        <v>232</v>
      </c>
      <c r="B207" t="s">
        <v>808</v>
      </c>
      <c r="C207" s="1">
        <v>44995</v>
      </c>
      <c r="D207" s="1">
        <v>45007</v>
      </c>
      <c r="E207" t="s">
        <v>39</v>
      </c>
      <c r="F207" t="s">
        <v>18</v>
      </c>
      <c r="G207">
        <v>1728</v>
      </c>
      <c r="H207" s="5">
        <v>94.83</v>
      </c>
      <c r="I207" s="5">
        <v>90.2</v>
      </c>
      <c r="J207">
        <v>100</v>
      </c>
      <c r="K207" t="s">
        <v>15</v>
      </c>
      <c r="L207">
        <f t="shared" si="15"/>
        <v>12</v>
      </c>
      <c r="M207">
        <v>11</v>
      </c>
      <c r="N207">
        <f t="shared" si="12"/>
        <v>1</v>
      </c>
      <c r="O207" t="str">
        <f xml:space="preserve"> IF(AND(Table1[[#This Row],[Actual_Lead_Time]] &lt;= Table1[[#This Row],[Standard_Lead_Time]], OR(ISBLANK(J207), J207 = 0)), "OTIF", "Non-OTIF")</f>
        <v>Non-OTIF</v>
      </c>
      <c r="P207">
        <f>IF(Table1[[#This Row],[OTIF_Status]] = "OTIF", 1, 0)</f>
        <v>0</v>
      </c>
      <c r="Q207" s="5">
        <f t="shared" si="13"/>
        <v>163866.23999999999</v>
      </c>
      <c r="R207" s="5">
        <f t="shared" si="14"/>
        <v>155865.60000000001</v>
      </c>
      <c r="S207" s="5">
        <f>Table1[[#This Row],[Total_Line_Spend]]-Table1[[#This Row],[Negotiated_Total]]</f>
        <v>8000.6399999999849</v>
      </c>
      <c r="T207" t="str">
        <f xml:space="preserve"> IF(Table1[[#This Row],[Delay_Days]] &gt; 4, "High Risk", IF(Table1[[#This Row],[Delay_Days]] &gt; 0, "Medium Risk", "Low Risk"))</f>
        <v>Medium Risk</v>
      </c>
    </row>
    <row r="208" spans="1:20" x14ac:dyDescent="0.25">
      <c r="A208" t="s">
        <v>233</v>
      </c>
      <c r="B208" t="s">
        <v>808</v>
      </c>
      <c r="C208" s="1">
        <v>44778</v>
      </c>
      <c r="D208" s="1">
        <v>44789</v>
      </c>
      <c r="E208" t="s">
        <v>21</v>
      </c>
      <c r="F208" t="s">
        <v>18</v>
      </c>
      <c r="G208">
        <v>1244</v>
      </c>
      <c r="H208" s="5">
        <v>96.13</v>
      </c>
      <c r="I208" s="5">
        <v>84.78</v>
      </c>
      <c r="J208">
        <v>43</v>
      </c>
      <c r="K208" t="s">
        <v>15</v>
      </c>
      <c r="L208">
        <f t="shared" si="15"/>
        <v>11</v>
      </c>
      <c r="M208">
        <v>11</v>
      </c>
      <c r="N208">
        <f t="shared" si="12"/>
        <v>0</v>
      </c>
      <c r="O208" t="str">
        <f xml:space="preserve"> IF(AND(Table1[[#This Row],[Actual_Lead_Time]] &lt;= Table1[[#This Row],[Standard_Lead_Time]], OR(ISBLANK(J208), J208 = 0)), "OTIF", "Non-OTIF")</f>
        <v>Non-OTIF</v>
      </c>
      <c r="P208">
        <f>IF(Table1[[#This Row],[OTIF_Status]] = "OTIF", 1, 0)</f>
        <v>0</v>
      </c>
      <c r="Q208" s="5">
        <f t="shared" si="13"/>
        <v>119585.72</v>
      </c>
      <c r="R208" s="5">
        <f t="shared" si="14"/>
        <v>105466.32</v>
      </c>
      <c r="S208" s="5">
        <f>Table1[[#This Row],[Total_Line_Spend]]-Table1[[#This Row],[Negotiated_Total]]</f>
        <v>14119.399999999994</v>
      </c>
      <c r="T208" t="str">
        <f xml:space="preserve"> IF(Table1[[#This Row],[Delay_Days]] &gt; 4, "High Risk", IF(Table1[[#This Row],[Delay_Days]] &gt; 0, "Medium Risk", "Low Risk"))</f>
        <v>Low Risk</v>
      </c>
    </row>
    <row r="209" spans="1:20" x14ac:dyDescent="0.25">
      <c r="A209" t="s">
        <v>234</v>
      </c>
      <c r="B209" t="s">
        <v>807</v>
      </c>
      <c r="C209" s="1">
        <v>45114</v>
      </c>
      <c r="D209" s="1">
        <v>45128</v>
      </c>
      <c r="E209" t="s">
        <v>13</v>
      </c>
      <c r="F209" t="s">
        <v>18</v>
      </c>
      <c r="G209">
        <v>590</v>
      </c>
      <c r="H209" s="5">
        <v>16.89</v>
      </c>
      <c r="I209" s="5">
        <v>15.56</v>
      </c>
      <c r="J209">
        <v>46</v>
      </c>
      <c r="K209" t="s">
        <v>27</v>
      </c>
      <c r="L209">
        <f t="shared" si="15"/>
        <v>14</v>
      </c>
      <c r="M209">
        <v>11</v>
      </c>
      <c r="N209">
        <f t="shared" si="12"/>
        <v>3</v>
      </c>
      <c r="O209" t="str">
        <f xml:space="preserve"> IF(AND(Table1[[#This Row],[Actual_Lead_Time]] &lt;= Table1[[#This Row],[Standard_Lead_Time]], OR(ISBLANK(J209), J209 = 0)), "OTIF", "Non-OTIF")</f>
        <v>Non-OTIF</v>
      </c>
      <c r="P209">
        <f>IF(Table1[[#This Row],[OTIF_Status]] = "OTIF", 1, 0)</f>
        <v>0</v>
      </c>
      <c r="Q209" s="5">
        <f t="shared" si="13"/>
        <v>9965.1</v>
      </c>
      <c r="R209" s="5">
        <f t="shared" si="14"/>
        <v>9180.4</v>
      </c>
      <c r="S209" s="5">
        <f>Table1[[#This Row],[Total_Line_Spend]]-Table1[[#This Row],[Negotiated_Total]]</f>
        <v>784.70000000000073</v>
      </c>
      <c r="T209" t="str">
        <f xml:space="preserve"> IF(Table1[[#This Row],[Delay_Days]] &gt; 4, "High Risk", IF(Table1[[#This Row],[Delay_Days]] &gt; 0, "Medium Risk", "Low Risk"))</f>
        <v>Medium Risk</v>
      </c>
    </row>
    <row r="210" spans="1:20" x14ac:dyDescent="0.25">
      <c r="A210" t="s">
        <v>235</v>
      </c>
      <c r="B210" t="s">
        <v>805</v>
      </c>
      <c r="C210" s="1">
        <v>45268</v>
      </c>
      <c r="D210" s="1">
        <v>45283</v>
      </c>
      <c r="E210" t="s">
        <v>24</v>
      </c>
      <c r="F210" t="s">
        <v>18</v>
      </c>
      <c r="G210">
        <v>1109</v>
      </c>
      <c r="H210" s="5">
        <v>38.93</v>
      </c>
      <c r="I210" s="5">
        <v>33.33</v>
      </c>
      <c r="J210">
        <v>152</v>
      </c>
      <c r="K210" t="s">
        <v>15</v>
      </c>
      <c r="L210">
        <f t="shared" si="15"/>
        <v>15</v>
      </c>
      <c r="M210">
        <v>11</v>
      </c>
      <c r="N210">
        <f t="shared" si="12"/>
        <v>4</v>
      </c>
      <c r="O210" t="str">
        <f xml:space="preserve"> IF(AND(Table1[[#This Row],[Actual_Lead_Time]] &lt;= Table1[[#This Row],[Standard_Lead_Time]], OR(ISBLANK(J210), J210 = 0)), "OTIF", "Non-OTIF")</f>
        <v>Non-OTIF</v>
      </c>
      <c r="P210">
        <f>IF(Table1[[#This Row],[OTIF_Status]] = "OTIF", 1, 0)</f>
        <v>0</v>
      </c>
      <c r="Q210" s="5">
        <f t="shared" si="13"/>
        <v>43173.37</v>
      </c>
      <c r="R210" s="5">
        <f t="shared" si="14"/>
        <v>36962.97</v>
      </c>
      <c r="S210" s="5">
        <f>Table1[[#This Row],[Total_Line_Spend]]-Table1[[#This Row],[Negotiated_Total]]</f>
        <v>6210.4000000000015</v>
      </c>
      <c r="T210" t="str">
        <f xml:space="preserve"> IF(Table1[[#This Row],[Delay_Days]] &gt; 4, "High Risk", IF(Table1[[#This Row],[Delay_Days]] &gt; 0, "Medium Risk", "Low Risk"))</f>
        <v>Medium Risk</v>
      </c>
    </row>
    <row r="211" spans="1:20" x14ac:dyDescent="0.25">
      <c r="A211" t="s">
        <v>236</v>
      </c>
      <c r="B211" t="s">
        <v>807</v>
      </c>
      <c r="C211" s="1">
        <v>44767</v>
      </c>
      <c r="D211" s="1">
        <v>44774</v>
      </c>
      <c r="E211" t="s">
        <v>21</v>
      </c>
      <c r="F211" t="s">
        <v>18</v>
      </c>
      <c r="G211">
        <v>574</v>
      </c>
      <c r="H211" s="5">
        <v>85.03</v>
      </c>
      <c r="I211" s="5">
        <v>82.55</v>
      </c>
      <c r="J211">
        <v>54</v>
      </c>
      <c r="K211" t="s">
        <v>15</v>
      </c>
      <c r="L211">
        <f t="shared" si="15"/>
        <v>7</v>
      </c>
      <c r="M211">
        <v>11</v>
      </c>
      <c r="N211">
        <f t="shared" si="12"/>
        <v>0</v>
      </c>
      <c r="O211" t="str">
        <f xml:space="preserve"> IF(AND(Table1[[#This Row],[Actual_Lead_Time]] &lt;= Table1[[#This Row],[Standard_Lead_Time]], OR(ISBLANK(J211), J211 = 0)), "OTIF", "Non-OTIF")</f>
        <v>Non-OTIF</v>
      </c>
      <c r="P211">
        <f>IF(Table1[[#This Row],[OTIF_Status]] = "OTIF", 1, 0)</f>
        <v>0</v>
      </c>
      <c r="Q211" s="5">
        <f t="shared" si="13"/>
        <v>48807.22</v>
      </c>
      <c r="R211" s="5">
        <f t="shared" si="14"/>
        <v>47383.7</v>
      </c>
      <c r="S211" s="5">
        <f>Table1[[#This Row],[Total_Line_Spend]]-Table1[[#This Row],[Negotiated_Total]]</f>
        <v>1423.5200000000041</v>
      </c>
      <c r="T211" t="str">
        <f xml:space="preserve"> IF(Table1[[#This Row],[Delay_Days]] &gt; 4, "High Risk", IF(Table1[[#This Row],[Delay_Days]] &gt; 0, "Medium Risk", "Low Risk"))</f>
        <v>Low Risk</v>
      </c>
    </row>
    <row r="212" spans="1:20" x14ac:dyDescent="0.25">
      <c r="A212" t="s">
        <v>237</v>
      </c>
      <c r="B212" t="s">
        <v>806</v>
      </c>
      <c r="C212" s="1">
        <v>45292</v>
      </c>
      <c r="D212" s="1">
        <v>45302</v>
      </c>
      <c r="E212" t="s">
        <v>13</v>
      </c>
      <c r="F212" t="s">
        <v>18</v>
      </c>
      <c r="G212">
        <v>1233</v>
      </c>
      <c r="H212" s="5">
        <v>86.62</v>
      </c>
      <c r="I212" s="5">
        <v>76.59</v>
      </c>
      <c r="J212">
        <v>65</v>
      </c>
      <c r="K212" t="s">
        <v>15</v>
      </c>
      <c r="L212">
        <f t="shared" si="15"/>
        <v>10</v>
      </c>
      <c r="M212">
        <v>11</v>
      </c>
      <c r="N212">
        <f t="shared" si="12"/>
        <v>0</v>
      </c>
      <c r="O212" t="str">
        <f xml:space="preserve"> IF(AND(Table1[[#This Row],[Actual_Lead_Time]] &lt;= Table1[[#This Row],[Standard_Lead_Time]], OR(ISBLANK(J212), J212 = 0)), "OTIF", "Non-OTIF")</f>
        <v>Non-OTIF</v>
      </c>
      <c r="P212">
        <f>IF(Table1[[#This Row],[OTIF_Status]] = "OTIF", 1, 0)</f>
        <v>0</v>
      </c>
      <c r="Q212" s="5">
        <f t="shared" si="13"/>
        <v>106802.46</v>
      </c>
      <c r="R212" s="5">
        <f t="shared" si="14"/>
        <v>94435.47</v>
      </c>
      <c r="S212" s="5">
        <f>Table1[[#This Row],[Total_Line_Spend]]-Table1[[#This Row],[Negotiated_Total]]</f>
        <v>12366.990000000005</v>
      </c>
      <c r="T212" t="str">
        <f xml:space="preserve"> IF(Table1[[#This Row],[Delay_Days]] &gt; 4, "High Risk", IF(Table1[[#This Row],[Delay_Days]] &gt; 0, "Medium Risk", "Low Risk"))</f>
        <v>Low Risk</v>
      </c>
    </row>
    <row r="213" spans="1:20" x14ac:dyDescent="0.25">
      <c r="A213" t="s">
        <v>238</v>
      </c>
      <c r="B213" t="s">
        <v>806</v>
      </c>
      <c r="C213" s="1">
        <v>44881</v>
      </c>
      <c r="D213" s="1">
        <v>44885</v>
      </c>
      <c r="E213" t="s">
        <v>24</v>
      </c>
      <c r="F213" t="s">
        <v>18</v>
      </c>
      <c r="G213">
        <v>1912</v>
      </c>
      <c r="H213" s="5">
        <v>27.94</v>
      </c>
      <c r="I213" s="5">
        <v>25.59</v>
      </c>
      <c r="J213">
        <v>83</v>
      </c>
      <c r="K213" t="s">
        <v>27</v>
      </c>
      <c r="L213">
        <f t="shared" si="15"/>
        <v>4</v>
      </c>
      <c r="M213">
        <v>11</v>
      </c>
      <c r="N213">
        <f t="shared" si="12"/>
        <v>0</v>
      </c>
      <c r="O213" t="str">
        <f xml:space="preserve"> IF(AND(Table1[[#This Row],[Actual_Lead_Time]] &lt;= Table1[[#This Row],[Standard_Lead_Time]], OR(ISBLANK(J213), J213 = 0)), "OTIF", "Non-OTIF")</f>
        <v>Non-OTIF</v>
      </c>
      <c r="P213">
        <f>IF(Table1[[#This Row],[OTIF_Status]] = "OTIF", 1, 0)</f>
        <v>0</v>
      </c>
      <c r="Q213" s="5">
        <f t="shared" si="13"/>
        <v>53421.279999999999</v>
      </c>
      <c r="R213" s="5">
        <f t="shared" si="14"/>
        <v>48928.08</v>
      </c>
      <c r="S213" s="5">
        <f>Table1[[#This Row],[Total_Line_Spend]]-Table1[[#This Row],[Negotiated_Total]]</f>
        <v>4493.1999999999971</v>
      </c>
      <c r="T213" t="str">
        <f xml:space="preserve"> IF(Table1[[#This Row],[Delay_Days]] &gt; 4, "High Risk", IF(Table1[[#This Row],[Delay_Days]] &gt; 0, "Medium Risk", "Low Risk"))</f>
        <v>Low Risk</v>
      </c>
    </row>
    <row r="214" spans="1:20" x14ac:dyDescent="0.25">
      <c r="A214" t="s">
        <v>239</v>
      </c>
      <c r="B214" t="s">
        <v>804</v>
      </c>
      <c r="C214" s="1">
        <v>44970</v>
      </c>
      <c r="D214" s="1">
        <v>44989</v>
      </c>
      <c r="E214" t="s">
        <v>24</v>
      </c>
      <c r="F214" t="s">
        <v>18</v>
      </c>
      <c r="G214">
        <v>1772</v>
      </c>
      <c r="H214" s="5">
        <v>30.72</v>
      </c>
      <c r="I214" s="5">
        <v>27.76</v>
      </c>
      <c r="J214">
        <v>46</v>
      </c>
      <c r="K214" t="s">
        <v>27</v>
      </c>
      <c r="L214">
        <f t="shared" si="15"/>
        <v>19</v>
      </c>
      <c r="M214">
        <v>11</v>
      </c>
      <c r="N214">
        <f t="shared" si="12"/>
        <v>8</v>
      </c>
      <c r="O214" t="str">
        <f xml:space="preserve"> IF(AND(Table1[[#This Row],[Actual_Lead_Time]] &lt;= Table1[[#This Row],[Standard_Lead_Time]], OR(ISBLANK(J214), J214 = 0)), "OTIF", "Non-OTIF")</f>
        <v>Non-OTIF</v>
      </c>
      <c r="P214">
        <f>IF(Table1[[#This Row],[OTIF_Status]] = "OTIF", 1, 0)</f>
        <v>0</v>
      </c>
      <c r="Q214" s="5">
        <f t="shared" si="13"/>
        <v>54435.839999999997</v>
      </c>
      <c r="R214" s="5">
        <f t="shared" si="14"/>
        <v>49190.720000000001</v>
      </c>
      <c r="S214" s="5">
        <f>Table1[[#This Row],[Total_Line_Spend]]-Table1[[#This Row],[Negotiated_Total]]</f>
        <v>5245.1199999999953</v>
      </c>
      <c r="T214" t="str">
        <f xml:space="preserve"> IF(Table1[[#This Row],[Delay_Days]] &gt; 4, "High Risk", IF(Table1[[#This Row],[Delay_Days]] &gt; 0, "Medium Risk", "Low Risk"))</f>
        <v>High Risk</v>
      </c>
    </row>
    <row r="215" spans="1:20" x14ac:dyDescent="0.25">
      <c r="A215" t="s">
        <v>240</v>
      </c>
      <c r="B215" t="s">
        <v>807</v>
      </c>
      <c r="C215" s="1">
        <v>45249</v>
      </c>
      <c r="D215" s="1">
        <v>45259</v>
      </c>
      <c r="E215" t="s">
        <v>13</v>
      </c>
      <c r="F215" t="s">
        <v>18</v>
      </c>
      <c r="G215">
        <v>1316</v>
      </c>
      <c r="H215" s="5">
        <v>48.11</v>
      </c>
      <c r="I215" s="5">
        <v>41.9</v>
      </c>
      <c r="J215">
        <v>135</v>
      </c>
      <c r="K215" t="s">
        <v>15</v>
      </c>
      <c r="L215">
        <f t="shared" si="15"/>
        <v>10</v>
      </c>
      <c r="M215">
        <v>11</v>
      </c>
      <c r="N215">
        <f t="shared" si="12"/>
        <v>0</v>
      </c>
      <c r="O215" t="str">
        <f xml:space="preserve"> IF(AND(Table1[[#This Row],[Actual_Lead_Time]] &lt;= Table1[[#This Row],[Standard_Lead_Time]], OR(ISBLANK(J215), J215 = 0)), "OTIF", "Non-OTIF")</f>
        <v>Non-OTIF</v>
      </c>
      <c r="P215">
        <f>IF(Table1[[#This Row],[OTIF_Status]] = "OTIF", 1, 0)</f>
        <v>0</v>
      </c>
      <c r="Q215" s="5">
        <f t="shared" si="13"/>
        <v>63312.76</v>
      </c>
      <c r="R215" s="5">
        <f t="shared" si="14"/>
        <v>55140.4</v>
      </c>
      <c r="S215" s="5">
        <f>Table1[[#This Row],[Total_Line_Spend]]-Table1[[#This Row],[Negotiated_Total]]</f>
        <v>8172.3600000000006</v>
      </c>
      <c r="T215" t="str">
        <f xml:space="preserve"> IF(Table1[[#This Row],[Delay_Days]] &gt; 4, "High Risk", IF(Table1[[#This Row],[Delay_Days]] &gt; 0, "Medium Risk", "Low Risk"))</f>
        <v>Low Risk</v>
      </c>
    </row>
    <row r="216" spans="1:20" x14ac:dyDescent="0.25">
      <c r="A216" t="s">
        <v>241</v>
      </c>
      <c r="B216" t="s">
        <v>807</v>
      </c>
      <c r="C216" s="1">
        <v>45227</v>
      </c>
      <c r="D216" s="1">
        <v>45238</v>
      </c>
      <c r="E216" t="s">
        <v>13</v>
      </c>
      <c r="F216" t="s">
        <v>18</v>
      </c>
      <c r="G216">
        <v>1159</v>
      </c>
      <c r="H216" s="5">
        <v>59.24</v>
      </c>
      <c r="I216" s="5">
        <v>58.08</v>
      </c>
      <c r="K216" t="s">
        <v>15</v>
      </c>
      <c r="L216">
        <f t="shared" si="15"/>
        <v>11</v>
      </c>
      <c r="M216">
        <v>11</v>
      </c>
      <c r="N216">
        <f t="shared" si="12"/>
        <v>0</v>
      </c>
      <c r="O216" t="str">
        <f xml:space="preserve"> IF(AND(Table1[[#This Row],[Actual_Lead_Time]] &lt;= Table1[[#This Row],[Standard_Lead_Time]], OR(ISBLANK(J216), J216 = 0)), "OTIF", "Non-OTIF")</f>
        <v>OTIF</v>
      </c>
      <c r="P216">
        <f>IF(Table1[[#This Row],[OTIF_Status]] = "OTIF", 1, 0)</f>
        <v>1</v>
      </c>
      <c r="Q216" s="5">
        <f t="shared" si="13"/>
        <v>68659.16</v>
      </c>
      <c r="R216" s="5">
        <f t="shared" si="14"/>
        <v>67314.720000000001</v>
      </c>
      <c r="S216" s="5">
        <f>Table1[[#This Row],[Total_Line_Spend]]-Table1[[#This Row],[Negotiated_Total]]</f>
        <v>1344.4400000000023</v>
      </c>
      <c r="T216" t="str">
        <f xml:space="preserve"> IF(Table1[[#This Row],[Delay_Days]] &gt; 4, "High Risk", IF(Table1[[#This Row],[Delay_Days]] &gt; 0, "Medium Risk", "Low Risk"))</f>
        <v>Low Risk</v>
      </c>
    </row>
    <row r="217" spans="1:20" x14ac:dyDescent="0.25">
      <c r="A217" t="s">
        <v>242</v>
      </c>
      <c r="B217" t="s">
        <v>804</v>
      </c>
      <c r="C217" s="1">
        <v>44944</v>
      </c>
      <c r="D217" s="1">
        <v>44957</v>
      </c>
      <c r="E217" t="s">
        <v>13</v>
      </c>
      <c r="F217" t="s">
        <v>18</v>
      </c>
      <c r="G217">
        <v>1869</v>
      </c>
      <c r="H217" s="5">
        <v>69.58</v>
      </c>
      <c r="I217" s="5">
        <v>67.5</v>
      </c>
      <c r="J217">
        <v>31</v>
      </c>
      <c r="K217" t="s">
        <v>15</v>
      </c>
      <c r="L217">
        <f t="shared" si="15"/>
        <v>13</v>
      </c>
      <c r="M217">
        <v>11</v>
      </c>
      <c r="N217">
        <f t="shared" si="12"/>
        <v>2</v>
      </c>
      <c r="O217" t="str">
        <f xml:space="preserve"> IF(AND(Table1[[#This Row],[Actual_Lead_Time]] &lt;= Table1[[#This Row],[Standard_Lead_Time]], OR(ISBLANK(J217), J217 = 0)), "OTIF", "Non-OTIF")</f>
        <v>Non-OTIF</v>
      </c>
      <c r="P217">
        <f>IF(Table1[[#This Row],[OTIF_Status]] = "OTIF", 1, 0)</f>
        <v>0</v>
      </c>
      <c r="Q217" s="5">
        <f t="shared" si="13"/>
        <v>130045.02</v>
      </c>
      <c r="R217" s="5">
        <f t="shared" si="14"/>
        <v>126157.5</v>
      </c>
      <c r="S217" s="5">
        <f>Table1[[#This Row],[Total_Line_Spend]]-Table1[[#This Row],[Negotiated_Total]]</f>
        <v>3887.5200000000041</v>
      </c>
      <c r="T217" t="str">
        <f xml:space="preserve"> IF(Table1[[#This Row],[Delay_Days]] &gt; 4, "High Risk", IF(Table1[[#This Row],[Delay_Days]] &gt; 0, "Medium Risk", "Low Risk"))</f>
        <v>Medium Risk</v>
      </c>
    </row>
    <row r="218" spans="1:20" x14ac:dyDescent="0.25">
      <c r="A218" t="s">
        <v>243</v>
      </c>
      <c r="B218" t="s">
        <v>805</v>
      </c>
      <c r="C218" s="1">
        <v>45010</v>
      </c>
      <c r="D218" s="1">
        <v>45029</v>
      </c>
      <c r="E218" t="s">
        <v>24</v>
      </c>
      <c r="F218" t="s">
        <v>18</v>
      </c>
      <c r="G218">
        <v>627</v>
      </c>
      <c r="H218" s="5">
        <v>46.23</v>
      </c>
      <c r="I218" s="5">
        <v>42.87</v>
      </c>
      <c r="K218" t="s">
        <v>15</v>
      </c>
      <c r="L218">
        <f t="shared" si="15"/>
        <v>19</v>
      </c>
      <c r="M218">
        <v>11</v>
      </c>
      <c r="N218">
        <f t="shared" si="12"/>
        <v>8</v>
      </c>
      <c r="O218" t="str">
        <f xml:space="preserve"> IF(AND(Table1[[#This Row],[Actual_Lead_Time]] &lt;= Table1[[#This Row],[Standard_Lead_Time]], OR(ISBLANK(J218), J218 = 0)), "OTIF", "Non-OTIF")</f>
        <v>Non-OTIF</v>
      </c>
      <c r="P218">
        <f>IF(Table1[[#This Row],[OTIF_Status]] = "OTIF", 1, 0)</f>
        <v>0</v>
      </c>
      <c r="Q218" s="5">
        <f t="shared" si="13"/>
        <v>28986.21</v>
      </c>
      <c r="R218" s="5">
        <f t="shared" si="14"/>
        <v>26879.489999999998</v>
      </c>
      <c r="S218" s="5">
        <f>Table1[[#This Row],[Total_Line_Spend]]-Table1[[#This Row],[Negotiated_Total]]</f>
        <v>2106.7200000000012</v>
      </c>
      <c r="T218" t="str">
        <f xml:space="preserve"> IF(Table1[[#This Row],[Delay_Days]] &gt; 4, "High Risk", IF(Table1[[#This Row],[Delay_Days]] &gt; 0, "Medium Risk", "Low Risk"))</f>
        <v>High Risk</v>
      </c>
    </row>
    <row r="219" spans="1:20" x14ac:dyDescent="0.25">
      <c r="A219" t="s">
        <v>244</v>
      </c>
      <c r="B219" t="s">
        <v>807</v>
      </c>
      <c r="C219" s="1">
        <v>45091</v>
      </c>
      <c r="D219" s="1">
        <v>45093</v>
      </c>
      <c r="E219" t="s">
        <v>26</v>
      </c>
      <c r="F219" t="s">
        <v>35</v>
      </c>
      <c r="G219">
        <v>731</v>
      </c>
      <c r="H219" s="5">
        <v>56.02</v>
      </c>
      <c r="I219" s="5">
        <v>54.78</v>
      </c>
      <c r="J219">
        <v>70</v>
      </c>
      <c r="K219" t="s">
        <v>27</v>
      </c>
      <c r="L219">
        <f t="shared" si="15"/>
        <v>2</v>
      </c>
      <c r="M219">
        <v>11</v>
      </c>
      <c r="N219">
        <f t="shared" si="12"/>
        <v>0</v>
      </c>
      <c r="O219" t="str">
        <f xml:space="preserve"> IF(AND(Table1[[#This Row],[Actual_Lead_Time]] &lt;= Table1[[#This Row],[Standard_Lead_Time]], OR(ISBLANK(J219), J219 = 0)), "OTIF", "Non-OTIF")</f>
        <v>Non-OTIF</v>
      </c>
      <c r="P219">
        <f>IF(Table1[[#This Row],[OTIF_Status]] = "OTIF", 1, 0)</f>
        <v>0</v>
      </c>
      <c r="Q219" s="5">
        <f t="shared" si="13"/>
        <v>40950.620000000003</v>
      </c>
      <c r="R219" s="5">
        <f t="shared" si="14"/>
        <v>40044.18</v>
      </c>
      <c r="S219" s="5">
        <f>Table1[[#This Row],[Total_Line_Spend]]-Table1[[#This Row],[Negotiated_Total]]</f>
        <v>906.44000000000233</v>
      </c>
      <c r="T219" t="str">
        <f xml:space="preserve"> IF(Table1[[#This Row],[Delay_Days]] &gt; 4, "High Risk", IF(Table1[[#This Row],[Delay_Days]] &gt; 0, "Medium Risk", "Low Risk"))</f>
        <v>Low Risk</v>
      </c>
    </row>
    <row r="220" spans="1:20" x14ac:dyDescent="0.25">
      <c r="A220" t="s">
        <v>245</v>
      </c>
      <c r="B220" t="s">
        <v>808</v>
      </c>
      <c r="C220" s="1">
        <v>45024</v>
      </c>
      <c r="D220" s="1">
        <v>45035</v>
      </c>
      <c r="E220" t="s">
        <v>13</v>
      </c>
      <c r="F220" t="s">
        <v>14</v>
      </c>
      <c r="G220">
        <v>606</v>
      </c>
      <c r="H220" s="5">
        <v>83.07</v>
      </c>
      <c r="I220" s="5">
        <v>79.22</v>
      </c>
      <c r="J220">
        <v>16</v>
      </c>
      <c r="K220" t="s">
        <v>15</v>
      </c>
      <c r="L220">
        <f t="shared" si="15"/>
        <v>11</v>
      </c>
      <c r="M220">
        <v>11</v>
      </c>
      <c r="N220">
        <f t="shared" si="12"/>
        <v>0</v>
      </c>
      <c r="O220" t="str">
        <f xml:space="preserve"> IF(AND(Table1[[#This Row],[Actual_Lead_Time]] &lt;= Table1[[#This Row],[Standard_Lead_Time]], OR(ISBLANK(J220), J220 = 0)), "OTIF", "Non-OTIF")</f>
        <v>Non-OTIF</v>
      </c>
      <c r="P220">
        <f>IF(Table1[[#This Row],[OTIF_Status]] = "OTIF", 1, 0)</f>
        <v>0</v>
      </c>
      <c r="Q220" s="5">
        <f t="shared" si="13"/>
        <v>50340.42</v>
      </c>
      <c r="R220" s="5">
        <f t="shared" si="14"/>
        <v>48007.32</v>
      </c>
      <c r="S220" s="5">
        <f>Table1[[#This Row],[Total_Line_Spend]]-Table1[[#This Row],[Negotiated_Total]]</f>
        <v>2333.0999999999985</v>
      </c>
      <c r="T220" t="str">
        <f xml:space="preserve"> IF(Table1[[#This Row],[Delay_Days]] &gt; 4, "High Risk", IF(Table1[[#This Row],[Delay_Days]] &gt; 0, "Medium Risk", "Low Risk"))</f>
        <v>Low Risk</v>
      </c>
    </row>
    <row r="221" spans="1:20" x14ac:dyDescent="0.25">
      <c r="A221" t="s">
        <v>246</v>
      </c>
      <c r="B221" t="s">
        <v>807</v>
      </c>
      <c r="C221" s="1">
        <v>44685</v>
      </c>
      <c r="D221" s="1">
        <v>44695</v>
      </c>
      <c r="E221" t="s">
        <v>13</v>
      </c>
      <c r="F221" t="s">
        <v>18</v>
      </c>
      <c r="G221">
        <v>1647</v>
      </c>
      <c r="H221" s="5">
        <v>13.57</v>
      </c>
      <c r="I221" s="5">
        <v>12.33</v>
      </c>
      <c r="J221">
        <v>157</v>
      </c>
      <c r="K221" t="s">
        <v>15</v>
      </c>
      <c r="L221">
        <f t="shared" si="15"/>
        <v>10</v>
      </c>
      <c r="M221">
        <v>11</v>
      </c>
      <c r="N221">
        <f t="shared" si="12"/>
        <v>0</v>
      </c>
      <c r="O221" t="str">
        <f xml:space="preserve"> IF(AND(Table1[[#This Row],[Actual_Lead_Time]] &lt;= Table1[[#This Row],[Standard_Lead_Time]], OR(ISBLANK(J221), J221 = 0)), "OTIF", "Non-OTIF")</f>
        <v>Non-OTIF</v>
      </c>
      <c r="P221">
        <f>IF(Table1[[#This Row],[OTIF_Status]] = "OTIF", 1, 0)</f>
        <v>0</v>
      </c>
      <c r="Q221" s="5">
        <f t="shared" si="13"/>
        <v>22349.79</v>
      </c>
      <c r="R221" s="5">
        <f t="shared" si="14"/>
        <v>20307.509999999998</v>
      </c>
      <c r="S221" s="5">
        <f>Table1[[#This Row],[Total_Line_Spend]]-Table1[[#This Row],[Negotiated_Total]]</f>
        <v>2042.2800000000025</v>
      </c>
      <c r="T221" t="str">
        <f xml:space="preserve"> IF(Table1[[#This Row],[Delay_Days]] &gt; 4, "High Risk", IF(Table1[[#This Row],[Delay_Days]] &gt; 0, "Medium Risk", "Low Risk"))</f>
        <v>Low Risk</v>
      </c>
    </row>
    <row r="222" spans="1:20" x14ac:dyDescent="0.25">
      <c r="A222" t="s">
        <v>247</v>
      </c>
      <c r="B222" t="s">
        <v>805</v>
      </c>
      <c r="C222" s="1">
        <v>44815</v>
      </c>
      <c r="D222" s="1">
        <v>44823</v>
      </c>
      <c r="E222" t="s">
        <v>21</v>
      </c>
      <c r="F222" t="s">
        <v>18</v>
      </c>
      <c r="G222">
        <v>1062</v>
      </c>
      <c r="H222" s="5">
        <v>34.03</v>
      </c>
      <c r="I222" s="5">
        <v>30.46</v>
      </c>
      <c r="K222" t="s">
        <v>15</v>
      </c>
      <c r="L222">
        <f t="shared" si="15"/>
        <v>8</v>
      </c>
      <c r="M222">
        <v>11</v>
      </c>
      <c r="N222">
        <f t="shared" si="12"/>
        <v>0</v>
      </c>
      <c r="O222" t="str">
        <f xml:space="preserve"> IF(AND(Table1[[#This Row],[Actual_Lead_Time]] &lt;= Table1[[#This Row],[Standard_Lead_Time]], OR(ISBLANK(J222), J222 = 0)), "OTIF", "Non-OTIF")</f>
        <v>OTIF</v>
      </c>
      <c r="P222">
        <f>IF(Table1[[#This Row],[OTIF_Status]] = "OTIF", 1, 0)</f>
        <v>1</v>
      </c>
      <c r="Q222" s="5">
        <f t="shared" si="13"/>
        <v>36139.86</v>
      </c>
      <c r="R222" s="5">
        <f t="shared" si="14"/>
        <v>32348.52</v>
      </c>
      <c r="S222" s="5">
        <f>Table1[[#This Row],[Total_Line_Spend]]-Table1[[#This Row],[Negotiated_Total]]</f>
        <v>3791.34</v>
      </c>
      <c r="T222" t="str">
        <f xml:space="preserve"> IF(Table1[[#This Row],[Delay_Days]] &gt; 4, "High Risk", IF(Table1[[#This Row],[Delay_Days]] &gt; 0, "Medium Risk", "Low Risk"))</f>
        <v>Low Risk</v>
      </c>
    </row>
    <row r="223" spans="1:20" x14ac:dyDescent="0.25">
      <c r="A223" t="s">
        <v>248</v>
      </c>
      <c r="B223" t="s">
        <v>807</v>
      </c>
      <c r="C223" s="1">
        <v>44792</v>
      </c>
      <c r="D223" s="1">
        <v>44804</v>
      </c>
      <c r="E223" t="s">
        <v>13</v>
      </c>
      <c r="F223" t="s">
        <v>18</v>
      </c>
      <c r="G223">
        <v>695</v>
      </c>
      <c r="H223" s="5">
        <v>76.8</v>
      </c>
      <c r="I223" s="5">
        <v>69.760000000000005</v>
      </c>
      <c r="K223" t="s">
        <v>27</v>
      </c>
      <c r="L223">
        <f t="shared" si="15"/>
        <v>12</v>
      </c>
      <c r="M223">
        <v>11</v>
      </c>
      <c r="N223">
        <f t="shared" si="12"/>
        <v>1</v>
      </c>
      <c r="O223" t="str">
        <f xml:space="preserve"> IF(AND(Table1[[#This Row],[Actual_Lead_Time]] &lt;= Table1[[#This Row],[Standard_Lead_Time]], OR(ISBLANK(J223), J223 = 0)), "OTIF", "Non-OTIF")</f>
        <v>Non-OTIF</v>
      </c>
      <c r="P223">
        <f>IF(Table1[[#This Row],[OTIF_Status]] = "OTIF", 1, 0)</f>
        <v>0</v>
      </c>
      <c r="Q223" s="5">
        <f t="shared" si="13"/>
        <v>53376</v>
      </c>
      <c r="R223" s="5">
        <f t="shared" si="14"/>
        <v>48483.200000000004</v>
      </c>
      <c r="S223" s="5">
        <f>Table1[[#This Row],[Total_Line_Spend]]-Table1[[#This Row],[Negotiated_Total]]</f>
        <v>4892.7999999999956</v>
      </c>
      <c r="T223" t="str">
        <f xml:space="preserve"> IF(Table1[[#This Row],[Delay_Days]] &gt; 4, "High Risk", IF(Table1[[#This Row],[Delay_Days]] &gt; 0, "Medium Risk", "Low Risk"))</f>
        <v>Medium Risk</v>
      </c>
    </row>
    <row r="224" spans="1:20" x14ac:dyDescent="0.25">
      <c r="A224" t="s">
        <v>249</v>
      </c>
      <c r="B224" t="s">
        <v>808</v>
      </c>
      <c r="C224" s="1">
        <v>44627</v>
      </c>
      <c r="D224" s="1">
        <v>44634</v>
      </c>
      <c r="E224" t="s">
        <v>21</v>
      </c>
      <c r="F224" t="s">
        <v>18</v>
      </c>
      <c r="G224">
        <v>845</v>
      </c>
      <c r="H224" s="5">
        <v>91.47</v>
      </c>
      <c r="I224" s="5">
        <v>86.97</v>
      </c>
      <c r="K224" t="s">
        <v>15</v>
      </c>
      <c r="L224">
        <f t="shared" si="15"/>
        <v>7</v>
      </c>
      <c r="M224">
        <v>11</v>
      </c>
      <c r="N224">
        <f t="shared" si="12"/>
        <v>0</v>
      </c>
      <c r="O224" t="str">
        <f xml:space="preserve"> IF(AND(Table1[[#This Row],[Actual_Lead_Time]] &lt;= Table1[[#This Row],[Standard_Lead_Time]], OR(ISBLANK(J224), J224 = 0)), "OTIF", "Non-OTIF")</f>
        <v>OTIF</v>
      </c>
      <c r="P224">
        <f>IF(Table1[[#This Row],[OTIF_Status]] = "OTIF", 1, 0)</f>
        <v>1</v>
      </c>
      <c r="Q224" s="5">
        <f t="shared" si="13"/>
        <v>77292.149999999994</v>
      </c>
      <c r="R224" s="5">
        <f t="shared" si="14"/>
        <v>73489.649999999994</v>
      </c>
      <c r="S224" s="5">
        <f>Table1[[#This Row],[Total_Line_Spend]]-Table1[[#This Row],[Negotiated_Total]]</f>
        <v>3802.5</v>
      </c>
      <c r="T224" t="str">
        <f xml:space="preserve"> IF(Table1[[#This Row],[Delay_Days]] &gt; 4, "High Risk", IF(Table1[[#This Row],[Delay_Days]] &gt; 0, "Medium Risk", "Low Risk"))</f>
        <v>Low Risk</v>
      </c>
    </row>
    <row r="225" spans="1:20" x14ac:dyDescent="0.25">
      <c r="A225" t="s">
        <v>250</v>
      </c>
      <c r="B225" t="s">
        <v>806</v>
      </c>
      <c r="C225" s="1">
        <v>44908</v>
      </c>
      <c r="D225" s="1">
        <v>44913</v>
      </c>
      <c r="E225" t="s">
        <v>21</v>
      </c>
      <c r="F225" t="s">
        <v>18</v>
      </c>
      <c r="G225">
        <v>1101</v>
      </c>
      <c r="H225" s="5">
        <v>59.13</v>
      </c>
      <c r="I225" s="5">
        <v>52.51</v>
      </c>
      <c r="J225">
        <v>54</v>
      </c>
      <c r="K225" t="s">
        <v>15</v>
      </c>
      <c r="L225">
        <f t="shared" si="15"/>
        <v>5</v>
      </c>
      <c r="M225">
        <v>11</v>
      </c>
      <c r="N225">
        <f t="shared" si="12"/>
        <v>0</v>
      </c>
      <c r="O225" t="str">
        <f xml:space="preserve"> IF(AND(Table1[[#This Row],[Actual_Lead_Time]] &lt;= Table1[[#This Row],[Standard_Lead_Time]], OR(ISBLANK(J225), J225 = 0)), "OTIF", "Non-OTIF")</f>
        <v>Non-OTIF</v>
      </c>
      <c r="P225">
        <f>IF(Table1[[#This Row],[OTIF_Status]] = "OTIF", 1, 0)</f>
        <v>0</v>
      </c>
      <c r="Q225" s="5">
        <f t="shared" si="13"/>
        <v>65102.130000000005</v>
      </c>
      <c r="R225" s="5">
        <f t="shared" si="14"/>
        <v>57813.509999999995</v>
      </c>
      <c r="S225" s="5">
        <f>Table1[[#This Row],[Total_Line_Spend]]-Table1[[#This Row],[Negotiated_Total]]</f>
        <v>7288.6200000000099</v>
      </c>
      <c r="T225" t="str">
        <f xml:space="preserve"> IF(Table1[[#This Row],[Delay_Days]] &gt; 4, "High Risk", IF(Table1[[#This Row],[Delay_Days]] &gt; 0, "Medium Risk", "Low Risk"))</f>
        <v>Low Risk</v>
      </c>
    </row>
    <row r="226" spans="1:20" x14ac:dyDescent="0.25">
      <c r="A226" t="s">
        <v>251</v>
      </c>
      <c r="B226" t="s">
        <v>806</v>
      </c>
      <c r="C226" s="1">
        <v>44583</v>
      </c>
      <c r="D226" s="1">
        <v>44585</v>
      </c>
      <c r="E226" t="s">
        <v>26</v>
      </c>
      <c r="F226" t="s">
        <v>18</v>
      </c>
      <c r="G226">
        <v>1693</v>
      </c>
      <c r="H226" s="5">
        <v>57.89</v>
      </c>
      <c r="I226" s="5">
        <v>49.84</v>
      </c>
      <c r="J226">
        <v>88</v>
      </c>
      <c r="K226" t="s">
        <v>15</v>
      </c>
      <c r="L226">
        <f t="shared" si="15"/>
        <v>2</v>
      </c>
      <c r="M226">
        <v>11</v>
      </c>
      <c r="N226">
        <f t="shared" si="12"/>
        <v>0</v>
      </c>
      <c r="O226" t="str">
        <f xml:space="preserve"> IF(AND(Table1[[#This Row],[Actual_Lead_Time]] &lt;= Table1[[#This Row],[Standard_Lead_Time]], OR(ISBLANK(J226), J226 = 0)), "OTIF", "Non-OTIF")</f>
        <v>Non-OTIF</v>
      </c>
      <c r="P226">
        <f>IF(Table1[[#This Row],[OTIF_Status]] = "OTIF", 1, 0)</f>
        <v>0</v>
      </c>
      <c r="Q226" s="5">
        <f t="shared" si="13"/>
        <v>98007.77</v>
      </c>
      <c r="R226" s="5">
        <f t="shared" si="14"/>
        <v>84379.12000000001</v>
      </c>
      <c r="S226" s="5">
        <f>Table1[[#This Row],[Total_Line_Spend]]-Table1[[#This Row],[Negotiated_Total]]</f>
        <v>13628.649999999994</v>
      </c>
      <c r="T226" t="str">
        <f xml:space="preserve"> IF(Table1[[#This Row],[Delay_Days]] &gt; 4, "High Risk", IF(Table1[[#This Row],[Delay_Days]] &gt; 0, "Medium Risk", "Low Risk"))</f>
        <v>Low Risk</v>
      </c>
    </row>
    <row r="227" spans="1:20" x14ac:dyDescent="0.25">
      <c r="A227" t="s">
        <v>252</v>
      </c>
      <c r="B227" t="s">
        <v>805</v>
      </c>
      <c r="C227" s="1">
        <v>45164</v>
      </c>
      <c r="D227" s="1">
        <v>45179</v>
      </c>
      <c r="E227" t="s">
        <v>13</v>
      </c>
      <c r="F227" t="s">
        <v>14</v>
      </c>
      <c r="G227">
        <v>1629</v>
      </c>
      <c r="H227" s="5">
        <v>21.51</v>
      </c>
      <c r="I227" s="5">
        <v>19.41</v>
      </c>
      <c r="J227">
        <v>250</v>
      </c>
      <c r="K227" t="s">
        <v>27</v>
      </c>
      <c r="L227">
        <f t="shared" si="15"/>
        <v>15</v>
      </c>
      <c r="M227">
        <v>11</v>
      </c>
      <c r="N227">
        <f t="shared" si="12"/>
        <v>4</v>
      </c>
      <c r="O227" t="str">
        <f xml:space="preserve"> IF(AND(Table1[[#This Row],[Actual_Lead_Time]] &lt;= Table1[[#This Row],[Standard_Lead_Time]], OR(ISBLANK(J227), J227 = 0)), "OTIF", "Non-OTIF")</f>
        <v>Non-OTIF</v>
      </c>
      <c r="P227">
        <f>IF(Table1[[#This Row],[OTIF_Status]] = "OTIF", 1, 0)</f>
        <v>0</v>
      </c>
      <c r="Q227" s="5">
        <f t="shared" si="13"/>
        <v>35039.79</v>
      </c>
      <c r="R227" s="5">
        <f t="shared" si="14"/>
        <v>31618.89</v>
      </c>
      <c r="S227" s="5">
        <f>Table1[[#This Row],[Total_Line_Spend]]-Table1[[#This Row],[Negotiated_Total]]</f>
        <v>3420.9000000000015</v>
      </c>
      <c r="T227" t="str">
        <f xml:space="preserve"> IF(Table1[[#This Row],[Delay_Days]] &gt; 4, "High Risk", IF(Table1[[#This Row],[Delay_Days]] &gt; 0, "Medium Risk", "Low Risk"))</f>
        <v>Medium Risk</v>
      </c>
    </row>
    <row r="228" spans="1:20" x14ac:dyDescent="0.25">
      <c r="A228" t="s">
        <v>253</v>
      </c>
      <c r="B228" t="s">
        <v>805</v>
      </c>
      <c r="C228" s="1">
        <v>45129</v>
      </c>
      <c r="D228" s="1">
        <v>45141</v>
      </c>
      <c r="E228" t="s">
        <v>26</v>
      </c>
      <c r="F228" t="s">
        <v>18</v>
      </c>
      <c r="G228">
        <v>1413</v>
      </c>
      <c r="H228" s="5">
        <v>54.79</v>
      </c>
      <c r="I228" s="5">
        <v>50.42</v>
      </c>
      <c r="K228" t="s">
        <v>15</v>
      </c>
      <c r="L228">
        <f t="shared" si="15"/>
        <v>12</v>
      </c>
      <c r="M228">
        <v>11</v>
      </c>
      <c r="N228">
        <f t="shared" si="12"/>
        <v>1</v>
      </c>
      <c r="O228" t="str">
        <f xml:space="preserve"> IF(AND(Table1[[#This Row],[Actual_Lead_Time]] &lt;= Table1[[#This Row],[Standard_Lead_Time]], OR(ISBLANK(J228), J228 = 0)), "OTIF", "Non-OTIF")</f>
        <v>Non-OTIF</v>
      </c>
      <c r="P228">
        <f>IF(Table1[[#This Row],[OTIF_Status]] = "OTIF", 1, 0)</f>
        <v>0</v>
      </c>
      <c r="Q228" s="5">
        <f t="shared" si="13"/>
        <v>77418.27</v>
      </c>
      <c r="R228" s="5">
        <f t="shared" si="14"/>
        <v>71243.460000000006</v>
      </c>
      <c r="S228" s="5">
        <f>Table1[[#This Row],[Total_Line_Spend]]-Table1[[#This Row],[Negotiated_Total]]</f>
        <v>6174.8099999999977</v>
      </c>
      <c r="T228" t="str">
        <f xml:space="preserve"> IF(Table1[[#This Row],[Delay_Days]] &gt; 4, "High Risk", IF(Table1[[#This Row],[Delay_Days]] &gt; 0, "Medium Risk", "Low Risk"))</f>
        <v>Medium Risk</v>
      </c>
    </row>
    <row r="229" spans="1:20" x14ac:dyDescent="0.25">
      <c r="A229" t="s">
        <v>254</v>
      </c>
      <c r="B229" t="s">
        <v>808</v>
      </c>
      <c r="C229" s="1">
        <v>44797</v>
      </c>
      <c r="D229" s="1">
        <v>44800</v>
      </c>
      <c r="E229" t="s">
        <v>24</v>
      </c>
      <c r="F229" t="s">
        <v>18</v>
      </c>
      <c r="G229">
        <v>1871</v>
      </c>
      <c r="H229" s="5">
        <v>59.96</v>
      </c>
      <c r="I229" s="5">
        <v>58.54</v>
      </c>
      <c r="J229">
        <v>47</v>
      </c>
      <c r="K229" t="s">
        <v>15</v>
      </c>
      <c r="L229">
        <f t="shared" si="15"/>
        <v>3</v>
      </c>
      <c r="M229">
        <v>11</v>
      </c>
      <c r="N229">
        <f t="shared" si="12"/>
        <v>0</v>
      </c>
      <c r="O229" t="str">
        <f xml:space="preserve"> IF(AND(Table1[[#This Row],[Actual_Lead_Time]] &lt;= Table1[[#This Row],[Standard_Lead_Time]], OR(ISBLANK(J229), J229 = 0)), "OTIF", "Non-OTIF")</f>
        <v>Non-OTIF</v>
      </c>
      <c r="P229">
        <f>IF(Table1[[#This Row],[OTIF_Status]] = "OTIF", 1, 0)</f>
        <v>0</v>
      </c>
      <c r="Q229" s="5">
        <f t="shared" si="13"/>
        <v>112185.16</v>
      </c>
      <c r="R229" s="5">
        <f t="shared" si="14"/>
        <v>109528.34</v>
      </c>
      <c r="S229" s="5">
        <f>Table1[[#This Row],[Total_Line_Spend]]-Table1[[#This Row],[Negotiated_Total]]</f>
        <v>2656.820000000007</v>
      </c>
      <c r="T229" t="str">
        <f xml:space="preserve"> IF(Table1[[#This Row],[Delay_Days]] &gt; 4, "High Risk", IF(Table1[[#This Row],[Delay_Days]] &gt; 0, "Medium Risk", "Low Risk"))</f>
        <v>Low Risk</v>
      </c>
    </row>
    <row r="230" spans="1:20" x14ac:dyDescent="0.25">
      <c r="A230" t="s">
        <v>255</v>
      </c>
      <c r="B230" t="s">
        <v>806</v>
      </c>
      <c r="C230" s="1">
        <v>45164</v>
      </c>
      <c r="D230" s="1">
        <v>45174</v>
      </c>
      <c r="E230" t="s">
        <v>26</v>
      </c>
      <c r="F230" t="s">
        <v>18</v>
      </c>
      <c r="G230">
        <v>1404</v>
      </c>
      <c r="H230" s="5">
        <v>34.85</v>
      </c>
      <c r="I230" s="5">
        <v>30.5</v>
      </c>
      <c r="J230">
        <v>78</v>
      </c>
      <c r="K230" t="s">
        <v>15</v>
      </c>
      <c r="L230">
        <f t="shared" si="15"/>
        <v>10</v>
      </c>
      <c r="M230">
        <v>11</v>
      </c>
      <c r="N230">
        <f t="shared" si="12"/>
        <v>0</v>
      </c>
      <c r="O230" t="str">
        <f xml:space="preserve"> IF(AND(Table1[[#This Row],[Actual_Lead_Time]] &lt;= Table1[[#This Row],[Standard_Lead_Time]], OR(ISBLANK(J230), J230 = 0)), "OTIF", "Non-OTIF")</f>
        <v>Non-OTIF</v>
      </c>
      <c r="P230">
        <f>IF(Table1[[#This Row],[OTIF_Status]] = "OTIF", 1, 0)</f>
        <v>0</v>
      </c>
      <c r="Q230" s="5">
        <f t="shared" si="13"/>
        <v>48929.4</v>
      </c>
      <c r="R230" s="5">
        <f t="shared" si="14"/>
        <v>42822</v>
      </c>
      <c r="S230" s="5">
        <f>Table1[[#This Row],[Total_Line_Spend]]-Table1[[#This Row],[Negotiated_Total]]</f>
        <v>6107.4000000000015</v>
      </c>
      <c r="T230" t="str">
        <f xml:space="preserve"> IF(Table1[[#This Row],[Delay_Days]] &gt; 4, "High Risk", IF(Table1[[#This Row],[Delay_Days]] &gt; 0, "Medium Risk", "Low Risk"))</f>
        <v>Low Risk</v>
      </c>
    </row>
    <row r="231" spans="1:20" x14ac:dyDescent="0.25">
      <c r="A231" t="s">
        <v>256</v>
      </c>
      <c r="B231" t="s">
        <v>806</v>
      </c>
      <c r="C231" s="1">
        <v>44787</v>
      </c>
      <c r="D231" s="1">
        <v>44801</v>
      </c>
      <c r="E231" t="s">
        <v>39</v>
      </c>
      <c r="F231" t="s">
        <v>18</v>
      </c>
      <c r="G231">
        <v>1713</v>
      </c>
      <c r="H231" s="5">
        <v>35.43</v>
      </c>
      <c r="I231" s="5">
        <v>34.11</v>
      </c>
      <c r="J231">
        <v>74</v>
      </c>
      <c r="K231" t="s">
        <v>15</v>
      </c>
      <c r="L231">
        <f t="shared" si="15"/>
        <v>14</v>
      </c>
      <c r="M231">
        <v>11</v>
      </c>
      <c r="N231">
        <f t="shared" si="12"/>
        <v>3</v>
      </c>
      <c r="O231" t="str">
        <f xml:space="preserve"> IF(AND(Table1[[#This Row],[Actual_Lead_Time]] &lt;= Table1[[#This Row],[Standard_Lead_Time]], OR(ISBLANK(J231), J231 = 0)), "OTIF", "Non-OTIF")</f>
        <v>Non-OTIF</v>
      </c>
      <c r="P231">
        <f>IF(Table1[[#This Row],[OTIF_Status]] = "OTIF", 1, 0)</f>
        <v>0</v>
      </c>
      <c r="Q231" s="5">
        <f t="shared" si="13"/>
        <v>60691.59</v>
      </c>
      <c r="R231" s="5">
        <f t="shared" si="14"/>
        <v>58430.43</v>
      </c>
      <c r="S231" s="5">
        <f>Table1[[#This Row],[Total_Line_Spend]]-Table1[[#This Row],[Negotiated_Total]]</f>
        <v>2261.1599999999962</v>
      </c>
      <c r="T231" t="str">
        <f xml:space="preserve"> IF(Table1[[#This Row],[Delay_Days]] &gt; 4, "High Risk", IF(Table1[[#This Row],[Delay_Days]] &gt; 0, "Medium Risk", "Low Risk"))</f>
        <v>Medium Risk</v>
      </c>
    </row>
    <row r="232" spans="1:20" x14ac:dyDescent="0.25">
      <c r="A232" t="s">
        <v>257</v>
      </c>
      <c r="B232" t="s">
        <v>806</v>
      </c>
      <c r="C232" s="1">
        <v>44569</v>
      </c>
      <c r="D232" s="1">
        <v>44574</v>
      </c>
      <c r="E232" t="s">
        <v>39</v>
      </c>
      <c r="F232" t="s">
        <v>18</v>
      </c>
      <c r="G232">
        <v>1579</v>
      </c>
      <c r="H232" s="5">
        <v>43.96</v>
      </c>
      <c r="I232" s="5">
        <v>43.41</v>
      </c>
      <c r="J232">
        <v>74</v>
      </c>
      <c r="K232" t="s">
        <v>15</v>
      </c>
      <c r="L232">
        <f t="shared" si="15"/>
        <v>5</v>
      </c>
      <c r="M232">
        <v>11</v>
      </c>
      <c r="N232">
        <f t="shared" si="12"/>
        <v>0</v>
      </c>
      <c r="O232" t="str">
        <f xml:space="preserve"> IF(AND(Table1[[#This Row],[Actual_Lead_Time]] &lt;= Table1[[#This Row],[Standard_Lead_Time]], OR(ISBLANK(J232), J232 = 0)), "OTIF", "Non-OTIF")</f>
        <v>Non-OTIF</v>
      </c>
      <c r="P232">
        <f>IF(Table1[[#This Row],[OTIF_Status]] = "OTIF", 1, 0)</f>
        <v>0</v>
      </c>
      <c r="Q232" s="5">
        <f t="shared" si="13"/>
        <v>69412.84</v>
      </c>
      <c r="R232" s="5">
        <f t="shared" si="14"/>
        <v>68544.39</v>
      </c>
      <c r="S232" s="5">
        <f>Table1[[#This Row],[Total_Line_Spend]]-Table1[[#This Row],[Negotiated_Total]]</f>
        <v>868.44999999999709</v>
      </c>
      <c r="T232" t="str">
        <f xml:space="preserve"> IF(Table1[[#This Row],[Delay_Days]] &gt; 4, "High Risk", IF(Table1[[#This Row],[Delay_Days]] &gt; 0, "Medium Risk", "Low Risk"))</f>
        <v>Low Risk</v>
      </c>
    </row>
    <row r="233" spans="1:20" x14ac:dyDescent="0.25">
      <c r="A233" t="s">
        <v>258</v>
      </c>
      <c r="B233" t="s">
        <v>806</v>
      </c>
      <c r="C233" s="1">
        <v>44634</v>
      </c>
      <c r="D233" s="1">
        <v>44646</v>
      </c>
      <c r="E233" t="s">
        <v>39</v>
      </c>
      <c r="F233" t="s">
        <v>18</v>
      </c>
      <c r="G233">
        <v>1421</v>
      </c>
      <c r="H233" s="5">
        <v>11.92</v>
      </c>
      <c r="I233" s="5">
        <v>11.72</v>
      </c>
      <c r="J233">
        <v>76</v>
      </c>
      <c r="K233" t="s">
        <v>15</v>
      </c>
      <c r="L233">
        <f t="shared" si="15"/>
        <v>12</v>
      </c>
      <c r="M233">
        <v>11</v>
      </c>
      <c r="N233">
        <f t="shared" si="12"/>
        <v>1</v>
      </c>
      <c r="O233" t="str">
        <f xml:space="preserve"> IF(AND(Table1[[#This Row],[Actual_Lead_Time]] &lt;= Table1[[#This Row],[Standard_Lead_Time]], OR(ISBLANK(J233), J233 = 0)), "OTIF", "Non-OTIF")</f>
        <v>Non-OTIF</v>
      </c>
      <c r="P233">
        <f>IF(Table1[[#This Row],[OTIF_Status]] = "OTIF", 1, 0)</f>
        <v>0</v>
      </c>
      <c r="Q233" s="5">
        <f t="shared" si="13"/>
        <v>16938.32</v>
      </c>
      <c r="R233" s="5">
        <f t="shared" si="14"/>
        <v>16654.120000000003</v>
      </c>
      <c r="S233" s="5">
        <f>Table1[[#This Row],[Total_Line_Spend]]-Table1[[#This Row],[Negotiated_Total]]</f>
        <v>284.19999999999709</v>
      </c>
      <c r="T233" t="str">
        <f xml:space="preserve"> IF(Table1[[#This Row],[Delay_Days]] &gt; 4, "High Risk", IF(Table1[[#This Row],[Delay_Days]] &gt; 0, "Medium Risk", "Low Risk"))</f>
        <v>Medium Risk</v>
      </c>
    </row>
    <row r="234" spans="1:20" x14ac:dyDescent="0.25">
      <c r="A234" t="s">
        <v>259</v>
      </c>
      <c r="B234" t="s">
        <v>808</v>
      </c>
      <c r="C234" s="1">
        <v>45286</v>
      </c>
      <c r="D234" s="1">
        <v>45295</v>
      </c>
      <c r="E234" t="s">
        <v>21</v>
      </c>
      <c r="F234" t="s">
        <v>18</v>
      </c>
      <c r="G234">
        <v>1546</v>
      </c>
      <c r="H234" s="5">
        <v>43.47</v>
      </c>
      <c r="I234" s="5">
        <v>37.369999999999997</v>
      </c>
      <c r="J234">
        <v>53</v>
      </c>
      <c r="K234" t="s">
        <v>15</v>
      </c>
      <c r="L234">
        <f t="shared" si="15"/>
        <v>9</v>
      </c>
      <c r="M234">
        <v>11</v>
      </c>
      <c r="N234">
        <f t="shared" si="12"/>
        <v>0</v>
      </c>
      <c r="O234" t="str">
        <f xml:space="preserve"> IF(AND(Table1[[#This Row],[Actual_Lead_Time]] &lt;= Table1[[#This Row],[Standard_Lead_Time]], OR(ISBLANK(J234), J234 = 0)), "OTIF", "Non-OTIF")</f>
        <v>Non-OTIF</v>
      </c>
      <c r="P234">
        <f>IF(Table1[[#This Row],[OTIF_Status]] = "OTIF", 1, 0)</f>
        <v>0</v>
      </c>
      <c r="Q234" s="5">
        <f t="shared" si="13"/>
        <v>67204.62</v>
      </c>
      <c r="R234" s="5">
        <f t="shared" si="14"/>
        <v>57774.02</v>
      </c>
      <c r="S234" s="5">
        <f>Table1[[#This Row],[Total_Line_Spend]]-Table1[[#This Row],[Negotiated_Total]]</f>
        <v>9430.5999999999985</v>
      </c>
      <c r="T234" t="str">
        <f xml:space="preserve"> IF(Table1[[#This Row],[Delay_Days]] &gt; 4, "High Risk", IF(Table1[[#This Row],[Delay_Days]] &gt; 0, "Medium Risk", "Low Risk"))</f>
        <v>Low Risk</v>
      </c>
    </row>
    <row r="235" spans="1:20" x14ac:dyDescent="0.25">
      <c r="A235" t="s">
        <v>260</v>
      </c>
      <c r="B235" t="s">
        <v>805</v>
      </c>
      <c r="C235" s="1">
        <v>45208</v>
      </c>
      <c r="D235" s="1">
        <v>45217</v>
      </c>
      <c r="E235" t="s">
        <v>39</v>
      </c>
      <c r="F235" t="s">
        <v>18</v>
      </c>
      <c r="G235">
        <v>1304</v>
      </c>
      <c r="H235" s="5">
        <v>32.08</v>
      </c>
      <c r="I235" s="5">
        <v>29.36</v>
      </c>
      <c r="K235" t="s">
        <v>15</v>
      </c>
      <c r="L235">
        <f t="shared" si="15"/>
        <v>9</v>
      </c>
      <c r="M235">
        <v>11</v>
      </c>
      <c r="N235">
        <f t="shared" si="12"/>
        <v>0</v>
      </c>
      <c r="O235" t="str">
        <f xml:space="preserve"> IF(AND(Table1[[#This Row],[Actual_Lead_Time]] &lt;= Table1[[#This Row],[Standard_Lead_Time]], OR(ISBLANK(J235), J235 = 0)), "OTIF", "Non-OTIF")</f>
        <v>OTIF</v>
      </c>
      <c r="P235">
        <f>IF(Table1[[#This Row],[OTIF_Status]] = "OTIF", 1, 0)</f>
        <v>1</v>
      </c>
      <c r="Q235" s="5">
        <f t="shared" si="13"/>
        <v>41832.32</v>
      </c>
      <c r="R235" s="5">
        <f t="shared" si="14"/>
        <v>38285.440000000002</v>
      </c>
      <c r="S235" s="5">
        <f>Table1[[#This Row],[Total_Line_Spend]]-Table1[[#This Row],[Negotiated_Total]]</f>
        <v>3546.8799999999974</v>
      </c>
      <c r="T235" t="str">
        <f xml:space="preserve"> IF(Table1[[#This Row],[Delay_Days]] &gt; 4, "High Risk", IF(Table1[[#This Row],[Delay_Days]] &gt; 0, "Medium Risk", "Low Risk"))</f>
        <v>Low Risk</v>
      </c>
    </row>
    <row r="236" spans="1:20" x14ac:dyDescent="0.25">
      <c r="A236" t="s">
        <v>261</v>
      </c>
      <c r="B236" t="s">
        <v>805</v>
      </c>
      <c r="C236" s="1">
        <v>44622</v>
      </c>
      <c r="D236" s="1">
        <v>44633</v>
      </c>
      <c r="E236" t="s">
        <v>26</v>
      </c>
      <c r="F236" t="s">
        <v>18</v>
      </c>
      <c r="G236">
        <v>239</v>
      </c>
      <c r="H236" s="5">
        <v>39.869999999999997</v>
      </c>
      <c r="I236" s="5">
        <v>35.47</v>
      </c>
      <c r="J236">
        <v>32</v>
      </c>
      <c r="K236" t="s">
        <v>15</v>
      </c>
      <c r="L236">
        <f t="shared" si="15"/>
        <v>11</v>
      </c>
      <c r="M236">
        <v>11</v>
      </c>
      <c r="N236">
        <f t="shared" si="12"/>
        <v>0</v>
      </c>
      <c r="O236" t="str">
        <f xml:space="preserve"> IF(AND(Table1[[#This Row],[Actual_Lead_Time]] &lt;= Table1[[#This Row],[Standard_Lead_Time]], OR(ISBLANK(J236), J236 = 0)), "OTIF", "Non-OTIF")</f>
        <v>Non-OTIF</v>
      </c>
      <c r="P236">
        <f>IF(Table1[[#This Row],[OTIF_Status]] = "OTIF", 1, 0)</f>
        <v>0</v>
      </c>
      <c r="Q236" s="5">
        <f t="shared" si="13"/>
        <v>9528.93</v>
      </c>
      <c r="R236" s="5">
        <f t="shared" si="14"/>
        <v>8477.33</v>
      </c>
      <c r="S236" s="5">
        <f>Table1[[#This Row],[Total_Line_Spend]]-Table1[[#This Row],[Negotiated_Total]]</f>
        <v>1051.6000000000004</v>
      </c>
      <c r="T236" t="str">
        <f xml:space="preserve"> IF(Table1[[#This Row],[Delay_Days]] &gt; 4, "High Risk", IF(Table1[[#This Row],[Delay_Days]] &gt; 0, "Medium Risk", "Low Risk"))</f>
        <v>Low Risk</v>
      </c>
    </row>
    <row r="237" spans="1:20" x14ac:dyDescent="0.25">
      <c r="A237" t="s">
        <v>262</v>
      </c>
      <c r="B237" t="s">
        <v>804</v>
      </c>
      <c r="C237" s="1">
        <v>44796</v>
      </c>
      <c r="D237" s="1">
        <v>44807</v>
      </c>
      <c r="E237" t="s">
        <v>13</v>
      </c>
      <c r="F237" t="s">
        <v>18</v>
      </c>
      <c r="G237">
        <v>1298</v>
      </c>
      <c r="H237" s="5">
        <v>21.51</v>
      </c>
      <c r="I237" s="5">
        <v>20.83</v>
      </c>
      <c r="K237" t="s">
        <v>15</v>
      </c>
      <c r="L237">
        <f t="shared" si="15"/>
        <v>11</v>
      </c>
      <c r="M237">
        <v>11</v>
      </c>
      <c r="N237">
        <f t="shared" si="12"/>
        <v>0</v>
      </c>
      <c r="O237" t="str">
        <f xml:space="preserve"> IF(AND(Table1[[#This Row],[Actual_Lead_Time]] &lt;= Table1[[#This Row],[Standard_Lead_Time]], OR(ISBLANK(J237), J237 = 0)), "OTIF", "Non-OTIF")</f>
        <v>OTIF</v>
      </c>
      <c r="P237">
        <f>IF(Table1[[#This Row],[OTIF_Status]] = "OTIF", 1, 0)</f>
        <v>1</v>
      </c>
      <c r="Q237" s="5">
        <f t="shared" si="13"/>
        <v>27919.980000000003</v>
      </c>
      <c r="R237" s="5">
        <f t="shared" si="14"/>
        <v>27037.339999999997</v>
      </c>
      <c r="S237" s="5">
        <f>Table1[[#This Row],[Total_Line_Spend]]-Table1[[#This Row],[Negotiated_Total]]</f>
        <v>882.64000000000669</v>
      </c>
      <c r="T237" t="str">
        <f xml:space="preserve"> IF(Table1[[#This Row],[Delay_Days]] &gt; 4, "High Risk", IF(Table1[[#This Row],[Delay_Days]] &gt; 0, "Medium Risk", "Low Risk"))</f>
        <v>Low Risk</v>
      </c>
    </row>
    <row r="238" spans="1:20" x14ac:dyDescent="0.25">
      <c r="A238" t="s">
        <v>263</v>
      </c>
      <c r="B238" t="s">
        <v>805</v>
      </c>
      <c r="C238" s="1">
        <v>44631</v>
      </c>
      <c r="D238" s="1">
        <v>44642</v>
      </c>
      <c r="E238" t="s">
        <v>21</v>
      </c>
      <c r="F238" t="s">
        <v>18</v>
      </c>
      <c r="G238">
        <v>1458</v>
      </c>
      <c r="H238" s="5">
        <v>91.05</v>
      </c>
      <c r="I238" s="5">
        <v>81.56</v>
      </c>
      <c r="J238">
        <v>220</v>
      </c>
      <c r="K238" t="s">
        <v>15</v>
      </c>
      <c r="L238">
        <f t="shared" si="15"/>
        <v>11</v>
      </c>
      <c r="M238">
        <v>11</v>
      </c>
      <c r="N238">
        <f t="shared" si="12"/>
        <v>0</v>
      </c>
      <c r="O238" t="str">
        <f xml:space="preserve"> IF(AND(Table1[[#This Row],[Actual_Lead_Time]] &lt;= Table1[[#This Row],[Standard_Lead_Time]], OR(ISBLANK(J238), J238 = 0)), "OTIF", "Non-OTIF")</f>
        <v>Non-OTIF</v>
      </c>
      <c r="P238">
        <f>IF(Table1[[#This Row],[OTIF_Status]] = "OTIF", 1, 0)</f>
        <v>0</v>
      </c>
      <c r="Q238" s="5">
        <f t="shared" si="13"/>
        <v>132750.9</v>
      </c>
      <c r="R238" s="5">
        <f t="shared" si="14"/>
        <v>118914.48000000001</v>
      </c>
      <c r="S238" s="5">
        <f>Table1[[#This Row],[Total_Line_Spend]]-Table1[[#This Row],[Negotiated_Total]]</f>
        <v>13836.419999999984</v>
      </c>
      <c r="T238" t="str">
        <f xml:space="preserve"> IF(Table1[[#This Row],[Delay_Days]] &gt; 4, "High Risk", IF(Table1[[#This Row],[Delay_Days]] &gt; 0, "Medium Risk", "Low Risk"))</f>
        <v>Low Risk</v>
      </c>
    </row>
    <row r="239" spans="1:20" x14ac:dyDescent="0.25">
      <c r="A239" t="s">
        <v>264</v>
      </c>
      <c r="B239" t="s">
        <v>806</v>
      </c>
      <c r="C239" s="1">
        <v>44594</v>
      </c>
      <c r="D239" s="1">
        <v>44605</v>
      </c>
      <c r="E239" t="s">
        <v>21</v>
      </c>
      <c r="F239" t="s">
        <v>18</v>
      </c>
      <c r="G239">
        <v>1450</v>
      </c>
      <c r="H239" s="5">
        <v>63.74</v>
      </c>
      <c r="I239" s="5">
        <v>59.11</v>
      </c>
      <c r="J239">
        <v>71</v>
      </c>
      <c r="K239" t="s">
        <v>15</v>
      </c>
      <c r="L239">
        <f t="shared" si="15"/>
        <v>11</v>
      </c>
      <c r="M239">
        <v>11</v>
      </c>
      <c r="N239">
        <f t="shared" si="12"/>
        <v>0</v>
      </c>
      <c r="O239" t="str">
        <f xml:space="preserve"> IF(AND(Table1[[#This Row],[Actual_Lead_Time]] &lt;= Table1[[#This Row],[Standard_Lead_Time]], OR(ISBLANK(J239), J239 = 0)), "OTIF", "Non-OTIF")</f>
        <v>Non-OTIF</v>
      </c>
      <c r="P239">
        <f>IF(Table1[[#This Row],[OTIF_Status]] = "OTIF", 1, 0)</f>
        <v>0</v>
      </c>
      <c r="Q239" s="5">
        <f t="shared" si="13"/>
        <v>92423</v>
      </c>
      <c r="R239" s="5">
        <f t="shared" si="14"/>
        <v>85709.5</v>
      </c>
      <c r="S239" s="5">
        <f>Table1[[#This Row],[Total_Line_Spend]]-Table1[[#This Row],[Negotiated_Total]]</f>
        <v>6713.5</v>
      </c>
      <c r="T239" t="str">
        <f xml:space="preserve"> IF(Table1[[#This Row],[Delay_Days]] &gt; 4, "High Risk", IF(Table1[[#This Row],[Delay_Days]] &gt; 0, "Medium Risk", "Low Risk"))</f>
        <v>Low Risk</v>
      </c>
    </row>
    <row r="240" spans="1:20" x14ac:dyDescent="0.25">
      <c r="A240" t="s">
        <v>265</v>
      </c>
      <c r="B240" t="s">
        <v>807</v>
      </c>
      <c r="C240" s="1">
        <v>44900</v>
      </c>
      <c r="D240" s="1">
        <v>44915</v>
      </c>
      <c r="E240" t="s">
        <v>39</v>
      </c>
      <c r="F240" t="s">
        <v>18</v>
      </c>
      <c r="G240">
        <v>1356</v>
      </c>
      <c r="H240" s="5">
        <v>75.03</v>
      </c>
      <c r="I240" s="5">
        <v>63.86</v>
      </c>
      <c r="J240">
        <v>131</v>
      </c>
      <c r="K240" t="s">
        <v>15</v>
      </c>
      <c r="L240">
        <f t="shared" si="15"/>
        <v>15</v>
      </c>
      <c r="M240">
        <v>11</v>
      </c>
      <c r="N240">
        <f t="shared" si="12"/>
        <v>4</v>
      </c>
      <c r="O240" t="str">
        <f xml:space="preserve"> IF(AND(Table1[[#This Row],[Actual_Lead_Time]] &lt;= Table1[[#This Row],[Standard_Lead_Time]], OR(ISBLANK(J240), J240 = 0)), "OTIF", "Non-OTIF")</f>
        <v>Non-OTIF</v>
      </c>
      <c r="P240">
        <f>IF(Table1[[#This Row],[OTIF_Status]] = "OTIF", 1, 0)</f>
        <v>0</v>
      </c>
      <c r="Q240" s="5">
        <f t="shared" si="13"/>
        <v>101740.68000000001</v>
      </c>
      <c r="R240" s="5">
        <f t="shared" si="14"/>
        <v>86594.16</v>
      </c>
      <c r="S240" s="5">
        <f>Table1[[#This Row],[Total_Line_Spend]]-Table1[[#This Row],[Negotiated_Total]]</f>
        <v>15146.520000000004</v>
      </c>
      <c r="T240" t="str">
        <f xml:space="preserve"> IF(Table1[[#This Row],[Delay_Days]] &gt; 4, "High Risk", IF(Table1[[#This Row],[Delay_Days]] &gt; 0, "Medium Risk", "Low Risk"))</f>
        <v>Medium Risk</v>
      </c>
    </row>
    <row r="241" spans="1:20" x14ac:dyDescent="0.25">
      <c r="A241" t="s">
        <v>266</v>
      </c>
      <c r="B241" t="s">
        <v>806</v>
      </c>
      <c r="C241" s="1">
        <v>44634</v>
      </c>
      <c r="D241" s="1">
        <v>44644</v>
      </c>
      <c r="E241" t="s">
        <v>24</v>
      </c>
      <c r="F241" t="s">
        <v>18</v>
      </c>
      <c r="G241">
        <v>682</v>
      </c>
      <c r="H241" s="5">
        <v>81.84</v>
      </c>
      <c r="I241" s="5">
        <v>71.86</v>
      </c>
      <c r="J241">
        <v>40</v>
      </c>
      <c r="K241" t="s">
        <v>15</v>
      </c>
      <c r="L241">
        <f t="shared" si="15"/>
        <v>10</v>
      </c>
      <c r="M241">
        <v>11</v>
      </c>
      <c r="N241">
        <f t="shared" si="12"/>
        <v>0</v>
      </c>
      <c r="O241" t="str">
        <f xml:space="preserve"> IF(AND(Table1[[#This Row],[Actual_Lead_Time]] &lt;= Table1[[#This Row],[Standard_Lead_Time]], OR(ISBLANK(J241), J241 = 0)), "OTIF", "Non-OTIF")</f>
        <v>Non-OTIF</v>
      </c>
      <c r="P241">
        <f>IF(Table1[[#This Row],[OTIF_Status]] = "OTIF", 1, 0)</f>
        <v>0</v>
      </c>
      <c r="Q241" s="5">
        <f t="shared" si="13"/>
        <v>55814.880000000005</v>
      </c>
      <c r="R241" s="5">
        <f t="shared" si="14"/>
        <v>49008.52</v>
      </c>
      <c r="S241" s="5">
        <f>Table1[[#This Row],[Total_Line_Spend]]-Table1[[#This Row],[Negotiated_Total]]</f>
        <v>6806.3600000000079</v>
      </c>
      <c r="T241" t="str">
        <f xml:space="preserve"> IF(Table1[[#This Row],[Delay_Days]] &gt; 4, "High Risk", IF(Table1[[#This Row],[Delay_Days]] &gt; 0, "Medium Risk", "Low Risk"))</f>
        <v>Low Risk</v>
      </c>
    </row>
    <row r="242" spans="1:20" x14ac:dyDescent="0.25">
      <c r="A242" t="s">
        <v>267</v>
      </c>
      <c r="B242" t="s">
        <v>806</v>
      </c>
      <c r="C242" s="1">
        <v>45088</v>
      </c>
      <c r="D242" s="1">
        <v>45096</v>
      </c>
      <c r="E242" t="s">
        <v>24</v>
      </c>
      <c r="F242" t="s">
        <v>18</v>
      </c>
      <c r="G242">
        <v>677</v>
      </c>
      <c r="H242" s="5">
        <v>59.52</v>
      </c>
      <c r="I242" s="5">
        <v>55.29</v>
      </c>
      <c r="J242">
        <v>39</v>
      </c>
      <c r="K242" t="s">
        <v>15</v>
      </c>
      <c r="L242">
        <f t="shared" si="15"/>
        <v>8</v>
      </c>
      <c r="M242">
        <v>11</v>
      </c>
      <c r="N242">
        <f t="shared" si="12"/>
        <v>0</v>
      </c>
      <c r="O242" t="str">
        <f xml:space="preserve"> IF(AND(Table1[[#This Row],[Actual_Lead_Time]] &lt;= Table1[[#This Row],[Standard_Lead_Time]], OR(ISBLANK(J242), J242 = 0)), "OTIF", "Non-OTIF")</f>
        <v>Non-OTIF</v>
      </c>
      <c r="P242">
        <f>IF(Table1[[#This Row],[OTIF_Status]] = "OTIF", 1, 0)</f>
        <v>0</v>
      </c>
      <c r="Q242" s="5">
        <f t="shared" si="13"/>
        <v>40295.040000000001</v>
      </c>
      <c r="R242" s="5">
        <f t="shared" si="14"/>
        <v>37431.33</v>
      </c>
      <c r="S242" s="5">
        <f>Table1[[#This Row],[Total_Line_Spend]]-Table1[[#This Row],[Negotiated_Total]]</f>
        <v>2863.7099999999991</v>
      </c>
      <c r="T242" t="str">
        <f xml:space="preserve"> IF(Table1[[#This Row],[Delay_Days]] &gt; 4, "High Risk", IF(Table1[[#This Row],[Delay_Days]] &gt; 0, "Medium Risk", "Low Risk"))</f>
        <v>Low Risk</v>
      </c>
    </row>
    <row r="243" spans="1:20" x14ac:dyDescent="0.25">
      <c r="A243" t="s">
        <v>268</v>
      </c>
      <c r="B243" t="s">
        <v>805</v>
      </c>
      <c r="C243" s="1">
        <v>44805</v>
      </c>
      <c r="D243" s="1">
        <v>44818</v>
      </c>
      <c r="E243" t="s">
        <v>13</v>
      </c>
      <c r="F243" t="s">
        <v>18</v>
      </c>
      <c r="G243">
        <v>1022</v>
      </c>
      <c r="H243" s="5">
        <v>18.54</v>
      </c>
      <c r="I243" s="5">
        <v>16.55</v>
      </c>
      <c r="J243">
        <v>150</v>
      </c>
      <c r="K243" t="s">
        <v>15</v>
      </c>
      <c r="L243">
        <f t="shared" si="15"/>
        <v>13</v>
      </c>
      <c r="M243">
        <v>11</v>
      </c>
      <c r="N243">
        <f t="shared" si="12"/>
        <v>2</v>
      </c>
      <c r="O243" t="str">
        <f xml:space="preserve"> IF(AND(Table1[[#This Row],[Actual_Lead_Time]] &lt;= Table1[[#This Row],[Standard_Lead_Time]], OR(ISBLANK(J243), J243 = 0)), "OTIF", "Non-OTIF")</f>
        <v>Non-OTIF</v>
      </c>
      <c r="P243">
        <f>IF(Table1[[#This Row],[OTIF_Status]] = "OTIF", 1, 0)</f>
        <v>0</v>
      </c>
      <c r="Q243" s="5">
        <f t="shared" si="13"/>
        <v>18947.879999999997</v>
      </c>
      <c r="R243" s="5">
        <f t="shared" si="14"/>
        <v>16914.100000000002</v>
      </c>
      <c r="S243" s="5">
        <f>Table1[[#This Row],[Total_Line_Spend]]-Table1[[#This Row],[Negotiated_Total]]</f>
        <v>2033.7799999999952</v>
      </c>
      <c r="T243" t="str">
        <f xml:space="preserve"> IF(Table1[[#This Row],[Delay_Days]] &gt; 4, "High Risk", IF(Table1[[#This Row],[Delay_Days]] &gt; 0, "Medium Risk", "Low Risk"))</f>
        <v>Medium Risk</v>
      </c>
    </row>
    <row r="244" spans="1:20" x14ac:dyDescent="0.25">
      <c r="A244" t="s">
        <v>269</v>
      </c>
      <c r="B244" t="s">
        <v>804</v>
      </c>
      <c r="C244" s="1">
        <v>44847</v>
      </c>
      <c r="D244" s="1">
        <v>44858</v>
      </c>
      <c r="E244" t="s">
        <v>26</v>
      </c>
      <c r="F244" t="s">
        <v>18</v>
      </c>
      <c r="G244">
        <v>1818</v>
      </c>
      <c r="H244" s="5">
        <v>60.96</v>
      </c>
      <c r="I244" s="5">
        <v>57.13</v>
      </c>
      <c r="J244">
        <v>41</v>
      </c>
      <c r="K244" t="s">
        <v>15</v>
      </c>
      <c r="L244">
        <f t="shared" si="15"/>
        <v>11</v>
      </c>
      <c r="M244">
        <v>11</v>
      </c>
      <c r="N244">
        <f t="shared" si="12"/>
        <v>0</v>
      </c>
      <c r="O244" t="str">
        <f xml:space="preserve"> IF(AND(Table1[[#This Row],[Actual_Lead_Time]] &lt;= Table1[[#This Row],[Standard_Lead_Time]], OR(ISBLANK(J244), J244 = 0)), "OTIF", "Non-OTIF")</f>
        <v>Non-OTIF</v>
      </c>
      <c r="P244">
        <f>IF(Table1[[#This Row],[OTIF_Status]] = "OTIF", 1, 0)</f>
        <v>0</v>
      </c>
      <c r="Q244" s="5">
        <f t="shared" si="13"/>
        <v>110825.28</v>
      </c>
      <c r="R244" s="5">
        <f t="shared" si="14"/>
        <v>103862.34000000001</v>
      </c>
      <c r="S244" s="5">
        <f>Table1[[#This Row],[Total_Line_Spend]]-Table1[[#This Row],[Negotiated_Total]]</f>
        <v>6962.9399999999878</v>
      </c>
      <c r="T244" t="str">
        <f xml:space="preserve"> IF(Table1[[#This Row],[Delay_Days]] &gt; 4, "High Risk", IF(Table1[[#This Row],[Delay_Days]] &gt; 0, "Medium Risk", "Low Risk"))</f>
        <v>Low Risk</v>
      </c>
    </row>
    <row r="245" spans="1:20" x14ac:dyDescent="0.25">
      <c r="A245" t="s">
        <v>270</v>
      </c>
      <c r="B245" t="s">
        <v>808</v>
      </c>
      <c r="C245" s="1">
        <v>45247</v>
      </c>
      <c r="D245" s="1">
        <v>45259</v>
      </c>
      <c r="E245" t="s">
        <v>39</v>
      </c>
      <c r="F245" t="s">
        <v>18</v>
      </c>
      <c r="G245">
        <v>1332</v>
      </c>
      <c r="H245" s="5">
        <v>69.73</v>
      </c>
      <c r="I245" s="5">
        <v>63.8</v>
      </c>
      <c r="J245">
        <v>41</v>
      </c>
      <c r="K245" t="s">
        <v>15</v>
      </c>
      <c r="L245">
        <f t="shared" si="15"/>
        <v>12</v>
      </c>
      <c r="M245">
        <v>11</v>
      </c>
      <c r="N245">
        <f t="shared" si="12"/>
        <v>1</v>
      </c>
      <c r="O245" t="str">
        <f xml:space="preserve"> IF(AND(Table1[[#This Row],[Actual_Lead_Time]] &lt;= Table1[[#This Row],[Standard_Lead_Time]], OR(ISBLANK(J245), J245 = 0)), "OTIF", "Non-OTIF")</f>
        <v>Non-OTIF</v>
      </c>
      <c r="P245">
        <f>IF(Table1[[#This Row],[OTIF_Status]] = "OTIF", 1, 0)</f>
        <v>0</v>
      </c>
      <c r="Q245" s="5">
        <f t="shared" si="13"/>
        <v>92880.36</v>
      </c>
      <c r="R245" s="5">
        <f t="shared" si="14"/>
        <v>84981.599999999991</v>
      </c>
      <c r="S245" s="5">
        <f>Table1[[#This Row],[Total_Line_Spend]]-Table1[[#This Row],[Negotiated_Total]]</f>
        <v>7898.7600000000093</v>
      </c>
      <c r="T245" t="str">
        <f xml:space="preserve"> IF(Table1[[#This Row],[Delay_Days]] &gt; 4, "High Risk", IF(Table1[[#This Row],[Delay_Days]] &gt; 0, "Medium Risk", "Low Risk"))</f>
        <v>Medium Risk</v>
      </c>
    </row>
    <row r="246" spans="1:20" x14ac:dyDescent="0.25">
      <c r="A246" t="s">
        <v>271</v>
      </c>
      <c r="B246" t="s">
        <v>807</v>
      </c>
      <c r="C246" s="1">
        <v>45059</v>
      </c>
      <c r="D246" s="1">
        <v>45072</v>
      </c>
      <c r="E246" t="s">
        <v>26</v>
      </c>
      <c r="F246" t="s">
        <v>18</v>
      </c>
      <c r="G246">
        <v>1432</v>
      </c>
      <c r="H246" s="5">
        <v>83.26</v>
      </c>
      <c r="I246" s="5">
        <v>77.67</v>
      </c>
      <c r="J246">
        <v>174</v>
      </c>
      <c r="K246" t="s">
        <v>15</v>
      </c>
      <c r="L246">
        <f t="shared" si="15"/>
        <v>13</v>
      </c>
      <c r="M246">
        <v>11</v>
      </c>
      <c r="N246">
        <f t="shared" si="12"/>
        <v>2</v>
      </c>
      <c r="O246" t="str">
        <f xml:space="preserve"> IF(AND(Table1[[#This Row],[Actual_Lead_Time]] &lt;= Table1[[#This Row],[Standard_Lead_Time]], OR(ISBLANK(J246), J246 = 0)), "OTIF", "Non-OTIF")</f>
        <v>Non-OTIF</v>
      </c>
      <c r="P246">
        <f>IF(Table1[[#This Row],[OTIF_Status]] = "OTIF", 1, 0)</f>
        <v>0</v>
      </c>
      <c r="Q246" s="5">
        <f t="shared" si="13"/>
        <v>119228.32</v>
      </c>
      <c r="R246" s="5">
        <f t="shared" si="14"/>
        <v>111223.44</v>
      </c>
      <c r="S246" s="5">
        <f>Table1[[#This Row],[Total_Line_Spend]]-Table1[[#This Row],[Negotiated_Total]]</f>
        <v>8004.8800000000047</v>
      </c>
      <c r="T246" t="str">
        <f xml:space="preserve"> IF(Table1[[#This Row],[Delay_Days]] &gt; 4, "High Risk", IF(Table1[[#This Row],[Delay_Days]] &gt; 0, "Medium Risk", "Low Risk"))</f>
        <v>Medium Risk</v>
      </c>
    </row>
    <row r="247" spans="1:20" x14ac:dyDescent="0.25">
      <c r="A247" t="s">
        <v>272</v>
      </c>
      <c r="B247" t="s">
        <v>807</v>
      </c>
      <c r="C247" s="1">
        <v>44781</v>
      </c>
      <c r="D247" s="1">
        <v>44799</v>
      </c>
      <c r="E247" t="s">
        <v>24</v>
      </c>
      <c r="F247" t="s">
        <v>35</v>
      </c>
      <c r="G247">
        <v>759</v>
      </c>
      <c r="H247" s="5">
        <v>50.56</v>
      </c>
      <c r="I247" s="5">
        <v>46.47</v>
      </c>
      <c r="J247">
        <v>63</v>
      </c>
      <c r="K247" t="s">
        <v>27</v>
      </c>
      <c r="L247">
        <f t="shared" si="15"/>
        <v>18</v>
      </c>
      <c r="M247">
        <v>11</v>
      </c>
      <c r="N247">
        <f t="shared" si="12"/>
        <v>7</v>
      </c>
      <c r="O247" t="str">
        <f xml:space="preserve"> IF(AND(Table1[[#This Row],[Actual_Lead_Time]] &lt;= Table1[[#This Row],[Standard_Lead_Time]], OR(ISBLANK(J247), J247 = 0)), "OTIF", "Non-OTIF")</f>
        <v>Non-OTIF</v>
      </c>
      <c r="P247">
        <f>IF(Table1[[#This Row],[OTIF_Status]] = "OTIF", 1, 0)</f>
        <v>0</v>
      </c>
      <c r="Q247" s="5">
        <f t="shared" si="13"/>
        <v>38375.040000000001</v>
      </c>
      <c r="R247" s="5">
        <f t="shared" si="14"/>
        <v>35270.729999999996</v>
      </c>
      <c r="S247" s="5">
        <f>Table1[[#This Row],[Total_Line_Spend]]-Table1[[#This Row],[Negotiated_Total]]</f>
        <v>3104.3100000000049</v>
      </c>
      <c r="T247" t="str">
        <f xml:space="preserve"> IF(Table1[[#This Row],[Delay_Days]] &gt; 4, "High Risk", IF(Table1[[#This Row],[Delay_Days]] &gt; 0, "Medium Risk", "Low Risk"))</f>
        <v>High Risk</v>
      </c>
    </row>
    <row r="248" spans="1:20" x14ac:dyDescent="0.25">
      <c r="A248" t="s">
        <v>273</v>
      </c>
      <c r="B248" t="s">
        <v>804</v>
      </c>
      <c r="C248" s="1">
        <v>45114</v>
      </c>
      <c r="D248" s="1">
        <v>45126</v>
      </c>
      <c r="E248" t="s">
        <v>24</v>
      </c>
      <c r="F248" t="s">
        <v>18</v>
      </c>
      <c r="G248">
        <v>1529</v>
      </c>
      <c r="H248" s="5">
        <v>23.42</v>
      </c>
      <c r="I248" s="5">
        <v>22.44</v>
      </c>
      <c r="J248">
        <v>30</v>
      </c>
      <c r="K248" t="s">
        <v>15</v>
      </c>
      <c r="L248">
        <f t="shared" si="15"/>
        <v>12</v>
      </c>
      <c r="M248">
        <v>11</v>
      </c>
      <c r="N248">
        <f t="shared" si="12"/>
        <v>1</v>
      </c>
      <c r="O248" t="str">
        <f xml:space="preserve"> IF(AND(Table1[[#This Row],[Actual_Lead_Time]] &lt;= Table1[[#This Row],[Standard_Lead_Time]], OR(ISBLANK(J248), J248 = 0)), "OTIF", "Non-OTIF")</f>
        <v>Non-OTIF</v>
      </c>
      <c r="P248">
        <f>IF(Table1[[#This Row],[OTIF_Status]] = "OTIF", 1, 0)</f>
        <v>0</v>
      </c>
      <c r="Q248" s="5">
        <f t="shared" si="13"/>
        <v>35809.18</v>
      </c>
      <c r="R248" s="5">
        <f t="shared" si="14"/>
        <v>34310.76</v>
      </c>
      <c r="S248" s="5">
        <f>Table1[[#This Row],[Total_Line_Spend]]-Table1[[#This Row],[Negotiated_Total]]</f>
        <v>1498.4199999999983</v>
      </c>
      <c r="T248" t="str">
        <f xml:space="preserve"> IF(Table1[[#This Row],[Delay_Days]] &gt; 4, "High Risk", IF(Table1[[#This Row],[Delay_Days]] &gt; 0, "Medium Risk", "Low Risk"))</f>
        <v>Medium Risk</v>
      </c>
    </row>
    <row r="249" spans="1:20" x14ac:dyDescent="0.25">
      <c r="A249" t="s">
        <v>274</v>
      </c>
      <c r="B249" t="s">
        <v>806</v>
      </c>
      <c r="C249" s="1">
        <v>44697</v>
      </c>
      <c r="D249" s="1">
        <v>44706</v>
      </c>
      <c r="E249" t="s">
        <v>39</v>
      </c>
      <c r="F249" t="s">
        <v>18</v>
      </c>
      <c r="G249">
        <v>1484</v>
      </c>
      <c r="H249" s="5">
        <v>36.25</v>
      </c>
      <c r="I249" s="5">
        <v>31.8</v>
      </c>
      <c r="J249">
        <v>61</v>
      </c>
      <c r="K249" t="s">
        <v>15</v>
      </c>
      <c r="L249">
        <f t="shared" si="15"/>
        <v>9</v>
      </c>
      <c r="M249">
        <v>11</v>
      </c>
      <c r="N249">
        <f t="shared" si="12"/>
        <v>0</v>
      </c>
      <c r="O249" t="str">
        <f xml:space="preserve"> IF(AND(Table1[[#This Row],[Actual_Lead_Time]] &lt;= Table1[[#This Row],[Standard_Lead_Time]], OR(ISBLANK(J249), J249 = 0)), "OTIF", "Non-OTIF")</f>
        <v>Non-OTIF</v>
      </c>
      <c r="P249">
        <f>IF(Table1[[#This Row],[OTIF_Status]] = "OTIF", 1, 0)</f>
        <v>0</v>
      </c>
      <c r="Q249" s="5">
        <f t="shared" si="13"/>
        <v>53795</v>
      </c>
      <c r="R249" s="5">
        <f t="shared" si="14"/>
        <v>47191.200000000004</v>
      </c>
      <c r="S249" s="5">
        <f>Table1[[#This Row],[Total_Line_Spend]]-Table1[[#This Row],[Negotiated_Total]]</f>
        <v>6603.7999999999956</v>
      </c>
      <c r="T249" t="str">
        <f xml:space="preserve"> IF(Table1[[#This Row],[Delay_Days]] &gt; 4, "High Risk", IF(Table1[[#This Row],[Delay_Days]] &gt; 0, "Medium Risk", "Low Risk"))</f>
        <v>Low Risk</v>
      </c>
    </row>
    <row r="250" spans="1:20" x14ac:dyDescent="0.25">
      <c r="A250" t="s">
        <v>275</v>
      </c>
      <c r="B250" t="s">
        <v>808</v>
      </c>
      <c r="C250" s="1">
        <v>45146</v>
      </c>
      <c r="D250" s="1">
        <v>45158</v>
      </c>
      <c r="E250" t="s">
        <v>24</v>
      </c>
      <c r="F250" t="s">
        <v>18</v>
      </c>
      <c r="G250">
        <v>698</v>
      </c>
      <c r="H250" s="5">
        <v>46.73</v>
      </c>
      <c r="I250" s="5">
        <v>45.61</v>
      </c>
      <c r="J250">
        <v>15</v>
      </c>
      <c r="K250" t="s">
        <v>15</v>
      </c>
      <c r="L250">
        <f t="shared" si="15"/>
        <v>12</v>
      </c>
      <c r="M250">
        <v>11</v>
      </c>
      <c r="N250">
        <f t="shared" si="12"/>
        <v>1</v>
      </c>
      <c r="O250" t="str">
        <f xml:space="preserve"> IF(AND(Table1[[#This Row],[Actual_Lead_Time]] &lt;= Table1[[#This Row],[Standard_Lead_Time]], OR(ISBLANK(J250), J250 = 0)), "OTIF", "Non-OTIF")</f>
        <v>Non-OTIF</v>
      </c>
      <c r="P250">
        <f>IF(Table1[[#This Row],[OTIF_Status]] = "OTIF", 1, 0)</f>
        <v>0</v>
      </c>
      <c r="Q250" s="5">
        <f t="shared" si="13"/>
        <v>32617.539999999997</v>
      </c>
      <c r="R250" s="5">
        <f t="shared" si="14"/>
        <v>31835.78</v>
      </c>
      <c r="S250" s="5">
        <f>Table1[[#This Row],[Total_Line_Spend]]-Table1[[#This Row],[Negotiated_Total]]</f>
        <v>781.7599999999984</v>
      </c>
      <c r="T250" t="str">
        <f xml:space="preserve"> IF(Table1[[#This Row],[Delay_Days]] &gt; 4, "High Risk", IF(Table1[[#This Row],[Delay_Days]] &gt; 0, "Medium Risk", "Low Risk"))</f>
        <v>Medium Risk</v>
      </c>
    </row>
    <row r="251" spans="1:20" x14ac:dyDescent="0.25">
      <c r="A251" t="s">
        <v>276</v>
      </c>
      <c r="B251" t="s">
        <v>808</v>
      </c>
      <c r="C251" s="1">
        <v>45152</v>
      </c>
      <c r="D251" s="1">
        <v>45160</v>
      </c>
      <c r="E251" t="s">
        <v>24</v>
      </c>
      <c r="F251" t="s">
        <v>35</v>
      </c>
      <c r="G251">
        <v>367</v>
      </c>
      <c r="H251" s="5">
        <v>74.61</v>
      </c>
      <c r="I251" s="5">
        <v>71.36</v>
      </c>
      <c r="J251">
        <v>13</v>
      </c>
      <c r="K251" t="s">
        <v>15</v>
      </c>
      <c r="L251">
        <f t="shared" si="15"/>
        <v>8</v>
      </c>
      <c r="M251">
        <v>11</v>
      </c>
      <c r="N251">
        <f t="shared" si="12"/>
        <v>0</v>
      </c>
      <c r="O251" t="str">
        <f xml:space="preserve"> IF(AND(Table1[[#This Row],[Actual_Lead_Time]] &lt;= Table1[[#This Row],[Standard_Lead_Time]], OR(ISBLANK(J251), J251 = 0)), "OTIF", "Non-OTIF")</f>
        <v>Non-OTIF</v>
      </c>
      <c r="P251">
        <f>IF(Table1[[#This Row],[OTIF_Status]] = "OTIF", 1, 0)</f>
        <v>0</v>
      </c>
      <c r="Q251" s="5">
        <f t="shared" si="13"/>
        <v>27381.87</v>
      </c>
      <c r="R251" s="5">
        <f t="shared" si="14"/>
        <v>26189.119999999999</v>
      </c>
      <c r="S251" s="5">
        <f>Table1[[#This Row],[Total_Line_Spend]]-Table1[[#This Row],[Negotiated_Total]]</f>
        <v>1192.75</v>
      </c>
      <c r="T251" t="str">
        <f xml:space="preserve"> IF(Table1[[#This Row],[Delay_Days]] &gt; 4, "High Risk", IF(Table1[[#This Row],[Delay_Days]] &gt; 0, "Medium Risk", "Low Risk"))</f>
        <v>Low Risk</v>
      </c>
    </row>
    <row r="252" spans="1:20" x14ac:dyDescent="0.25">
      <c r="A252" t="s">
        <v>277</v>
      </c>
      <c r="B252" t="s">
        <v>808</v>
      </c>
      <c r="C252" s="1">
        <v>45046</v>
      </c>
      <c r="D252" s="1">
        <v>45066</v>
      </c>
      <c r="E252" t="s">
        <v>13</v>
      </c>
      <c r="F252" t="s">
        <v>33</v>
      </c>
      <c r="G252">
        <v>1750</v>
      </c>
      <c r="H252" s="5">
        <v>65.97</v>
      </c>
      <c r="I252" s="5">
        <v>58.34</v>
      </c>
      <c r="J252">
        <v>50</v>
      </c>
      <c r="K252" t="s">
        <v>15</v>
      </c>
      <c r="L252">
        <f t="shared" si="15"/>
        <v>20</v>
      </c>
      <c r="M252">
        <v>11</v>
      </c>
      <c r="N252">
        <f t="shared" si="12"/>
        <v>9</v>
      </c>
      <c r="O252" t="str">
        <f xml:space="preserve"> IF(AND(Table1[[#This Row],[Actual_Lead_Time]] &lt;= Table1[[#This Row],[Standard_Lead_Time]], OR(ISBLANK(J252), J252 = 0)), "OTIF", "Non-OTIF")</f>
        <v>Non-OTIF</v>
      </c>
      <c r="P252">
        <f>IF(Table1[[#This Row],[OTIF_Status]] = "OTIF", 1, 0)</f>
        <v>0</v>
      </c>
      <c r="Q252" s="5">
        <f t="shared" si="13"/>
        <v>115447.5</v>
      </c>
      <c r="R252" s="5">
        <f t="shared" si="14"/>
        <v>102095</v>
      </c>
      <c r="S252" s="5">
        <f>Table1[[#This Row],[Total_Line_Spend]]-Table1[[#This Row],[Negotiated_Total]]</f>
        <v>13352.5</v>
      </c>
      <c r="T252" t="str">
        <f xml:space="preserve"> IF(Table1[[#This Row],[Delay_Days]] &gt; 4, "High Risk", IF(Table1[[#This Row],[Delay_Days]] &gt; 0, "Medium Risk", "Low Risk"))</f>
        <v>High Risk</v>
      </c>
    </row>
    <row r="253" spans="1:20" x14ac:dyDescent="0.25">
      <c r="A253" t="s">
        <v>278</v>
      </c>
      <c r="B253" t="s">
        <v>805</v>
      </c>
      <c r="C253" s="1">
        <v>44810</v>
      </c>
      <c r="D253" s="1">
        <v>44828</v>
      </c>
      <c r="E253" t="s">
        <v>13</v>
      </c>
      <c r="F253" t="s">
        <v>33</v>
      </c>
      <c r="G253">
        <v>1298</v>
      </c>
      <c r="H253" s="5">
        <v>43.73</v>
      </c>
      <c r="I253" s="5">
        <v>37.21</v>
      </c>
      <c r="K253" t="s">
        <v>27</v>
      </c>
      <c r="L253">
        <f t="shared" si="15"/>
        <v>18</v>
      </c>
      <c r="M253">
        <v>11</v>
      </c>
      <c r="N253">
        <f t="shared" si="12"/>
        <v>7</v>
      </c>
      <c r="O253" t="str">
        <f xml:space="preserve"> IF(AND(Table1[[#This Row],[Actual_Lead_Time]] &lt;= Table1[[#This Row],[Standard_Lead_Time]], OR(ISBLANK(J253), J253 = 0)), "OTIF", "Non-OTIF")</f>
        <v>Non-OTIF</v>
      </c>
      <c r="P253">
        <f>IF(Table1[[#This Row],[OTIF_Status]] = "OTIF", 1, 0)</f>
        <v>0</v>
      </c>
      <c r="Q253" s="5">
        <f t="shared" si="13"/>
        <v>56761.539999999994</v>
      </c>
      <c r="R253" s="5">
        <f t="shared" si="14"/>
        <v>48298.58</v>
      </c>
      <c r="S253" s="5">
        <f>Table1[[#This Row],[Total_Line_Spend]]-Table1[[#This Row],[Negotiated_Total]]</f>
        <v>8462.9599999999919</v>
      </c>
      <c r="T253" t="str">
        <f xml:space="preserve"> IF(Table1[[#This Row],[Delay_Days]] &gt; 4, "High Risk", IF(Table1[[#This Row],[Delay_Days]] &gt; 0, "Medium Risk", "Low Risk"))</f>
        <v>High Risk</v>
      </c>
    </row>
    <row r="254" spans="1:20" x14ac:dyDescent="0.25">
      <c r="A254" t="s">
        <v>279</v>
      </c>
      <c r="B254" t="s">
        <v>806</v>
      </c>
      <c r="C254" s="1">
        <v>45046</v>
      </c>
      <c r="D254" s="1">
        <v>45066</v>
      </c>
      <c r="E254" t="s">
        <v>24</v>
      </c>
      <c r="F254" t="s">
        <v>18</v>
      </c>
      <c r="G254">
        <v>1892</v>
      </c>
      <c r="H254" s="5">
        <v>106.2</v>
      </c>
      <c r="I254" s="5">
        <v>96.37</v>
      </c>
      <c r="J254">
        <v>93</v>
      </c>
      <c r="K254" t="s">
        <v>15</v>
      </c>
      <c r="L254">
        <f t="shared" si="15"/>
        <v>20</v>
      </c>
      <c r="M254">
        <v>11</v>
      </c>
      <c r="N254">
        <f t="shared" si="12"/>
        <v>9</v>
      </c>
      <c r="O254" t="str">
        <f xml:space="preserve"> IF(AND(Table1[[#This Row],[Actual_Lead_Time]] &lt;= Table1[[#This Row],[Standard_Lead_Time]], OR(ISBLANK(J254), J254 = 0)), "OTIF", "Non-OTIF")</f>
        <v>Non-OTIF</v>
      </c>
      <c r="P254">
        <f>IF(Table1[[#This Row],[OTIF_Status]] = "OTIF", 1, 0)</f>
        <v>0</v>
      </c>
      <c r="Q254" s="5">
        <f t="shared" si="13"/>
        <v>200930.4</v>
      </c>
      <c r="R254" s="5">
        <f t="shared" si="14"/>
        <v>182332.04</v>
      </c>
      <c r="S254" s="5">
        <f>Table1[[#This Row],[Total_Line_Spend]]-Table1[[#This Row],[Negotiated_Total]]</f>
        <v>18598.359999999986</v>
      </c>
      <c r="T254" t="str">
        <f xml:space="preserve"> IF(Table1[[#This Row],[Delay_Days]] &gt; 4, "High Risk", IF(Table1[[#This Row],[Delay_Days]] &gt; 0, "Medium Risk", "Low Risk"))</f>
        <v>High Risk</v>
      </c>
    </row>
    <row r="255" spans="1:20" x14ac:dyDescent="0.25">
      <c r="A255" t="s">
        <v>280</v>
      </c>
      <c r="B255" t="s">
        <v>807</v>
      </c>
      <c r="C255" s="1">
        <v>44978</v>
      </c>
      <c r="D255" s="1">
        <v>44981</v>
      </c>
      <c r="E255" t="s">
        <v>39</v>
      </c>
      <c r="F255" t="s">
        <v>18</v>
      </c>
      <c r="G255">
        <v>1307</v>
      </c>
      <c r="H255" s="5">
        <v>68.709999999999994</v>
      </c>
      <c r="I255" s="5">
        <v>60.64</v>
      </c>
      <c r="J255">
        <v>141</v>
      </c>
      <c r="K255" t="s">
        <v>15</v>
      </c>
      <c r="L255">
        <f t="shared" si="15"/>
        <v>3</v>
      </c>
      <c r="M255">
        <v>11</v>
      </c>
      <c r="N255">
        <f t="shared" si="12"/>
        <v>0</v>
      </c>
      <c r="O255" t="str">
        <f xml:space="preserve"> IF(AND(Table1[[#This Row],[Actual_Lead_Time]] &lt;= Table1[[#This Row],[Standard_Lead_Time]], OR(ISBLANK(J255), J255 = 0)), "OTIF", "Non-OTIF")</f>
        <v>Non-OTIF</v>
      </c>
      <c r="P255">
        <f>IF(Table1[[#This Row],[OTIF_Status]] = "OTIF", 1, 0)</f>
        <v>0</v>
      </c>
      <c r="Q255" s="5">
        <f t="shared" si="13"/>
        <v>89803.969999999987</v>
      </c>
      <c r="R255" s="5">
        <f t="shared" si="14"/>
        <v>79256.479999999996</v>
      </c>
      <c r="S255" s="5">
        <f>Table1[[#This Row],[Total_Line_Spend]]-Table1[[#This Row],[Negotiated_Total]]</f>
        <v>10547.489999999991</v>
      </c>
      <c r="T255" t="str">
        <f xml:space="preserve"> IF(Table1[[#This Row],[Delay_Days]] &gt; 4, "High Risk", IF(Table1[[#This Row],[Delay_Days]] &gt; 0, "Medium Risk", "Low Risk"))</f>
        <v>Low Risk</v>
      </c>
    </row>
    <row r="256" spans="1:20" x14ac:dyDescent="0.25">
      <c r="A256" t="s">
        <v>281</v>
      </c>
      <c r="B256" t="s">
        <v>807</v>
      </c>
      <c r="C256" s="1">
        <v>44756</v>
      </c>
      <c r="D256" s="1">
        <v>44771</v>
      </c>
      <c r="E256" t="s">
        <v>39</v>
      </c>
      <c r="F256" t="s">
        <v>18</v>
      </c>
      <c r="G256">
        <v>733</v>
      </c>
      <c r="H256" s="5">
        <v>32.29</v>
      </c>
      <c r="I256" s="5">
        <v>29.01</v>
      </c>
      <c r="J256">
        <v>78</v>
      </c>
      <c r="K256" t="s">
        <v>15</v>
      </c>
      <c r="L256">
        <f t="shared" si="15"/>
        <v>15</v>
      </c>
      <c r="M256">
        <v>11</v>
      </c>
      <c r="N256">
        <f t="shared" si="12"/>
        <v>4</v>
      </c>
      <c r="O256" t="str">
        <f xml:space="preserve"> IF(AND(Table1[[#This Row],[Actual_Lead_Time]] &lt;= Table1[[#This Row],[Standard_Lead_Time]], OR(ISBLANK(J256), J256 = 0)), "OTIF", "Non-OTIF")</f>
        <v>Non-OTIF</v>
      </c>
      <c r="P256">
        <f>IF(Table1[[#This Row],[OTIF_Status]] = "OTIF", 1, 0)</f>
        <v>0</v>
      </c>
      <c r="Q256" s="5">
        <f t="shared" si="13"/>
        <v>23668.57</v>
      </c>
      <c r="R256" s="5">
        <f t="shared" si="14"/>
        <v>21264.33</v>
      </c>
      <c r="S256" s="5">
        <f>Table1[[#This Row],[Total_Line_Spend]]-Table1[[#This Row],[Negotiated_Total]]</f>
        <v>2404.239999999998</v>
      </c>
      <c r="T256" t="str">
        <f xml:space="preserve"> IF(Table1[[#This Row],[Delay_Days]] &gt; 4, "High Risk", IF(Table1[[#This Row],[Delay_Days]] &gt; 0, "Medium Risk", "Low Risk"))</f>
        <v>Medium Risk</v>
      </c>
    </row>
    <row r="257" spans="1:20" x14ac:dyDescent="0.25">
      <c r="A257" t="s">
        <v>282</v>
      </c>
      <c r="B257" t="s">
        <v>806</v>
      </c>
      <c r="C257" s="1">
        <v>44658</v>
      </c>
      <c r="D257" s="1">
        <v>44668</v>
      </c>
      <c r="E257" t="s">
        <v>24</v>
      </c>
      <c r="F257" t="s">
        <v>18</v>
      </c>
      <c r="G257">
        <v>713</v>
      </c>
      <c r="H257" s="5">
        <v>19.45</v>
      </c>
      <c r="I257" s="5">
        <v>18.82</v>
      </c>
      <c r="J257">
        <v>31</v>
      </c>
      <c r="K257" t="s">
        <v>15</v>
      </c>
      <c r="L257">
        <f t="shared" si="15"/>
        <v>10</v>
      </c>
      <c r="M257">
        <v>11</v>
      </c>
      <c r="N257">
        <f t="shared" si="12"/>
        <v>0</v>
      </c>
      <c r="O257" t="str">
        <f xml:space="preserve"> IF(AND(Table1[[#This Row],[Actual_Lead_Time]] &lt;= Table1[[#This Row],[Standard_Lead_Time]], OR(ISBLANK(J257), J257 = 0)), "OTIF", "Non-OTIF")</f>
        <v>Non-OTIF</v>
      </c>
      <c r="P257">
        <f>IF(Table1[[#This Row],[OTIF_Status]] = "OTIF", 1, 0)</f>
        <v>0</v>
      </c>
      <c r="Q257" s="5">
        <f t="shared" si="13"/>
        <v>13867.85</v>
      </c>
      <c r="R257" s="5">
        <f t="shared" si="14"/>
        <v>13418.66</v>
      </c>
      <c r="S257" s="5">
        <f>Table1[[#This Row],[Total_Line_Spend]]-Table1[[#This Row],[Negotiated_Total]]</f>
        <v>449.19000000000051</v>
      </c>
      <c r="T257" t="str">
        <f xml:space="preserve"> IF(Table1[[#This Row],[Delay_Days]] &gt; 4, "High Risk", IF(Table1[[#This Row],[Delay_Days]] &gt; 0, "Medium Risk", "Low Risk"))</f>
        <v>Low Risk</v>
      </c>
    </row>
    <row r="258" spans="1:20" x14ac:dyDescent="0.25">
      <c r="A258" t="s">
        <v>283</v>
      </c>
      <c r="B258" t="s">
        <v>807</v>
      </c>
      <c r="C258" s="1">
        <v>44661</v>
      </c>
      <c r="D258" s="1">
        <v>44675</v>
      </c>
      <c r="E258" t="s">
        <v>24</v>
      </c>
      <c r="F258" t="s">
        <v>18</v>
      </c>
      <c r="G258">
        <v>1900</v>
      </c>
      <c r="H258" s="5">
        <v>24.11</v>
      </c>
      <c r="I258" s="5">
        <v>23.45</v>
      </c>
      <c r="J258">
        <v>188</v>
      </c>
      <c r="K258" t="s">
        <v>15</v>
      </c>
      <c r="L258">
        <f t="shared" si="15"/>
        <v>14</v>
      </c>
      <c r="M258">
        <v>11</v>
      </c>
      <c r="N258">
        <f t="shared" ref="N258:N321" si="16">MAX(0, L258-M258)</f>
        <v>3</v>
      </c>
      <c r="O258" t="str">
        <f xml:space="preserve"> IF(AND(Table1[[#This Row],[Actual_Lead_Time]] &lt;= Table1[[#This Row],[Standard_Lead_Time]], OR(ISBLANK(J258), J258 = 0)), "OTIF", "Non-OTIF")</f>
        <v>Non-OTIF</v>
      </c>
      <c r="P258">
        <f>IF(Table1[[#This Row],[OTIF_Status]] = "OTIF", 1, 0)</f>
        <v>0</v>
      </c>
      <c r="Q258" s="5">
        <f t="shared" ref="Q258:Q321" si="17" xml:space="preserve"> IFERROR(G258 * H258, 0)</f>
        <v>45809</v>
      </c>
      <c r="R258" s="5">
        <f t="shared" ref="R258:R321" si="18" xml:space="preserve"> IFERROR(G258 * I258, 0)</f>
        <v>44555</v>
      </c>
      <c r="S258" s="5">
        <f>Table1[[#This Row],[Total_Line_Spend]]-Table1[[#This Row],[Negotiated_Total]]</f>
        <v>1254</v>
      </c>
      <c r="T258" t="str">
        <f xml:space="preserve"> IF(Table1[[#This Row],[Delay_Days]] &gt; 4, "High Risk", IF(Table1[[#This Row],[Delay_Days]] &gt; 0, "Medium Risk", "Low Risk"))</f>
        <v>Medium Risk</v>
      </c>
    </row>
    <row r="259" spans="1:20" x14ac:dyDescent="0.25">
      <c r="A259" t="s">
        <v>284</v>
      </c>
      <c r="B259" t="s">
        <v>805</v>
      </c>
      <c r="C259" s="1">
        <v>45236</v>
      </c>
      <c r="D259" s="1">
        <v>45238</v>
      </c>
      <c r="E259" t="s">
        <v>21</v>
      </c>
      <c r="F259" t="s">
        <v>14</v>
      </c>
      <c r="G259">
        <v>1447</v>
      </c>
      <c r="H259" s="5">
        <v>35.67</v>
      </c>
      <c r="I259" s="5">
        <v>35.07</v>
      </c>
      <c r="J259">
        <v>224</v>
      </c>
      <c r="K259" t="s">
        <v>27</v>
      </c>
      <c r="L259">
        <f t="shared" ref="L259:L322" si="19" xml:space="preserve"> INT(D259) - INT(C259)</f>
        <v>2</v>
      </c>
      <c r="M259">
        <v>11</v>
      </c>
      <c r="N259">
        <f t="shared" si="16"/>
        <v>0</v>
      </c>
      <c r="O259" t="str">
        <f xml:space="preserve"> IF(AND(Table1[[#This Row],[Actual_Lead_Time]] &lt;= Table1[[#This Row],[Standard_Lead_Time]], OR(ISBLANK(J259), J259 = 0)), "OTIF", "Non-OTIF")</f>
        <v>Non-OTIF</v>
      </c>
      <c r="P259">
        <f>IF(Table1[[#This Row],[OTIF_Status]] = "OTIF", 1, 0)</f>
        <v>0</v>
      </c>
      <c r="Q259" s="5">
        <f t="shared" si="17"/>
        <v>51614.490000000005</v>
      </c>
      <c r="R259" s="5">
        <f t="shared" si="18"/>
        <v>50746.29</v>
      </c>
      <c r="S259" s="5">
        <f>Table1[[#This Row],[Total_Line_Spend]]-Table1[[#This Row],[Negotiated_Total]]</f>
        <v>868.20000000000437</v>
      </c>
      <c r="T259" t="str">
        <f xml:space="preserve"> IF(Table1[[#This Row],[Delay_Days]] &gt; 4, "High Risk", IF(Table1[[#This Row],[Delay_Days]] &gt; 0, "Medium Risk", "Low Risk"))</f>
        <v>Low Risk</v>
      </c>
    </row>
    <row r="260" spans="1:20" x14ac:dyDescent="0.25">
      <c r="A260" t="s">
        <v>285</v>
      </c>
      <c r="B260" t="s">
        <v>808</v>
      </c>
      <c r="C260" s="1">
        <v>45003</v>
      </c>
      <c r="D260" s="1">
        <v>45014</v>
      </c>
      <c r="E260" t="s">
        <v>13</v>
      </c>
      <c r="F260" t="s">
        <v>18</v>
      </c>
      <c r="G260">
        <v>1745</v>
      </c>
      <c r="H260" s="5">
        <v>26.17</v>
      </c>
      <c r="I260" s="5">
        <v>22.25</v>
      </c>
      <c r="J260">
        <v>55</v>
      </c>
      <c r="K260" t="s">
        <v>15</v>
      </c>
      <c r="L260">
        <f t="shared" si="19"/>
        <v>11</v>
      </c>
      <c r="M260">
        <v>11</v>
      </c>
      <c r="N260">
        <f t="shared" si="16"/>
        <v>0</v>
      </c>
      <c r="O260" t="str">
        <f xml:space="preserve"> IF(AND(Table1[[#This Row],[Actual_Lead_Time]] &lt;= Table1[[#This Row],[Standard_Lead_Time]], OR(ISBLANK(J260), J260 = 0)), "OTIF", "Non-OTIF")</f>
        <v>Non-OTIF</v>
      </c>
      <c r="P260">
        <f>IF(Table1[[#This Row],[OTIF_Status]] = "OTIF", 1, 0)</f>
        <v>0</v>
      </c>
      <c r="Q260" s="5">
        <f t="shared" si="17"/>
        <v>45666.65</v>
      </c>
      <c r="R260" s="5">
        <f t="shared" si="18"/>
        <v>38826.25</v>
      </c>
      <c r="S260" s="5">
        <f>Table1[[#This Row],[Total_Line_Spend]]-Table1[[#This Row],[Negotiated_Total]]</f>
        <v>6840.4000000000015</v>
      </c>
      <c r="T260" t="str">
        <f xml:space="preserve"> IF(Table1[[#This Row],[Delay_Days]] &gt; 4, "High Risk", IF(Table1[[#This Row],[Delay_Days]] &gt; 0, "Medium Risk", "Low Risk"))</f>
        <v>Low Risk</v>
      </c>
    </row>
    <row r="261" spans="1:20" x14ac:dyDescent="0.25">
      <c r="A261" t="s">
        <v>286</v>
      </c>
      <c r="B261" t="s">
        <v>807</v>
      </c>
      <c r="C261" s="1">
        <v>44924</v>
      </c>
      <c r="D261" s="1">
        <v>44940</v>
      </c>
      <c r="E261" t="s">
        <v>13</v>
      </c>
      <c r="F261" t="s">
        <v>18</v>
      </c>
      <c r="G261">
        <v>1681</v>
      </c>
      <c r="H261" s="5">
        <v>28.26</v>
      </c>
      <c r="I261" s="5">
        <v>26.62</v>
      </c>
      <c r="J261">
        <v>143</v>
      </c>
      <c r="K261" t="s">
        <v>15</v>
      </c>
      <c r="L261">
        <f t="shared" si="19"/>
        <v>16</v>
      </c>
      <c r="M261">
        <v>11</v>
      </c>
      <c r="N261">
        <f t="shared" si="16"/>
        <v>5</v>
      </c>
      <c r="O261" t="str">
        <f xml:space="preserve"> IF(AND(Table1[[#This Row],[Actual_Lead_Time]] &lt;= Table1[[#This Row],[Standard_Lead_Time]], OR(ISBLANK(J261), J261 = 0)), "OTIF", "Non-OTIF")</f>
        <v>Non-OTIF</v>
      </c>
      <c r="P261">
        <f>IF(Table1[[#This Row],[OTIF_Status]] = "OTIF", 1, 0)</f>
        <v>0</v>
      </c>
      <c r="Q261" s="5">
        <f t="shared" si="17"/>
        <v>47505.060000000005</v>
      </c>
      <c r="R261" s="5">
        <f t="shared" si="18"/>
        <v>44748.22</v>
      </c>
      <c r="S261" s="5">
        <f>Table1[[#This Row],[Total_Line_Spend]]-Table1[[#This Row],[Negotiated_Total]]</f>
        <v>2756.8400000000038</v>
      </c>
      <c r="T261" t="str">
        <f xml:space="preserve"> IF(Table1[[#This Row],[Delay_Days]] &gt; 4, "High Risk", IF(Table1[[#This Row],[Delay_Days]] &gt; 0, "Medium Risk", "Low Risk"))</f>
        <v>High Risk</v>
      </c>
    </row>
    <row r="262" spans="1:20" x14ac:dyDescent="0.25">
      <c r="A262" t="s">
        <v>287</v>
      </c>
      <c r="B262" t="s">
        <v>805</v>
      </c>
      <c r="C262" s="1">
        <v>44995</v>
      </c>
      <c r="D262" s="1">
        <v>45003</v>
      </c>
      <c r="E262" t="s">
        <v>39</v>
      </c>
      <c r="F262" t="s">
        <v>18</v>
      </c>
      <c r="G262">
        <v>1545</v>
      </c>
      <c r="H262" s="5">
        <v>38.15</v>
      </c>
      <c r="I262" s="5">
        <v>36.96</v>
      </c>
      <c r="J262">
        <v>214</v>
      </c>
      <c r="K262" t="s">
        <v>15</v>
      </c>
      <c r="L262">
        <f t="shared" si="19"/>
        <v>8</v>
      </c>
      <c r="M262">
        <v>11</v>
      </c>
      <c r="N262">
        <f t="shared" si="16"/>
        <v>0</v>
      </c>
      <c r="O262" t="str">
        <f xml:space="preserve"> IF(AND(Table1[[#This Row],[Actual_Lead_Time]] &lt;= Table1[[#This Row],[Standard_Lead_Time]], OR(ISBLANK(J262), J262 = 0)), "OTIF", "Non-OTIF")</f>
        <v>Non-OTIF</v>
      </c>
      <c r="P262">
        <f>IF(Table1[[#This Row],[OTIF_Status]] = "OTIF", 1, 0)</f>
        <v>0</v>
      </c>
      <c r="Q262" s="5">
        <f t="shared" si="17"/>
        <v>58941.75</v>
      </c>
      <c r="R262" s="5">
        <f t="shared" si="18"/>
        <v>57103.200000000004</v>
      </c>
      <c r="S262" s="5">
        <f>Table1[[#This Row],[Total_Line_Spend]]-Table1[[#This Row],[Negotiated_Total]]</f>
        <v>1838.5499999999956</v>
      </c>
      <c r="T262" t="str">
        <f xml:space="preserve"> IF(Table1[[#This Row],[Delay_Days]] &gt; 4, "High Risk", IF(Table1[[#This Row],[Delay_Days]] &gt; 0, "Medium Risk", "Low Risk"))</f>
        <v>Low Risk</v>
      </c>
    </row>
    <row r="263" spans="1:20" x14ac:dyDescent="0.25">
      <c r="A263" t="s">
        <v>288</v>
      </c>
      <c r="B263" t="s">
        <v>808</v>
      </c>
      <c r="C263" s="1">
        <v>44982</v>
      </c>
      <c r="D263" s="1">
        <v>44987</v>
      </c>
      <c r="E263" t="s">
        <v>26</v>
      </c>
      <c r="F263" t="s">
        <v>18</v>
      </c>
      <c r="G263">
        <v>1306</v>
      </c>
      <c r="H263" s="5">
        <v>27.27</v>
      </c>
      <c r="I263" s="5">
        <v>25.96</v>
      </c>
      <c r="J263">
        <v>39</v>
      </c>
      <c r="K263" t="s">
        <v>15</v>
      </c>
      <c r="L263">
        <f t="shared" si="19"/>
        <v>5</v>
      </c>
      <c r="M263">
        <v>11</v>
      </c>
      <c r="N263">
        <f t="shared" si="16"/>
        <v>0</v>
      </c>
      <c r="O263" t="str">
        <f xml:space="preserve"> IF(AND(Table1[[#This Row],[Actual_Lead_Time]] &lt;= Table1[[#This Row],[Standard_Lead_Time]], OR(ISBLANK(J263), J263 = 0)), "OTIF", "Non-OTIF")</f>
        <v>Non-OTIF</v>
      </c>
      <c r="P263">
        <f>IF(Table1[[#This Row],[OTIF_Status]] = "OTIF", 1, 0)</f>
        <v>0</v>
      </c>
      <c r="Q263" s="5">
        <f t="shared" si="17"/>
        <v>35614.620000000003</v>
      </c>
      <c r="R263" s="5">
        <f t="shared" si="18"/>
        <v>33903.760000000002</v>
      </c>
      <c r="S263" s="5">
        <f>Table1[[#This Row],[Total_Line_Spend]]-Table1[[#This Row],[Negotiated_Total]]</f>
        <v>1710.8600000000006</v>
      </c>
      <c r="T263" t="str">
        <f xml:space="preserve"> IF(Table1[[#This Row],[Delay_Days]] &gt; 4, "High Risk", IF(Table1[[#This Row],[Delay_Days]] &gt; 0, "Medium Risk", "Low Risk"))</f>
        <v>Low Risk</v>
      </c>
    </row>
    <row r="264" spans="1:20" x14ac:dyDescent="0.25">
      <c r="A264" t="s">
        <v>289</v>
      </c>
      <c r="B264" t="s">
        <v>806</v>
      </c>
      <c r="C264" s="1">
        <v>45040</v>
      </c>
      <c r="D264" s="1">
        <v>45052</v>
      </c>
      <c r="E264" t="s">
        <v>26</v>
      </c>
      <c r="F264" t="s">
        <v>18</v>
      </c>
      <c r="G264">
        <v>1765</v>
      </c>
      <c r="H264" s="5">
        <v>97.51</v>
      </c>
      <c r="I264" s="5">
        <v>84.3</v>
      </c>
      <c r="J264">
        <v>65</v>
      </c>
      <c r="K264" t="s">
        <v>15</v>
      </c>
      <c r="L264">
        <f t="shared" si="19"/>
        <v>12</v>
      </c>
      <c r="M264">
        <v>11</v>
      </c>
      <c r="N264">
        <f t="shared" si="16"/>
        <v>1</v>
      </c>
      <c r="O264" t="str">
        <f xml:space="preserve"> IF(AND(Table1[[#This Row],[Actual_Lead_Time]] &lt;= Table1[[#This Row],[Standard_Lead_Time]], OR(ISBLANK(J264), J264 = 0)), "OTIF", "Non-OTIF")</f>
        <v>Non-OTIF</v>
      </c>
      <c r="P264">
        <f>IF(Table1[[#This Row],[OTIF_Status]] = "OTIF", 1, 0)</f>
        <v>0</v>
      </c>
      <c r="Q264" s="5">
        <f t="shared" si="17"/>
        <v>172105.15000000002</v>
      </c>
      <c r="R264" s="5">
        <f t="shared" si="18"/>
        <v>148789.5</v>
      </c>
      <c r="S264" s="5">
        <f>Table1[[#This Row],[Total_Line_Spend]]-Table1[[#This Row],[Negotiated_Total]]</f>
        <v>23315.650000000023</v>
      </c>
      <c r="T264" t="str">
        <f xml:space="preserve"> IF(Table1[[#This Row],[Delay_Days]] &gt; 4, "High Risk", IF(Table1[[#This Row],[Delay_Days]] &gt; 0, "Medium Risk", "Low Risk"))</f>
        <v>Medium Risk</v>
      </c>
    </row>
    <row r="265" spans="1:20" x14ac:dyDescent="0.25">
      <c r="A265" t="s">
        <v>290</v>
      </c>
      <c r="B265" t="s">
        <v>806</v>
      </c>
      <c r="C265" s="1">
        <v>44617</v>
      </c>
      <c r="D265" s="1">
        <v>44635</v>
      </c>
      <c r="E265" t="s">
        <v>24</v>
      </c>
      <c r="F265" t="s">
        <v>14</v>
      </c>
      <c r="G265">
        <v>1186</v>
      </c>
      <c r="H265" s="5">
        <v>17.309999999999999</v>
      </c>
      <c r="I265" s="5">
        <v>16</v>
      </c>
      <c r="J265">
        <v>64</v>
      </c>
      <c r="K265" t="s">
        <v>15</v>
      </c>
      <c r="L265">
        <f t="shared" si="19"/>
        <v>18</v>
      </c>
      <c r="M265">
        <v>11</v>
      </c>
      <c r="N265">
        <f t="shared" si="16"/>
        <v>7</v>
      </c>
      <c r="O265" t="str">
        <f xml:space="preserve"> IF(AND(Table1[[#This Row],[Actual_Lead_Time]] &lt;= Table1[[#This Row],[Standard_Lead_Time]], OR(ISBLANK(J265), J265 = 0)), "OTIF", "Non-OTIF")</f>
        <v>Non-OTIF</v>
      </c>
      <c r="P265">
        <f>IF(Table1[[#This Row],[OTIF_Status]] = "OTIF", 1, 0)</f>
        <v>0</v>
      </c>
      <c r="Q265" s="5">
        <f t="shared" si="17"/>
        <v>20529.66</v>
      </c>
      <c r="R265" s="5">
        <f t="shared" si="18"/>
        <v>18976</v>
      </c>
      <c r="S265" s="5">
        <f>Table1[[#This Row],[Total_Line_Spend]]-Table1[[#This Row],[Negotiated_Total]]</f>
        <v>1553.6599999999999</v>
      </c>
      <c r="T265" t="str">
        <f xml:space="preserve"> IF(Table1[[#This Row],[Delay_Days]] &gt; 4, "High Risk", IF(Table1[[#This Row],[Delay_Days]] &gt; 0, "Medium Risk", "Low Risk"))</f>
        <v>High Risk</v>
      </c>
    </row>
    <row r="266" spans="1:20" x14ac:dyDescent="0.25">
      <c r="A266" t="s">
        <v>291</v>
      </c>
      <c r="B266" t="s">
        <v>805</v>
      </c>
      <c r="C266" s="1">
        <v>45251</v>
      </c>
      <c r="D266" s="1">
        <v>45256</v>
      </c>
      <c r="E266" t="s">
        <v>24</v>
      </c>
      <c r="F266" t="s">
        <v>18</v>
      </c>
      <c r="G266">
        <v>1903</v>
      </c>
      <c r="H266" s="5">
        <v>63.5</v>
      </c>
      <c r="I266" s="5">
        <v>56.09</v>
      </c>
      <c r="J266">
        <v>254</v>
      </c>
      <c r="K266" t="s">
        <v>15</v>
      </c>
      <c r="L266">
        <f t="shared" si="19"/>
        <v>5</v>
      </c>
      <c r="M266">
        <v>11</v>
      </c>
      <c r="N266">
        <f t="shared" si="16"/>
        <v>0</v>
      </c>
      <c r="O266" t="str">
        <f xml:space="preserve"> IF(AND(Table1[[#This Row],[Actual_Lead_Time]] &lt;= Table1[[#This Row],[Standard_Lead_Time]], OR(ISBLANK(J266), J266 = 0)), "OTIF", "Non-OTIF")</f>
        <v>Non-OTIF</v>
      </c>
      <c r="P266">
        <f>IF(Table1[[#This Row],[OTIF_Status]] = "OTIF", 1, 0)</f>
        <v>0</v>
      </c>
      <c r="Q266" s="5">
        <f t="shared" si="17"/>
        <v>120840.5</v>
      </c>
      <c r="R266" s="5">
        <f t="shared" si="18"/>
        <v>106739.27</v>
      </c>
      <c r="S266" s="5">
        <f>Table1[[#This Row],[Total_Line_Spend]]-Table1[[#This Row],[Negotiated_Total]]</f>
        <v>14101.229999999996</v>
      </c>
      <c r="T266" t="str">
        <f xml:space="preserve"> IF(Table1[[#This Row],[Delay_Days]] &gt; 4, "High Risk", IF(Table1[[#This Row],[Delay_Days]] &gt; 0, "Medium Risk", "Low Risk"))</f>
        <v>Low Risk</v>
      </c>
    </row>
    <row r="267" spans="1:20" x14ac:dyDescent="0.25">
      <c r="A267" t="s">
        <v>292</v>
      </c>
      <c r="B267" t="s">
        <v>805</v>
      </c>
      <c r="C267" s="1">
        <v>45231</v>
      </c>
      <c r="D267" s="1">
        <v>45235</v>
      </c>
      <c r="E267" t="s">
        <v>21</v>
      </c>
      <c r="F267" t="s">
        <v>18</v>
      </c>
      <c r="G267">
        <v>1570</v>
      </c>
      <c r="H267" s="5">
        <v>52.1</v>
      </c>
      <c r="I267" s="5">
        <v>47.87</v>
      </c>
      <c r="K267" t="s">
        <v>27</v>
      </c>
      <c r="L267">
        <f t="shared" si="19"/>
        <v>4</v>
      </c>
      <c r="M267">
        <v>11</v>
      </c>
      <c r="N267">
        <f t="shared" si="16"/>
        <v>0</v>
      </c>
      <c r="O267" t="str">
        <f xml:space="preserve"> IF(AND(Table1[[#This Row],[Actual_Lead_Time]] &lt;= Table1[[#This Row],[Standard_Lead_Time]], OR(ISBLANK(J267), J267 = 0)), "OTIF", "Non-OTIF")</f>
        <v>OTIF</v>
      </c>
      <c r="P267">
        <f>IF(Table1[[#This Row],[OTIF_Status]] = "OTIF", 1, 0)</f>
        <v>1</v>
      </c>
      <c r="Q267" s="5">
        <f t="shared" si="17"/>
        <v>81797</v>
      </c>
      <c r="R267" s="5">
        <f t="shared" si="18"/>
        <v>75155.899999999994</v>
      </c>
      <c r="S267" s="5">
        <f>Table1[[#This Row],[Total_Line_Spend]]-Table1[[#This Row],[Negotiated_Total]]</f>
        <v>6641.1000000000058</v>
      </c>
      <c r="T267" t="str">
        <f xml:space="preserve"> IF(Table1[[#This Row],[Delay_Days]] &gt; 4, "High Risk", IF(Table1[[#This Row],[Delay_Days]] &gt; 0, "Medium Risk", "Low Risk"))</f>
        <v>Low Risk</v>
      </c>
    </row>
    <row r="268" spans="1:20" x14ac:dyDescent="0.25">
      <c r="A268" t="s">
        <v>293</v>
      </c>
      <c r="B268" t="s">
        <v>805</v>
      </c>
      <c r="C268" s="1">
        <v>45223</v>
      </c>
      <c r="D268" s="1">
        <v>45243</v>
      </c>
      <c r="E268" t="s">
        <v>21</v>
      </c>
      <c r="F268" t="s">
        <v>18</v>
      </c>
      <c r="G268">
        <v>491</v>
      </c>
      <c r="H268" s="5">
        <v>108.75</v>
      </c>
      <c r="I268" s="5">
        <v>93.35</v>
      </c>
      <c r="K268" t="s">
        <v>27</v>
      </c>
      <c r="L268">
        <f t="shared" si="19"/>
        <v>20</v>
      </c>
      <c r="M268">
        <v>11</v>
      </c>
      <c r="N268">
        <f t="shared" si="16"/>
        <v>9</v>
      </c>
      <c r="O268" t="str">
        <f xml:space="preserve"> IF(AND(Table1[[#This Row],[Actual_Lead_Time]] &lt;= Table1[[#This Row],[Standard_Lead_Time]], OR(ISBLANK(J268), J268 = 0)), "OTIF", "Non-OTIF")</f>
        <v>Non-OTIF</v>
      </c>
      <c r="P268">
        <f>IF(Table1[[#This Row],[OTIF_Status]] = "OTIF", 1, 0)</f>
        <v>0</v>
      </c>
      <c r="Q268" s="5">
        <f t="shared" si="17"/>
        <v>53396.25</v>
      </c>
      <c r="R268" s="5">
        <f t="shared" si="18"/>
        <v>45834.85</v>
      </c>
      <c r="S268" s="5">
        <f>Table1[[#This Row],[Total_Line_Spend]]-Table1[[#This Row],[Negotiated_Total]]</f>
        <v>7561.4000000000015</v>
      </c>
      <c r="T268" t="str">
        <f xml:space="preserve"> IF(Table1[[#This Row],[Delay_Days]] &gt; 4, "High Risk", IF(Table1[[#This Row],[Delay_Days]] &gt; 0, "Medium Risk", "Low Risk"))</f>
        <v>High Risk</v>
      </c>
    </row>
    <row r="269" spans="1:20" x14ac:dyDescent="0.25">
      <c r="A269" t="s">
        <v>294</v>
      </c>
      <c r="B269" t="s">
        <v>807</v>
      </c>
      <c r="C269" s="1">
        <v>44662</v>
      </c>
      <c r="D269" s="1">
        <v>44671</v>
      </c>
      <c r="E269" t="s">
        <v>39</v>
      </c>
      <c r="F269" t="s">
        <v>33</v>
      </c>
      <c r="G269">
        <v>613</v>
      </c>
      <c r="H269" s="5">
        <v>20.38</v>
      </c>
      <c r="I269" s="5">
        <v>20.170000000000002</v>
      </c>
      <c r="J269">
        <v>58</v>
      </c>
      <c r="K269" t="s">
        <v>15</v>
      </c>
      <c r="L269">
        <f t="shared" si="19"/>
        <v>9</v>
      </c>
      <c r="M269">
        <v>11</v>
      </c>
      <c r="N269">
        <f t="shared" si="16"/>
        <v>0</v>
      </c>
      <c r="O269" t="str">
        <f xml:space="preserve"> IF(AND(Table1[[#This Row],[Actual_Lead_Time]] &lt;= Table1[[#This Row],[Standard_Lead_Time]], OR(ISBLANK(J269), J269 = 0)), "OTIF", "Non-OTIF")</f>
        <v>Non-OTIF</v>
      </c>
      <c r="P269">
        <f>IF(Table1[[#This Row],[OTIF_Status]] = "OTIF", 1, 0)</f>
        <v>0</v>
      </c>
      <c r="Q269" s="5">
        <f t="shared" si="17"/>
        <v>12492.939999999999</v>
      </c>
      <c r="R269" s="5">
        <f t="shared" si="18"/>
        <v>12364.210000000001</v>
      </c>
      <c r="S269" s="5">
        <f>Table1[[#This Row],[Total_Line_Spend]]-Table1[[#This Row],[Negotiated_Total]]</f>
        <v>128.72999999999774</v>
      </c>
      <c r="T269" t="str">
        <f xml:space="preserve"> IF(Table1[[#This Row],[Delay_Days]] &gt; 4, "High Risk", IF(Table1[[#This Row],[Delay_Days]] &gt; 0, "Medium Risk", "Low Risk"))</f>
        <v>Low Risk</v>
      </c>
    </row>
    <row r="270" spans="1:20" x14ac:dyDescent="0.25">
      <c r="A270" t="s">
        <v>295</v>
      </c>
      <c r="B270" t="s">
        <v>806</v>
      </c>
      <c r="C270" s="1">
        <v>44624</v>
      </c>
      <c r="D270" s="1">
        <v>44636</v>
      </c>
      <c r="E270" t="s">
        <v>26</v>
      </c>
      <c r="F270" t="s">
        <v>33</v>
      </c>
      <c r="G270">
        <v>1341</v>
      </c>
      <c r="H270" s="5">
        <v>46.27</v>
      </c>
      <c r="I270" s="5">
        <v>43.94</v>
      </c>
      <c r="J270">
        <v>63</v>
      </c>
      <c r="K270" t="s">
        <v>15</v>
      </c>
      <c r="L270">
        <f t="shared" si="19"/>
        <v>12</v>
      </c>
      <c r="M270">
        <v>11</v>
      </c>
      <c r="N270">
        <f t="shared" si="16"/>
        <v>1</v>
      </c>
      <c r="O270" t="str">
        <f xml:space="preserve"> IF(AND(Table1[[#This Row],[Actual_Lead_Time]] &lt;= Table1[[#This Row],[Standard_Lead_Time]], OR(ISBLANK(J270), J270 = 0)), "OTIF", "Non-OTIF")</f>
        <v>Non-OTIF</v>
      </c>
      <c r="P270">
        <f>IF(Table1[[#This Row],[OTIF_Status]] = "OTIF", 1, 0)</f>
        <v>0</v>
      </c>
      <c r="Q270" s="5">
        <f t="shared" si="17"/>
        <v>62048.070000000007</v>
      </c>
      <c r="R270" s="5">
        <f t="shared" si="18"/>
        <v>58923.539999999994</v>
      </c>
      <c r="S270" s="5">
        <f>Table1[[#This Row],[Total_Line_Spend]]-Table1[[#This Row],[Negotiated_Total]]</f>
        <v>3124.5300000000134</v>
      </c>
      <c r="T270" t="str">
        <f xml:space="preserve"> IF(Table1[[#This Row],[Delay_Days]] &gt; 4, "High Risk", IF(Table1[[#This Row],[Delay_Days]] &gt; 0, "Medium Risk", "Low Risk"))</f>
        <v>Medium Risk</v>
      </c>
    </row>
    <row r="271" spans="1:20" x14ac:dyDescent="0.25">
      <c r="A271" t="s">
        <v>296</v>
      </c>
      <c r="B271" t="s">
        <v>807</v>
      </c>
      <c r="C271" s="1">
        <v>44974</v>
      </c>
      <c r="D271" s="1">
        <v>44989</v>
      </c>
      <c r="E271" t="s">
        <v>21</v>
      </c>
      <c r="F271" t="s">
        <v>33</v>
      </c>
      <c r="G271">
        <v>1583</v>
      </c>
      <c r="H271" s="5">
        <v>103.57</v>
      </c>
      <c r="I271" s="5">
        <v>89.38</v>
      </c>
      <c r="J271">
        <v>164</v>
      </c>
      <c r="K271" t="s">
        <v>15</v>
      </c>
      <c r="L271">
        <f t="shared" si="19"/>
        <v>15</v>
      </c>
      <c r="M271">
        <v>11</v>
      </c>
      <c r="N271">
        <f t="shared" si="16"/>
        <v>4</v>
      </c>
      <c r="O271" t="str">
        <f xml:space="preserve"> IF(AND(Table1[[#This Row],[Actual_Lead_Time]] &lt;= Table1[[#This Row],[Standard_Lead_Time]], OR(ISBLANK(J271), J271 = 0)), "OTIF", "Non-OTIF")</f>
        <v>Non-OTIF</v>
      </c>
      <c r="P271">
        <f>IF(Table1[[#This Row],[OTIF_Status]] = "OTIF", 1, 0)</f>
        <v>0</v>
      </c>
      <c r="Q271" s="5">
        <f t="shared" si="17"/>
        <v>163951.31</v>
      </c>
      <c r="R271" s="5">
        <f t="shared" si="18"/>
        <v>141488.53999999998</v>
      </c>
      <c r="S271" s="5">
        <f>Table1[[#This Row],[Total_Line_Spend]]-Table1[[#This Row],[Negotiated_Total]]</f>
        <v>22462.770000000019</v>
      </c>
      <c r="T271" t="str">
        <f xml:space="preserve"> IF(Table1[[#This Row],[Delay_Days]] &gt; 4, "High Risk", IF(Table1[[#This Row],[Delay_Days]] &gt; 0, "Medium Risk", "Low Risk"))</f>
        <v>Medium Risk</v>
      </c>
    </row>
    <row r="272" spans="1:20" x14ac:dyDescent="0.25">
      <c r="A272" t="s">
        <v>297</v>
      </c>
      <c r="B272" t="s">
        <v>807</v>
      </c>
      <c r="C272" s="1">
        <v>44909</v>
      </c>
      <c r="D272" s="1">
        <v>44920</v>
      </c>
      <c r="E272" t="s">
        <v>26</v>
      </c>
      <c r="F272" t="s">
        <v>14</v>
      </c>
      <c r="G272">
        <v>1880</v>
      </c>
      <c r="H272" s="5">
        <v>92.73</v>
      </c>
      <c r="I272" s="5">
        <v>90.78</v>
      </c>
      <c r="J272">
        <v>173</v>
      </c>
      <c r="K272" t="s">
        <v>15</v>
      </c>
      <c r="L272">
        <f t="shared" si="19"/>
        <v>11</v>
      </c>
      <c r="M272">
        <v>11</v>
      </c>
      <c r="N272">
        <f t="shared" si="16"/>
        <v>0</v>
      </c>
      <c r="O272" t="str">
        <f xml:space="preserve"> IF(AND(Table1[[#This Row],[Actual_Lead_Time]] &lt;= Table1[[#This Row],[Standard_Lead_Time]], OR(ISBLANK(J272), J272 = 0)), "OTIF", "Non-OTIF")</f>
        <v>Non-OTIF</v>
      </c>
      <c r="P272">
        <f>IF(Table1[[#This Row],[OTIF_Status]] = "OTIF", 1, 0)</f>
        <v>0</v>
      </c>
      <c r="Q272" s="5">
        <f t="shared" si="17"/>
        <v>174332.4</v>
      </c>
      <c r="R272" s="5">
        <f t="shared" si="18"/>
        <v>170666.4</v>
      </c>
      <c r="S272" s="5">
        <f>Table1[[#This Row],[Total_Line_Spend]]-Table1[[#This Row],[Negotiated_Total]]</f>
        <v>3666</v>
      </c>
      <c r="T272" t="str">
        <f xml:space="preserve"> IF(Table1[[#This Row],[Delay_Days]] &gt; 4, "High Risk", IF(Table1[[#This Row],[Delay_Days]] &gt; 0, "Medium Risk", "Low Risk"))</f>
        <v>Low Risk</v>
      </c>
    </row>
    <row r="273" spans="1:20" x14ac:dyDescent="0.25">
      <c r="A273" t="s">
        <v>298</v>
      </c>
      <c r="B273" t="s">
        <v>808</v>
      </c>
      <c r="C273" s="1">
        <v>44673</v>
      </c>
      <c r="D273" s="1">
        <v>44677</v>
      </c>
      <c r="E273" t="s">
        <v>21</v>
      </c>
      <c r="F273" t="s">
        <v>18</v>
      </c>
      <c r="G273">
        <v>1459</v>
      </c>
      <c r="H273" s="5">
        <v>84.79</v>
      </c>
      <c r="I273" s="5">
        <v>82.72</v>
      </c>
      <c r="J273">
        <v>47</v>
      </c>
      <c r="K273" t="s">
        <v>15</v>
      </c>
      <c r="L273">
        <f t="shared" si="19"/>
        <v>4</v>
      </c>
      <c r="M273">
        <v>11</v>
      </c>
      <c r="N273">
        <f t="shared" si="16"/>
        <v>0</v>
      </c>
      <c r="O273" t="str">
        <f xml:space="preserve"> IF(AND(Table1[[#This Row],[Actual_Lead_Time]] &lt;= Table1[[#This Row],[Standard_Lead_Time]], OR(ISBLANK(J273), J273 = 0)), "OTIF", "Non-OTIF")</f>
        <v>Non-OTIF</v>
      </c>
      <c r="P273">
        <f>IF(Table1[[#This Row],[OTIF_Status]] = "OTIF", 1, 0)</f>
        <v>0</v>
      </c>
      <c r="Q273" s="5">
        <f t="shared" si="17"/>
        <v>123708.61000000002</v>
      </c>
      <c r="R273" s="5">
        <f t="shared" si="18"/>
        <v>120688.48</v>
      </c>
      <c r="S273" s="5">
        <f>Table1[[#This Row],[Total_Line_Spend]]-Table1[[#This Row],[Negotiated_Total]]</f>
        <v>3020.1300000000192</v>
      </c>
      <c r="T273" t="str">
        <f xml:space="preserve"> IF(Table1[[#This Row],[Delay_Days]] &gt; 4, "High Risk", IF(Table1[[#This Row],[Delay_Days]] &gt; 0, "Medium Risk", "Low Risk"))</f>
        <v>Low Risk</v>
      </c>
    </row>
    <row r="274" spans="1:20" x14ac:dyDescent="0.25">
      <c r="A274" t="s">
        <v>299</v>
      </c>
      <c r="B274" t="s">
        <v>805</v>
      </c>
      <c r="C274" s="1">
        <v>44816</v>
      </c>
      <c r="D274" s="1">
        <v>44827</v>
      </c>
      <c r="E274" t="s">
        <v>13</v>
      </c>
      <c r="F274" t="s">
        <v>18</v>
      </c>
      <c r="G274">
        <v>1460</v>
      </c>
      <c r="H274" s="5">
        <v>34.54</v>
      </c>
      <c r="I274" s="5">
        <v>31.87</v>
      </c>
      <c r="J274">
        <v>208</v>
      </c>
      <c r="K274" t="s">
        <v>27</v>
      </c>
      <c r="L274">
        <f t="shared" si="19"/>
        <v>11</v>
      </c>
      <c r="M274">
        <v>11</v>
      </c>
      <c r="N274">
        <f t="shared" si="16"/>
        <v>0</v>
      </c>
      <c r="O274" t="str">
        <f xml:space="preserve"> IF(AND(Table1[[#This Row],[Actual_Lead_Time]] &lt;= Table1[[#This Row],[Standard_Lead_Time]], OR(ISBLANK(J274), J274 = 0)), "OTIF", "Non-OTIF")</f>
        <v>Non-OTIF</v>
      </c>
      <c r="P274">
        <f>IF(Table1[[#This Row],[OTIF_Status]] = "OTIF", 1, 0)</f>
        <v>0</v>
      </c>
      <c r="Q274" s="5">
        <f t="shared" si="17"/>
        <v>50428.4</v>
      </c>
      <c r="R274" s="5">
        <f t="shared" si="18"/>
        <v>46530.200000000004</v>
      </c>
      <c r="S274" s="5">
        <f>Table1[[#This Row],[Total_Line_Spend]]-Table1[[#This Row],[Negotiated_Total]]</f>
        <v>3898.1999999999971</v>
      </c>
      <c r="T274" t="str">
        <f xml:space="preserve"> IF(Table1[[#This Row],[Delay_Days]] &gt; 4, "High Risk", IF(Table1[[#This Row],[Delay_Days]] &gt; 0, "Medium Risk", "Low Risk"))</f>
        <v>Low Risk</v>
      </c>
    </row>
    <row r="275" spans="1:20" x14ac:dyDescent="0.25">
      <c r="A275" t="s">
        <v>300</v>
      </c>
      <c r="B275" t="s">
        <v>807</v>
      </c>
      <c r="C275" s="1">
        <v>44758</v>
      </c>
      <c r="D275" s="1">
        <v>44770</v>
      </c>
      <c r="E275" t="s">
        <v>24</v>
      </c>
      <c r="F275" t="s">
        <v>33</v>
      </c>
      <c r="G275">
        <v>1186</v>
      </c>
      <c r="H275" s="5">
        <v>26.14</v>
      </c>
      <c r="I275" s="5">
        <v>24.78</v>
      </c>
      <c r="J275">
        <v>112</v>
      </c>
      <c r="K275" t="s">
        <v>15</v>
      </c>
      <c r="L275">
        <f t="shared" si="19"/>
        <v>12</v>
      </c>
      <c r="M275">
        <v>11</v>
      </c>
      <c r="N275">
        <f t="shared" si="16"/>
        <v>1</v>
      </c>
      <c r="O275" t="str">
        <f xml:space="preserve"> IF(AND(Table1[[#This Row],[Actual_Lead_Time]] &lt;= Table1[[#This Row],[Standard_Lead_Time]], OR(ISBLANK(J275), J275 = 0)), "OTIF", "Non-OTIF")</f>
        <v>Non-OTIF</v>
      </c>
      <c r="P275">
        <f>IF(Table1[[#This Row],[OTIF_Status]] = "OTIF", 1, 0)</f>
        <v>0</v>
      </c>
      <c r="Q275" s="5">
        <f t="shared" si="17"/>
        <v>31002.04</v>
      </c>
      <c r="R275" s="5">
        <f t="shared" si="18"/>
        <v>29389.08</v>
      </c>
      <c r="S275" s="5">
        <f>Table1[[#This Row],[Total_Line_Spend]]-Table1[[#This Row],[Negotiated_Total]]</f>
        <v>1612.9599999999991</v>
      </c>
      <c r="T275" t="str">
        <f xml:space="preserve"> IF(Table1[[#This Row],[Delay_Days]] &gt; 4, "High Risk", IF(Table1[[#This Row],[Delay_Days]] &gt; 0, "Medium Risk", "Low Risk"))</f>
        <v>Medium Risk</v>
      </c>
    </row>
    <row r="276" spans="1:20" x14ac:dyDescent="0.25">
      <c r="A276" t="s">
        <v>301</v>
      </c>
      <c r="B276" t="s">
        <v>808</v>
      </c>
      <c r="C276" s="1">
        <v>44756</v>
      </c>
      <c r="D276" s="1">
        <v>44765</v>
      </c>
      <c r="E276" t="s">
        <v>21</v>
      </c>
      <c r="F276" t="s">
        <v>35</v>
      </c>
      <c r="G276">
        <v>1686</v>
      </c>
      <c r="H276" s="5">
        <v>72.28</v>
      </c>
      <c r="I276" s="5">
        <v>65.209999999999994</v>
      </c>
      <c r="J276">
        <v>53</v>
      </c>
      <c r="K276" t="s">
        <v>15</v>
      </c>
      <c r="L276">
        <f t="shared" si="19"/>
        <v>9</v>
      </c>
      <c r="M276">
        <v>11</v>
      </c>
      <c r="N276">
        <f t="shared" si="16"/>
        <v>0</v>
      </c>
      <c r="O276" t="str">
        <f xml:space="preserve"> IF(AND(Table1[[#This Row],[Actual_Lead_Time]] &lt;= Table1[[#This Row],[Standard_Lead_Time]], OR(ISBLANK(J276), J276 = 0)), "OTIF", "Non-OTIF")</f>
        <v>Non-OTIF</v>
      </c>
      <c r="P276">
        <f>IF(Table1[[#This Row],[OTIF_Status]] = "OTIF", 1, 0)</f>
        <v>0</v>
      </c>
      <c r="Q276" s="5">
        <f t="shared" si="17"/>
        <v>121864.08</v>
      </c>
      <c r="R276" s="5">
        <f t="shared" si="18"/>
        <v>109944.05999999998</v>
      </c>
      <c r="S276" s="5">
        <f>Table1[[#This Row],[Total_Line_Spend]]-Table1[[#This Row],[Negotiated_Total]]</f>
        <v>11920.020000000019</v>
      </c>
      <c r="T276" t="str">
        <f xml:space="preserve"> IF(Table1[[#This Row],[Delay_Days]] &gt; 4, "High Risk", IF(Table1[[#This Row],[Delay_Days]] &gt; 0, "Medium Risk", "Low Risk"))</f>
        <v>Low Risk</v>
      </c>
    </row>
    <row r="277" spans="1:20" x14ac:dyDescent="0.25">
      <c r="A277" t="s">
        <v>302</v>
      </c>
      <c r="B277" t="s">
        <v>804</v>
      </c>
      <c r="C277" s="1">
        <v>45111</v>
      </c>
      <c r="D277" s="1">
        <v>45115</v>
      </c>
      <c r="E277" t="s">
        <v>21</v>
      </c>
      <c r="F277" t="s">
        <v>18</v>
      </c>
      <c r="G277">
        <v>1698</v>
      </c>
      <c r="H277" s="5">
        <v>102.07</v>
      </c>
      <c r="I277" s="5">
        <v>100.69</v>
      </c>
      <c r="J277">
        <v>28</v>
      </c>
      <c r="K277" t="s">
        <v>15</v>
      </c>
      <c r="L277">
        <f t="shared" si="19"/>
        <v>4</v>
      </c>
      <c r="M277">
        <v>11</v>
      </c>
      <c r="N277">
        <f t="shared" si="16"/>
        <v>0</v>
      </c>
      <c r="O277" t="str">
        <f xml:space="preserve"> IF(AND(Table1[[#This Row],[Actual_Lead_Time]] &lt;= Table1[[#This Row],[Standard_Lead_Time]], OR(ISBLANK(J277), J277 = 0)), "OTIF", "Non-OTIF")</f>
        <v>Non-OTIF</v>
      </c>
      <c r="P277">
        <f>IF(Table1[[#This Row],[OTIF_Status]] = "OTIF", 1, 0)</f>
        <v>0</v>
      </c>
      <c r="Q277" s="5">
        <f t="shared" si="17"/>
        <v>173314.86</v>
      </c>
      <c r="R277" s="5">
        <f t="shared" si="18"/>
        <v>170971.62</v>
      </c>
      <c r="S277" s="5">
        <f>Table1[[#This Row],[Total_Line_Spend]]-Table1[[#This Row],[Negotiated_Total]]</f>
        <v>2343.2399999999907</v>
      </c>
      <c r="T277" t="str">
        <f xml:space="preserve"> IF(Table1[[#This Row],[Delay_Days]] &gt; 4, "High Risk", IF(Table1[[#This Row],[Delay_Days]] &gt; 0, "Medium Risk", "Low Risk"))</f>
        <v>Low Risk</v>
      </c>
    </row>
    <row r="278" spans="1:20" x14ac:dyDescent="0.25">
      <c r="A278" t="s">
        <v>303</v>
      </c>
      <c r="B278" t="s">
        <v>808</v>
      </c>
      <c r="C278" s="1">
        <v>45021</v>
      </c>
      <c r="D278" s="1">
        <v>45032</v>
      </c>
      <c r="E278" t="s">
        <v>39</v>
      </c>
      <c r="F278" t="s">
        <v>18</v>
      </c>
      <c r="G278">
        <v>1001</v>
      </c>
      <c r="H278" s="5">
        <v>64.62</v>
      </c>
      <c r="I278" s="5">
        <v>55.7</v>
      </c>
      <c r="J278">
        <v>32</v>
      </c>
      <c r="K278" t="s">
        <v>15</v>
      </c>
      <c r="L278">
        <f t="shared" si="19"/>
        <v>11</v>
      </c>
      <c r="M278">
        <v>11</v>
      </c>
      <c r="N278">
        <f t="shared" si="16"/>
        <v>0</v>
      </c>
      <c r="O278" t="str">
        <f xml:space="preserve"> IF(AND(Table1[[#This Row],[Actual_Lead_Time]] &lt;= Table1[[#This Row],[Standard_Lead_Time]], OR(ISBLANK(J278), J278 = 0)), "OTIF", "Non-OTIF")</f>
        <v>Non-OTIF</v>
      </c>
      <c r="P278">
        <f>IF(Table1[[#This Row],[OTIF_Status]] = "OTIF", 1, 0)</f>
        <v>0</v>
      </c>
      <c r="Q278" s="5">
        <f t="shared" si="17"/>
        <v>64684.62</v>
      </c>
      <c r="R278" s="5">
        <f t="shared" si="18"/>
        <v>55755.700000000004</v>
      </c>
      <c r="S278" s="5">
        <f>Table1[[#This Row],[Total_Line_Spend]]-Table1[[#This Row],[Negotiated_Total]]</f>
        <v>8928.9199999999983</v>
      </c>
      <c r="T278" t="str">
        <f xml:space="preserve"> IF(Table1[[#This Row],[Delay_Days]] &gt; 4, "High Risk", IF(Table1[[#This Row],[Delay_Days]] &gt; 0, "Medium Risk", "Low Risk"))</f>
        <v>Low Risk</v>
      </c>
    </row>
    <row r="279" spans="1:20" x14ac:dyDescent="0.25">
      <c r="A279" t="s">
        <v>304</v>
      </c>
      <c r="B279" t="s">
        <v>804</v>
      </c>
      <c r="C279" s="1">
        <v>44705</v>
      </c>
      <c r="D279" s="1">
        <v>44708</v>
      </c>
      <c r="E279" t="s">
        <v>13</v>
      </c>
      <c r="F279" t="s">
        <v>18</v>
      </c>
      <c r="G279">
        <v>1154</v>
      </c>
      <c r="H279" s="5">
        <v>62.67</v>
      </c>
      <c r="I279" s="5">
        <v>54.11</v>
      </c>
      <c r="J279">
        <v>25</v>
      </c>
      <c r="K279" t="s">
        <v>15</v>
      </c>
      <c r="L279">
        <f t="shared" si="19"/>
        <v>3</v>
      </c>
      <c r="M279">
        <v>11</v>
      </c>
      <c r="N279">
        <f t="shared" si="16"/>
        <v>0</v>
      </c>
      <c r="O279" t="str">
        <f xml:space="preserve"> IF(AND(Table1[[#This Row],[Actual_Lead_Time]] &lt;= Table1[[#This Row],[Standard_Lead_Time]], OR(ISBLANK(J279), J279 = 0)), "OTIF", "Non-OTIF")</f>
        <v>Non-OTIF</v>
      </c>
      <c r="P279">
        <f>IF(Table1[[#This Row],[OTIF_Status]] = "OTIF", 1, 0)</f>
        <v>0</v>
      </c>
      <c r="Q279" s="5">
        <f t="shared" si="17"/>
        <v>72321.180000000008</v>
      </c>
      <c r="R279" s="5">
        <f t="shared" si="18"/>
        <v>62442.94</v>
      </c>
      <c r="S279" s="5">
        <f>Table1[[#This Row],[Total_Line_Spend]]-Table1[[#This Row],[Negotiated_Total]]</f>
        <v>9878.2400000000052</v>
      </c>
      <c r="T279" t="str">
        <f xml:space="preserve"> IF(Table1[[#This Row],[Delay_Days]] &gt; 4, "High Risk", IF(Table1[[#This Row],[Delay_Days]] &gt; 0, "Medium Risk", "Low Risk"))</f>
        <v>Low Risk</v>
      </c>
    </row>
    <row r="280" spans="1:20" x14ac:dyDescent="0.25">
      <c r="A280" t="s">
        <v>305</v>
      </c>
      <c r="B280" t="s">
        <v>804</v>
      </c>
      <c r="C280" s="1">
        <v>44994</v>
      </c>
      <c r="D280" s="1">
        <v>45014</v>
      </c>
      <c r="E280" t="s">
        <v>24</v>
      </c>
      <c r="F280" t="s">
        <v>14</v>
      </c>
      <c r="G280">
        <v>748</v>
      </c>
      <c r="H280" s="5">
        <v>37.659999999999997</v>
      </c>
      <c r="I280" s="5">
        <v>32.71</v>
      </c>
      <c r="K280" t="s">
        <v>27</v>
      </c>
      <c r="L280">
        <f t="shared" si="19"/>
        <v>20</v>
      </c>
      <c r="M280">
        <v>11</v>
      </c>
      <c r="N280">
        <f t="shared" si="16"/>
        <v>9</v>
      </c>
      <c r="O280" t="str">
        <f xml:space="preserve"> IF(AND(Table1[[#This Row],[Actual_Lead_Time]] &lt;= Table1[[#This Row],[Standard_Lead_Time]], OR(ISBLANK(J280), J280 = 0)), "OTIF", "Non-OTIF")</f>
        <v>Non-OTIF</v>
      </c>
      <c r="P280">
        <f>IF(Table1[[#This Row],[OTIF_Status]] = "OTIF", 1, 0)</f>
        <v>0</v>
      </c>
      <c r="Q280" s="5">
        <f t="shared" si="17"/>
        <v>28169.679999999997</v>
      </c>
      <c r="R280" s="5">
        <f t="shared" si="18"/>
        <v>24467.08</v>
      </c>
      <c r="S280" s="5">
        <f>Table1[[#This Row],[Total_Line_Spend]]-Table1[[#This Row],[Negotiated_Total]]</f>
        <v>3702.5999999999949</v>
      </c>
      <c r="T280" t="str">
        <f xml:space="preserve"> IF(Table1[[#This Row],[Delay_Days]] &gt; 4, "High Risk", IF(Table1[[#This Row],[Delay_Days]] &gt; 0, "Medium Risk", "Low Risk"))</f>
        <v>High Risk</v>
      </c>
    </row>
    <row r="281" spans="1:20" x14ac:dyDescent="0.25">
      <c r="A281" t="s">
        <v>306</v>
      </c>
      <c r="B281" t="s">
        <v>804</v>
      </c>
      <c r="C281" s="1">
        <v>44749</v>
      </c>
      <c r="D281" s="1">
        <v>44760</v>
      </c>
      <c r="E281" t="s">
        <v>13</v>
      </c>
      <c r="F281" t="s">
        <v>18</v>
      </c>
      <c r="G281">
        <v>162</v>
      </c>
      <c r="H281" s="5">
        <v>81.63</v>
      </c>
      <c r="I281" s="5">
        <v>78.760000000000005</v>
      </c>
      <c r="J281">
        <v>2</v>
      </c>
      <c r="K281" t="s">
        <v>15</v>
      </c>
      <c r="L281">
        <f t="shared" si="19"/>
        <v>11</v>
      </c>
      <c r="M281">
        <v>11</v>
      </c>
      <c r="N281">
        <f t="shared" si="16"/>
        <v>0</v>
      </c>
      <c r="O281" t="str">
        <f xml:space="preserve"> IF(AND(Table1[[#This Row],[Actual_Lead_Time]] &lt;= Table1[[#This Row],[Standard_Lead_Time]], OR(ISBLANK(J281), J281 = 0)), "OTIF", "Non-OTIF")</f>
        <v>Non-OTIF</v>
      </c>
      <c r="P281">
        <f>IF(Table1[[#This Row],[OTIF_Status]] = "OTIF", 1, 0)</f>
        <v>0</v>
      </c>
      <c r="Q281" s="5">
        <f t="shared" si="17"/>
        <v>13224.06</v>
      </c>
      <c r="R281" s="5">
        <f t="shared" si="18"/>
        <v>12759.12</v>
      </c>
      <c r="S281" s="5">
        <f>Table1[[#This Row],[Total_Line_Spend]]-Table1[[#This Row],[Negotiated_Total]]</f>
        <v>464.93999999999869</v>
      </c>
      <c r="T281" t="str">
        <f xml:space="preserve"> IF(Table1[[#This Row],[Delay_Days]] &gt; 4, "High Risk", IF(Table1[[#This Row],[Delay_Days]] &gt; 0, "Medium Risk", "Low Risk"))</f>
        <v>Low Risk</v>
      </c>
    </row>
    <row r="282" spans="1:20" x14ac:dyDescent="0.25">
      <c r="A282" t="s">
        <v>307</v>
      </c>
      <c r="B282" t="s">
        <v>804</v>
      </c>
      <c r="C282" s="1">
        <v>44847</v>
      </c>
      <c r="D282" s="1">
        <v>44858</v>
      </c>
      <c r="E282" t="s">
        <v>24</v>
      </c>
      <c r="F282" t="s">
        <v>18</v>
      </c>
      <c r="G282">
        <v>51</v>
      </c>
      <c r="H282" s="5">
        <v>28.04</v>
      </c>
      <c r="I282" s="5">
        <v>24.13</v>
      </c>
      <c r="J282">
        <v>0</v>
      </c>
      <c r="K282" t="s">
        <v>15</v>
      </c>
      <c r="L282">
        <f t="shared" si="19"/>
        <v>11</v>
      </c>
      <c r="M282">
        <v>11</v>
      </c>
      <c r="N282">
        <f t="shared" si="16"/>
        <v>0</v>
      </c>
      <c r="O282" t="str">
        <f xml:space="preserve"> IF(AND(Table1[[#This Row],[Actual_Lead_Time]] &lt;= Table1[[#This Row],[Standard_Lead_Time]], OR(ISBLANK(J282), J282 = 0)), "OTIF", "Non-OTIF")</f>
        <v>OTIF</v>
      </c>
      <c r="P282">
        <f>IF(Table1[[#This Row],[OTIF_Status]] = "OTIF", 1, 0)</f>
        <v>1</v>
      </c>
      <c r="Q282" s="5">
        <f t="shared" si="17"/>
        <v>1430.04</v>
      </c>
      <c r="R282" s="5">
        <f t="shared" si="18"/>
        <v>1230.6299999999999</v>
      </c>
      <c r="S282" s="5">
        <f>Table1[[#This Row],[Total_Line_Spend]]-Table1[[#This Row],[Negotiated_Total]]</f>
        <v>199.41000000000008</v>
      </c>
      <c r="T282" t="str">
        <f xml:space="preserve"> IF(Table1[[#This Row],[Delay_Days]] &gt; 4, "High Risk", IF(Table1[[#This Row],[Delay_Days]] &gt; 0, "Medium Risk", "Low Risk"))</f>
        <v>Low Risk</v>
      </c>
    </row>
    <row r="283" spans="1:20" x14ac:dyDescent="0.25">
      <c r="A283" t="s">
        <v>308</v>
      </c>
      <c r="B283" t="s">
        <v>805</v>
      </c>
      <c r="C283" s="1">
        <v>45035</v>
      </c>
      <c r="D283" s="1">
        <v>45040</v>
      </c>
      <c r="E283" t="s">
        <v>13</v>
      </c>
      <c r="F283" t="s">
        <v>18</v>
      </c>
      <c r="G283">
        <v>691</v>
      </c>
      <c r="H283" s="5">
        <v>42.07</v>
      </c>
      <c r="I283" s="5">
        <v>39.1</v>
      </c>
      <c r="J283">
        <v>106</v>
      </c>
      <c r="K283" t="s">
        <v>15</v>
      </c>
      <c r="L283">
        <f t="shared" si="19"/>
        <v>5</v>
      </c>
      <c r="M283">
        <v>11</v>
      </c>
      <c r="N283">
        <f t="shared" si="16"/>
        <v>0</v>
      </c>
      <c r="O283" t="str">
        <f xml:space="preserve"> IF(AND(Table1[[#This Row],[Actual_Lead_Time]] &lt;= Table1[[#This Row],[Standard_Lead_Time]], OR(ISBLANK(J283), J283 = 0)), "OTIF", "Non-OTIF")</f>
        <v>Non-OTIF</v>
      </c>
      <c r="P283">
        <f>IF(Table1[[#This Row],[OTIF_Status]] = "OTIF", 1, 0)</f>
        <v>0</v>
      </c>
      <c r="Q283" s="5">
        <f t="shared" si="17"/>
        <v>29070.37</v>
      </c>
      <c r="R283" s="5">
        <f t="shared" si="18"/>
        <v>27018.100000000002</v>
      </c>
      <c r="S283" s="5">
        <f>Table1[[#This Row],[Total_Line_Spend]]-Table1[[#This Row],[Negotiated_Total]]</f>
        <v>2052.2699999999968</v>
      </c>
      <c r="T283" t="str">
        <f xml:space="preserve"> IF(Table1[[#This Row],[Delay_Days]] &gt; 4, "High Risk", IF(Table1[[#This Row],[Delay_Days]] &gt; 0, "Medium Risk", "Low Risk"))</f>
        <v>Low Risk</v>
      </c>
    </row>
    <row r="284" spans="1:20" x14ac:dyDescent="0.25">
      <c r="A284" t="s">
        <v>309</v>
      </c>
      <c r="B284" t="s">
        <v>807</v>
      </c>
      <c r="C284" s="1">
        <v>44817</v>
      </c>
      <c r="D284" s="1">
        <v>44824</v>
      </c>
      <c r="E284" t="s">
        <v>13</v>
      </c>
      <c r="F284" t="s">
        <v>18</v>
      </c>
      <c r="G284">
        <v>269</v>
      </c>
      <c r="H284" s="5">
        <v>50.22</v>
      </c>
      <c r="I284" s="5">
        <v>45.75</v>
      </c>
      <c r="J284">
        <v>32</v>
      </c>
      <c r="K284" t="s">
        <v>27</v>
      </c>
      <c r="L284">
        <f t="shared" si="19"/>
        <v>7</v>
      </c>
      <c r="M284">
        <v>11</v>
      </c>
      <c r="N284">
        <f t="shared" si="16"/>
        <v>0</v>
      </c>
      <c r="O284" t="str">
        <f xml:space="preserve"> IF(AND(Table1[[#This Row],[Actual_Lead_Time]] &lt;= Table1[[#This Row],[Standard_Lead_Time]], OR(ISBLANK(J284), J284 = 0)), "OTIF", "Non-OTIF")</f>
        <v>Non-OTIF</v>
      </c>
      <c r="P284">
        <f>IF(Table1[[#This Row],[OTIF_Status]] = "OTIF", 1, 0)</f>
        <v>0</v>
      </c>
      <c r="Q284" s="5">
        <f t="shared" si="17"/>
        <v>13509.18</v>
      </c>
      <c r="R284" s="5">
        <f t="shared" si="18"/>
        <v>12306.75</v>
      </c>
      <c r="S284" s="5">
        <f>Table1[[#This Row],[Total_Line_Spend]]-Table1[[#This Row],[Negotiated_Total]]</f>
        <v>1202.4300000000003</v>
      </c>
      <c r="T284" t="str">
        <f xml:space="preserve"> IF(Table1[[#This Row],[Delay_Days]] &gt; 4, "High Risk", IF(Table1[[#This Row],[Delay_Days]] &gt; 0, "Medium Risk", "Low Risk"))</f>
        <v>Low Risk</v>
      </c>
    </row>
    <row r="285" spans="1:20" x14ac:dyDescent="0.25">
      <c r="A285" t="s">
        <v>310</v>
      </c>
      <c r="B285" t="s">
        <v>807</v>
      </c>
      <c r="C285" s="1">
        <v>44639</v>
      </c>
      <c r="D285" s="1">
        <v>44657</v>
      </c>
      <c r="E285" t="s">
        <v>39</v>
      </c>
      <c r="F285" t="s">
        <v>35</v>
      </c>
      <c r="G285">
        <v>1639</v>
      </c>
      <c r="H285" s="5">
        <v>56.24</v>
      </c>
      <c r="I285" s="5">
        <v>55.4</v>
      </c>
      <c r="J285">
        <v>147</v>
      </c>
      <c r="K285" t="s">
        <v>15</v>
      </c>
      <c r="L285">
        <f t="shared" si="19"/>
        <v>18</v>
      </c>
      <c r="M285">
        <v>11</v>
      </c>
      <c r="N285">
        <f t="shared" si="16"/>
        <v>7</v>
      </c>
      <c r="O285" t="str">
        <f xml:space="preserve"> IF(AND(Table1[[#This Row],[Actual_Lead_Time]] &lt;= Table1[[#This Row],[Standard_Lead_Time]], OR(ISBLANK(J285), J285 = 0)), "OTIF", "Non-OTIF")</f>
        <v>Non-OTIF</v>
      </c>
      <c r="P285">
        <f>IF(Table1[[#This Row],[OTIF_Status]] = "OTIF", 1, 0)</f>
        <v>0</v>
      </c>
      <c r="Q285" s="5">
        <f t="shared" si="17"/>
        <v>92177.36</v>
      </c>
      <c r="R285" s="5">
        <f t="shared" si="18"/>
        <v>90800.599999999991</v>
      </c>
      <c r="S285" s="5">
        <f>Table1[[#This Row],[Total_Line_Spend]]-Table1[[#This Row],[Negotiated_Total]]</f>
        <v>1376.7600000000093</v>
      </c>
      <c r="T285" t="str">
        <f xml:space="preserve"> IF(Table1[[#This Row],[Delay_Days]] &gt; 4, "High Risk", IF(Table1[[#This Row],[Delay_Days]] &gt; 0, "Medium Risk", "Low Risk"))</f>
        <v>High Risk</v>
      </c>
    </row>
    <row r="286" spans="1:20" x14ac:dyDescent="0.25">
      <c r="A286" t="s">
        <v>311</v>
      </c>
      <c r="B286" t="s">
        <v>804</v>
      </c>
      <c r="C286" s="1">
        <v>45015</v>
      </c>
      <c r="D286" s="1">
        <v>45022</v>
      </c>
      <c r="E286" t="s">
        <v>26</v>
      </c>
      <c r="F286" t="s">
        <v>18</v>
      </c>
      <c r="G286">
        <v>904</v>
      </c>
      <c r="H286" s="5">
        <v>34.04</v>
      </c>
      <c r="I286" s="5">
        <v>30.06</v>
      </c>
      <c r="J286">
        <v>26</v>
      </c>
      <c r="K286" t="s">
        <v>15</v>
      </c>
      <c r="L286">
        <f t="shared" si="19"/>
        <v>7</v>
      </c>
      <c r="M286">
        <v>11</v>
      </c>
      <c r="N286">
        <f t="shared" si="16"/>
        <v>0</v>
      </c>
      <c r="O286" t="str">
        <f xml:space="preserve"> IF(AND(Table1[[#This Row],[Actual_Lead_Time]] &lt;= Table1[[#This Row],[Standard_Lead_Time]], OR(ISBLANK(J286), J286 = 0)), "OTIF", "Non-OTIF")</f>
        <v>Non-OTIF</v>
      </c>
      <c r="P286">
        <f>IF(Table1[[#This Row],[OTIF_Status]] = "OTIF", 1, 0)</f>
        <v>0</v>
      </c>
      <c r="Q286" s="5">
        <f t="shared" si="17"/>
        <v>30772.16</v>
      </c>
      <c r="R286" s="5">
        <f t="shared" si="18"/>
        <v>27174.239999999998</v>
      </c>
      <c r="S286" s="5">
        <f>Table1[[#This Row],[Total_Line_Spend]]-Table1[[#This Row],[Negotiated_Total]]</f>
        <v>3597.9200000000019</v>
      </c>
      <c r="T286" t="str">
        <f xml:space="preserve"> IF(Table1[[#This Row],[Delay_Days]] &gt; 4, "High Risk", IF(Table1[[#This Row],[Delay_Days]] &gt; 0, "Medium Risk", "Low Risk"))</f>
        <v>Low Risk</v>
      </c>
    </row>
    <row r="287" spans="1:20" x14ac:dyDescent="0.25">
      <c r="A287" t="s">
        <v>312</v>
      </c>
      <c r="B287" t="s">
        <v>807</v>
      </c>
      <c r="C287" s="1">
        <v>45125</v>
      </c>
      <c r="D287" s="1">
        <v>45133</v>
      </c>
      <c r="E287" t="s">
        <v>13</v>
      </c>
      <c r="F287" t="s">
        <v>18</v>
      </c>
      <c r="G287">
        <v>1809</v>
      </c>
      <c r="H287" s="5">
        <v>22.17</v>
      </c>
      <c r="I287" s="5">
        <v>19.649999999999999</v>
      </c>
      <c r="K287" t="s">
        <v>15</v>
      </c>
      <c r="L287">
        <f t="shared" si="19"/>
        <v>8</v>
      </c>
      <c r="M287">
        <v>11</v>
      </c>
      <c r="N287">
        <f t="shared" si="16"/>
        <v>0</v>
      </c>
      <c r="O287" t="str">
        <f xml:space="preserve"> IF(AND(Table1[[#This Row],[Actual_Lead_Time]] &lt;= Table1[[#This Row],[Standard_Lead_Time]], OR(ISBLANK(J287), J287 = 0)), "OTIF", "Non-OTIF")</f>
        <v>OTIF</v>
      </c>
      <c r="P287">
        <f>IF(Table1[[#This Row],[OTIF_Status]] = "OTIF", 1, 0)</f>
        <v>1</v>
      </c>
      <c r="Q287" s="5">
        <f t="shared" si="17"/>
        <v>40105.530000000006</v>
      </c>
      <c r="R287" s="5">
        <f t="shared" si="18"/>
        <v>35546.85</v>
      </c>
      <c r="S287" s="5">
        <f>Table1[[#This Row],[Total_Line_Spend]]-Table1[[#This Row],[Negotiated_Total]]</f>
        <v>4558.6800000000076</v>
      </c>
      <c r="T287" t="str">
        <f xml:space="preserve"> IF(Table1[[#This Row],[Delay_Days]] &gt; 4, "High Risk", IF(Table1[[#This Row],[Delay_Days]] &gt; 0, "Medium Risk", "Low Risk"))</f>
        <v>Low Risk</v>
      </c>
    </row>
    <row r="288" spans="1:20" x14ac:dyDescent="0.25">
      <c r="A288" t="s">
        <v>313</v>
      </c>
      <c r="B288" t="s">
        <v>804</v>
      </c>
      <c r="C288" s="1">
        <v>44662</v>
      </c>
      <c r="D288" s="1">
        <v>44667</v>
      </c>
      <c r="E288" t="s">
        <v>24</v>
      </c>
      <c r="F288" t="s">
        <v>18</v>
      </c>
      <c r="G288">
        <v>1298</v>
      </c>
      <c r="H288" s="5">
        <v>65.930000000000007</v>
      </c>
      <c r="I288" s="5">
        <v>58.95</v>
      </c>
      <c r="K288" t="s">
        <v>15</v>
      </c>
      <c r="L288">
        <f t="shared" si="19"/>
        <v>5</v>
      </c>
      <c r="M288">
        <v>11</v>
      </c>
      <c r="N288">
        <f t="shared" si="16"/>
        <v>0</v>
      </c>
      <c r="O288" t="str">
        <f xml:space="preserve"> IF(AND(Table1[[#This Row],[Actual_Lead_Time]] &lt;= Table1[[#This Row],[Standard_Lead_Time]], OR(ISBLANK(J288), J288 = 0)), "OTIF", "Non-OTIF")</f>
        <v>OTIF</v>
      </c>
      <c r="P288">
        <f>IF(Table1[[#This Row],[OTIF_Status]] = "OTIF", 1, 0)</f>
        <v>1</v>
      </c>
      <c r="Q288" s="5">
        <f t="shared" si="17"/>
        <v>85577.140000000014</v>
      </c>
      <c r="R288" s="5">
        <f t="shared" si="18"/>
        <v>76517.100000000006</v>
      </c>
      <c r="S288" s="5">
        <f>Table1[[#This Row],[Total_Line_Spend]]-Table1[[#This Row],[Negotiated_Total]]</f>
        <v>9060.0400000000081</v>
      </c>
      <c r="T288" t="str">
        <f xml:space="preserve"> IF(Table1[[#This Row],[Delay_Days]] &gt; 4, "High Risk", IF(Table1[[#This Row],[Delay_Days]] &gt; 0, "Medium Risk", "Low Risk"))</f>
        <v>Low Risk</v>
      </c>
    </row>
    <row r="289" spans="1:20" x14ac:dyDescent="0.25">
      <c r="A289" t="s">
        <v>314</v>
      </c>
      <c r="B289" t="s">
        <v>807</v>
      </c>
      <c r="C289" s="1">
        <v>44613</v>
      </c>
      <c r="D289" s="1">
        <v>44633</v>
      </c>
      <c r="E289" t="s">
        <v>24</v>
      </c>
      <c r="F289" t="s">
        <v>18</v>
      </c>
      <c r="G289">
        <v>434</v>
      </c>
      <c r="H289" s="5">
        <v>36.159999999999997</v>
      </c>
      <c r="I289" s="5">
        <v>34.79</v>
      </c>
      <c r="J289">
        <v>41</v>
      </c>
      <c r="K289" t="s">
        <v>15</v>
      </c>
      <c r="L289">
        <f t="shared" si="19"/>
        <v>20</v>
      </c>
      <c r="M289">
        <v>11</v>
      </c>
      <c r="N289">
        <f t="shared" si="16"/>
        <v>9</v>
      </c>
      <c r="O289" t="str">
        <f xml:space="preserve"> IF(AND(Table1[[#This Row],[Actual_Lead_Time]] &lt;= Table1[[#This Row],[Standard_Lead_Time]], OR(ISBLANK(J289), J289 = 0)), "OTIF", "Non-OTIF")</f>
        <v>Non-OTIF</v>
      </c>
      <c r="P289">
        <f>IF(Table1[[#This Row],[OTIF_Status]] = "OTIF", 1, 0)</f>
        <v>0</v>
      </c>
      <c r="Q289" s="5">
        <f t="shared" si="17"/>
        <v>15693.439999999999</v>
      </c>
      <c r="R289" s="5">
        <f t="shared" si="18"/>
        <v>15098.859999999999</v>
      </c>
      <c r="S289" s="5">
        <f>Table1[[#This Row],[Total_Line_Spend]]-Table1[[#This Row],[Negotiated_Total]]</f>
        <v>594.57999999999993</v>
      </c>
      <c r="T289" t="str">
        <f xml:space="preserve"> IF(Table1[[#This Row],[Delay_Days]] &gt; 4, "High Risk", IF(Table1[[#This Row],[Delay_Days]] &gt; 0, "Medium Risk", "Low Risk"))</f>
        <v>High Risk</v>
      </c>
    </row>
    <row r="290" spans="1:20" x14ac:dyDescent="0.25">
      <c r="A290" t="s">
        <v>315</v>
      </c>
      <c r="B290" t="s">
        <v>808</v>
      </c>
      <c r="C290" s="1">
        <v>45229</v>
      </c>
      <c r="D290" s="1">
        <v>45234</v>
      </c>
      <c r="E290" t="s">
        <v>39</v>
      </c>
      <c r="F290" t="s">
        <v>18</v>
      </c>
      <c r="G290">
        <v>1476</v>
      </c>
      <c r="H290" s="5">
        <v>68.849999999999994</v>
      </c>
      <c r="I290" s="5">
        <v>65.28</v>
      </c>
      <c r="J290">
        <v>43</v>
      </c>
      <c r="K290" t="s">
        <v>15</v>
      </c>
      <c r="L290">
        <f t="shared" si="19"/>
        <v>5</v>
      </c>
      <c r="M290">
        <v>11</v>
      </c>
      <c r="N290">
        <f t="shared" si="16"/>
        <v>0</v>
      </c>
      <c r="O290" t="str">
        <f xml:space="preserve"> IF(AND(Table1[[#This Row],[Actual_Lead_Time]] &lt;= Table1[[#This Row],[Standard_Lead_Time]], OR(ISBLANK(J290), J290 = 0)), "OTIF", "Non-OTIF")</f>
        <v>Non-OTIF</v>
      </c>
      <c r="P290">
        <f>IF(Table1[[#This Row],[OTIF_Status]] = "OTIF", 1, 0)</f>
        <v>0</v>
      </c>
      <c r="Q290" s="5">
        <f t="shared" si="17"/>
        <v>101622.59999999999</v>
      </c>
      <c r="R290" s="5">
        <f t="shared" si="18"/>
        <v>96353.279999999999</v>
      </c>
      <c r="S290" s="5">
        <f>Table1[[#This Row],[Total_Line_Spend]]-Table1[[#This Row],[Negotiated_Total]]</f>
        <v>5269.3199999999924</v>
      </c>
      <c r="T290" t="str">
        <f xml:space="preserve"> IF(Table1[[#This Row],[Delay_Days]] &gt; 4, "High Risk", IF(Table1[[#This Row],[Delay_Days]] &gt; 0, "Medium Risk", "Low Risk"))</f>
        <v>Low Risk</v>
      </c>
    </row>
    <row r="291" spans="1:20" x14ac:dyDescent="0.25">
      <c r="A291" t="s">
        <v>316</v>
      </c>
      <c r="B291" t="s">
        <v>805</v>
      </c>
      <c r="C291" s="1">
        <v>45115</v>
      </c>
      <c r="D291" s="1">
        <v>45126</v>
      </c>
      <c r="E291" t="s">
        <v>26</v>
      </c>
      <c r="F291" t="s">
        <v>33</v>
      </c>
      <c r="G291">
        <v>1711</v>
      </c>
      <c r="H291" s="5">
        <v>26.04</v>
      </c>
      <c r="I291" s="5">
        <v>24.81</v>
      </c>
      <c r="J291">
        <v>290</v>
      </c>
      <c r="K291" t="s">
        <v>15</v>
      </c>
      <c r="L291">
        <f t="shared" si="19"/>
        <v>11</v>
      </c>
      <c r="M291">
        <v>11</v>
      </c>
      <c r="N291">
        <f t="shared" si="16"/>
        <v>0</v>
      </c>
      <c r="O291" t="str">
        <f xml:space="preserve"> IF(AND(Table1[[#This Row],[Actual_Lead_Time]] &lt;= Table1[[#This Row],[Standard_Lead_Time]], OR(ISBLANK(J291), J291 = 0)), "OTIF", "Non-OTIF")</f>
        <v>Non-OTIF</v>
      </c>
      <c r="P291">
        <f>IF(Table1[[#This Row],[OTIF_Status]] = "OTIF", 1, 0)</f>
        <v>0</v>
      </c>
      <c r="Q291" s="5">
        <f t="shared" si="17"/>
        <v>44554.439999999995</v>
      </c>
      <c r="R291" s="5">
        <f t="shared" si="18"/>
        <v>42449.909999999996</v>
      </c>
      <c r="S291" s="5">
        <f>Table1[[#This Row],[Total_Line_Spend]]-Table1[[#This Row],[Negotiated_Total]]</f>
        <v>2104.5299999999988</v>
      </c>
      <c r="T291" t="str">
        <f xml:space="preserve"> IF(Table1[[#This Row],[Delay_Days]] &gt; 4, "High Risk", IF(Table1[[#This Row],[Delay_Days]] &gt; 0, "Medium Risk", "Low Risk"))</f>
        <v>Low Risk</v>
      </c>
    </row>
    <row r="292" spans="1:20" x14ac:dyDescent="0.25">
      <c r="A292" t="s">
        <v>317</v>
      </c>
      <c r="B292" t="s">
        <v>806</v>
      </c>
      <c r="C292" s="1">
        <v>44577</v>
      </c>
      <c r="D292" s="1">
        <v>44583</v>
      </c>
      <c r="E292" t="s">
        <v>24</v>
      </c>
      <c r="F292" t="s">
        <v>18</v>
      </c>
      <c r="G292">
        <v>1203</v>
      </c>
      <c r="H292" s="5">
        <v>53.3</v>
      </c>
      <c r="I292" s="5">
        <v>47.68</v>
      </c>
      <c r="J292">
        <v>49</v>
      </c>
      <c r="K292" t="s">
        <v>15</v>
      </c>
      <c r="L292">
        <f t="shared" si="19"/>
        <v>6</v>
      </c>
      <c r="M292">
        <v>11</v>
      </c>
      <c r="N292">
        <f t="shared" si="16"/>
        <v>0</v>
      </c>
      <c r="O292" t="str">
        <f xml:space="preserve"> IF(AND(Table1[[#This Row],[Actual_Lead_Time]] &lt;= Table1[[#This Row],[Standard_Lead_Time]], OR(ISBLANK(J292), J292 = 0)), "OTIF", "Non-OTIF")</f>
        <v>Non-OTIF</v>
      </c>
      <c r="P292">
        <f>IF(Table1[[#This Row],[OTIF_Status]] = "OTIF", 1, 0)</f>
        <v>0</v>
      </c>
      <c r="Q292" s="5">
        <f t="shared" si="17"/>
        <v>64119.899999999994</v>
      </c>
      <c r="R292" s="5">
        <f t="shared" si="18"/>
        <v>57359.040000000001</v>
      </c>
      <c r="S292" s="5">
        <f>Table1[[#This Row],[Total_Line_Spend]]-Table1[[#This Row],[Negotiated_Total]]</f>
        <v>6760.8599999999933</v>
      </c>
      <c r="T292" t="str">
        <f xml:space="preserve"> IF(Table1[[#This Row],[Delay_Days]] &gt; 4, "High Risk", IF(Table1[[#This Row],[Delay_Days]] &gt; 0, "Medium Risk", "Low Risk"))</f>
        <v>Low Risk</v>
      </c>
    </row>
    <row r="293" spans="1:20" x14ac:dyDescent="0.25">
      <c r="A293" t="s">
        <v>318</v>
      </c>
      <c r="B293" t="s">
        <v>804</v>
      </c>
      <c r="C293" s="1">
        <v>44657</v>
      </c>
      <c r="D293" s="1">
        <v>44658</v>
      </c>
      <c r="E293" t="s">
        <v>39</v>
      </c>
      <c r="F293" t="s">
        <v>18</v>
      </c>
      <c r="G293">
        <v>1126</v>
      </c>
      <c r="H293" s="5">
        <v>58.8</v>
      </c>
      <c r="I293" s="5">
        <v>52.22</v>
      </c>
      <c r="K293" t="s">
        <v>15</v>
      </c>
      <c r="L293">
        <f t="shared" si="19"/>
        <v>1</v>
      </c>
      <c r="M293">
        <v>11</v>
      </c>
      <c r="N293">
        <f t="shared" si="16"/>
        <v>0</v>
      </c>
      <c r="O293" t="str">
        <f xml:space="preserve"> IF(AND(Table1[[#This Row],[Actual_Lead_Time]] &lt;= Table1[[#This Row],[Standard_Lead_Time]], OR(ISBLANK(J293), J293 = 0)), "OTIF", "Non-OTIF")</f>
        <v>OTIF</v>
      </c>
      <c r="P293">
        <f>IF(Table1[[#This Row],[OTIF_Status]] = "OTIF", 1, 0)</f>
        <v>1</v>
      </c>
      <c r="Q293" s="5">
        <f t="shared" si="17"/>
        <v>66208.800000000003</v>
      </c>
      <c r="R293" s="5">
        <f t="shared" si="18"/>
        <v>58799.72</v>
      </c>
      <c r="S293" s="5">
        <f>Table1[[#This Row],[Total_Line_Spend]]-Table1[[#This Row],[Negotiated_Total]]</f>
        <v>7409.0800000000017</v>
      </c>
      <c r="T293" t="str">
        <f xml:space="preserve"> IF(Table1[[#This Row],[Delay_Days]] &gt; 4, "High Risk", IF(Table1[[#This Row],[Delay_Days]] &gt; 0, "Medium Risk", "Low Risk"))</f>
        <v>Low Risk</v>
      </c>
    </row>
    <row r="294" spans="1:20" x14ac:dyDescent="0.25">
      <c r="A294" t="s">
        <v>319</v>
      </c>
      <c r="B294" t="s">
        <v>808</v>
      </c>
      <c r="C294" s="1">
        <v>44804</v>
      </c>
      <c r="D294" s="1">
        <v>44816</v>
      </c>
      <c r="E294" t="s">
        <v>24</v>
      </c>
      <c r="F294" t="s">
        <v>18</v>
      </c>
      <c r="G294">
        <v>1757</v>
      </c>
      <c r="H294" s="5">
        <v>15.18</v>
      </c>
      <c r="I294" s="5">
        <v>13.06</v>
      </c>
      <c r="J294">
        <v>63</v>
      </c>
      <c r="K294" t="s">
        <v>15</v>
      </c>
      <c r="L294">
        <f t="shared" si="19"/>
        <v>12</v>
      </c>
      <c r="M294">
        <v>11</v>
      </c>
      <c r="N294">
        <f t="shared" si="16"/>
        <v>1</v>
      </c>
      <c r="O294" t="str">
        <f xml:space="preserve"> IF(AND(Table1[[#This Row],[Actual_Lead_Time]] &lt;= Table1[[#This Row],[Standard_Lead_Time]], OR(ISBLANK(J294), J294 = 0)), "OTIF", "Non-OTIF")</f>
        <v>Non-OTIF</v>
      </c>
      <c r="P294">
        <f>IF(Table1[[#This Row],[OTIF_Status]] = "OTIF", 1, 0)</f>
        <v>0</v>
      </c>
      <c r="Q294" s="5">
        <f t="shared" si="17"/>
        <v>26671.26</v>
      </c>
      <c r="R294" s="5">
        <f t="shared" si="18"/>
        <v>22946.420000000002</v>
      </c>
      <c r="S294" s="5">
        <f>Table1[[#This Row],[Total_Line_Spend]]-Table1[[#This Row],[Negotiated_Total]]</f>
        <v>3724.8399999999965</v>
      </c>
      <c r="T294" t="str">
        <f xml:space="preserve"> IF(Table1[[#This Row],[Delay_Days]] &gt; 4, "High Risk", IF(Table1[[#This Row],[Delay_Days]] &gt; 0, "Medium Risk", "Low Risk"))</f>
        <v>Medium Risk</v>
      </c>
    </row>
    <row r="295" spans="1:20" x14ac:dyDescent="0.25">
      <c r="A295" t="s">
        <v>320</v>
      </c>
      <c r="B295" t="s">
        <v>808</v>
      </c>
      <c r="C295" s="1">
        <v>44732</v>
      </c>
      <c r="D295" s="1">
        <v>44740</v>
      </c>
      <c r="E295" t="s">
        <v>21</v>
      </c>
      <c r="F295" t="s">
        <v>18</v>
      </c>
      <c r="G295">
        <v>779</v>
      </c>
      <c r="H295" s="5">
        <v>41.3</v>
      </c>
      <c r="I295" s="5">
        <v>36.28</v>
      </c>
      <c r="J295">
        <v>20</v>
      </c>
      <c r="K295" t="s">
        <v>15</v>
      </c>
      <c r="L295">
        <f t="shared" si="19"/>
        <v>8</v>
      </c>
      <c r="M295">
        <v>11</v>
      </c>
      <c r="N295">
        <f t="shared" si="16"/>
        <v>0</v>
      </c>
      <c r="O295" t="str">
        <f xml:space="preserve"> IF(AND(Table1[[#This Row],[Actual_Lead_Time]] &lt;= Table1[[#This Row],[Standard_Lead_Time]], OR(ISBLANK(J295), J295 = 0)), "OTIF", "Non-OTIF")</f>
        <v>Non-OTIF</v>
      </c>
      <c r="P295">
        <f>IF(Table1[[#This Row],[OTIF_Status]] = "OTIF", 1, 0)</f>
        <v>0</v>
      </c>
      <c r="Q295" s="5">
        <f t="shared" si="17"/>
        <v>32172.699999999997</v>
      </c>
      <c r="R295" s="5">
        <f t="shared" si="18"/>
        <v>28262.120000000003</v>
      </c>
      <c r="S295" s="5">
        <f>Table1[[#This Row],[Total_Line_Spend]]-Table1[[#This Row],[Negotiated_Total]]</f>
        <v>3910.5799999999945</v>
      </c>
      <c r="T295" t="str">
        <f xml:space="preserve"> IF(Table1[[#This Row],[Delay_Days]] &gt; 4, "High Risk", IF(Table1[[#This Row],[Delay_Days]] &gt; 0, "Medium Risk", "Low Risk"))</f>
        <v>Low Risk</v>
      </c>
    </row>
    <row r="296" spans="1:20" x14ac:dyDescent="0.25">
      <c r="A296" t="s">
        <v>321</v>
      </c>
      <c r="B296" t="s">
        <v>805</v>
      </c>
      <c r="C296" s="1">
        <v>44978</v>
      </c>
      <c r="D296" s="1">
        <v>44979</v>
      </c>
      <c r="E296" t="s">
        <v>13</v>
      </c>
      <c r="F296" t="s">
        <v>18</v>
      </c>
      <c r="G296">
        <v>1745</v>
      </c>
      <c r="H296" s="5">
        <v>23.53</v>
      </c>
      <c r="I296" s="5">
        <v>22.57</v>
      </c>
      <c r="J296">
        <v>282</v>
      </c>
      <c r="K296" t="s">
        <v>27</v>
      </c>
      <c r="L296">
        <f t="shared" si="19"/>
        <v>1</v>
      </c>
      <c r="M296">
        <v>11</v>
      </c>
      <c r="N296">
        <f t="shared" si="16"/>
        <v>0</v>
      </c>
      <c r="O296" t="str">
        <f xml:space="preserve"> IF(AND(Table1[[#This Row],[Actual_Lead_Time]] &lt;= Table1[[#This Row],[Standard_Lead_Time]], OR(ISBLANK(J296), J296 = 0)), "OTIF", "Non-OTIF")</f>
        <v>Non-OTIF</v>
      </c>
      <c r="P296">
        <f>IF(Table1[[#This Row],[OTIF_Status]] = "OTIF", 1, 0)</f>
        <v>0</v>
      </c>
      <c r="Q296" s="5">
        <f t="shared" si="17"/>
        <v>41059.85</v>
      </c>
      <c r="R296" s="5">
        <f t="shared" si="18"/>
        <v>39384.65</v>
      </c>
      <c r="S296" s="5">
        <f>Table1[[#This Row],[Total_Line_Spend]]-Table1[[#This Row],[Negotiated_Total]]</f>
        <v>1675.1999999999971</v>
      </c>
      <c r="T296" t="str">
        <f xml:space="preserve"> IF(Table1[[#This Row],[Delay_Days]] &gt; 4, "High Risk", IF(Table1[[#This Row],[Delay_Days]] &gt; 0, "Medium Risk", "Low Risk"))</f>
        <v>Low Risk</v>
      </c>
    </row>
    <row r="297" spans="1:20" x14ac:dyDescent="0.25">
      <c r="A297" t="s">
        <v>322</v>
      </c>
      <c r="B297" t="s">
        <v>805</v>
      </c>
      <c r="C297" s="1">
        <v>45059</v>
      </c>
      <c r="D297" s="1">
        <v>45061</v>
      </c>
      <c r="E297" t="s">
        <v>26</v>
      </c>
      <c r="F297" t="s">
        <v>18</v>
      </c>
      <c r="G297">
        <v>1783</v>
      </c>
      <c r="H297" s="5">
        <v>16.96</v>
      </c>
      <c r="I297" s="5">
        <v>15.8</v>
      </c>
      <c r="J297">
        <v>295</v>
      </c>
      <c r="K297" t="s">
        <v>15</v>
      </c>
      <c r="L297">
        <f t="shared" si="19"/>
        <v>2</v>
      </c>
      <c r="M297">
        <v>11</v>
      </c>
      <c r="N297">
        <f t="shared" si="16"/>
        <v>0</v>
      </c>
      <c r="O297" t="str">
        <f xml:space="preserve"> IF(AND(Table1[[#This Row],[Actual_Lead_Time]] &lt;= Table1[[#This Row],[Standard_Lead_Time]], OR(ISBLANK(J297), J297 = 0)), "OTIF", "Non-OTIF")</f>
        <v>Non-OTIF</v>
      </c>
      <c r="P297">
        <f>IF(Table1[[#This Row],[OTIF_Status]] = "OTIF", 1, 0)</f>
        <v>0</v>
      </c>
      <c r="Q297" s="5">
        <f t="shared" si="17"/>
        <v>30239.68</v>
      </c>
      <c r="R297" s="5">
        <f t="shared" si="18"/>
        <v>28171.4</v>
      </c>
      <c r="S297" s="5">
        <f>Table1[[#This Row],[Total_Line_Spend]]-Table1[[#This Row],[Negotiated_Total]]</f>
        <v>2068.2799999999988</v>
      </c>
      <c r="T297" t="str">
        <f xml:space="preserve"> IF(Table1[[#This Row],[Delay_Days]] &gt; 4, "High Risk", IF(Table1[[#This Row],[Delay_Days]] &gt; 0, "Medium Risk", "Low Risk"))</f>
        <v>Low Risk</v>
      </c>
    </row>
    <row r="298" spans="1:20" x14ac:dyDescent="0.25">
      <c r="A298" t="s">
        <v>323</v>
      </c>
      <c r="B298" t="s">
        <v>804</v>
      </c>
      <c r="C298" s="1">
        <v>45054</v>
      </c>
      <c r="D298" s="1">
        <v>45068</v>
      </c>
      <c r="E298" t="s">
        <v>13</v>
      </c>
      <c r="F298" t="s">
        <v>33</v>
      </c>
      <c r="G298">
        <v>1489</v>
      </c>
      <c r="H298" s="5">
        <v>107.02</v>
      </c>
      <c r="I298" s="5">
        <v>93.3</v>
      </c>
      <c r="K298" t="s">
        <v>15</v>
      </c>
      <c r="L298">
        <f t="shared" si="19"/>
        <v>14</v>
      </c>
      <c r="M298">
        <v>11</v>
      </c>
      <c r="N298">
        <f t="shared" si="16"/>
        <v>3</v>
      </c>
      <c r="O298" t="str">
        <f xml:space="preserve"> IF(AND(Table1[[#This Row],[Actual_Lead_Time]] &lt;= Table1[[#This Row],[Standard_Lead_Time]], OR(ISBLANK(J298), J298 = 0)), "OTIF", "Non-OTIF")</f>
        <v>Non-OTIF</v>
      </c>
      <c r="P298">
        <f>IF(Table1[[#This Row],[OTIF_Status]] = "OTIF", 1, 0)</f>
        <v>0</v>
      </c>
      <c r="Q298" s="5">
        <f t="shared" si="17"/>
        <v>159352.78</v>
      </c>
      <c r="R298" s="5">
        <f t="shared" si="18"/>
        <v>138923.69999999998</v>
      </c>
      <c r="S298" s="5">
        <f>Table1[[#This Row],[Total_Line_Spend]]-Table1[[#This Row],[Negotiated_Total]]</f>
        <v>20429.080000000016</v>
      </c>
      <c r="T298" t="str">
        <f xml:space="preserve"> IF(Table1[[#This Row],[Delay_Days]] &gt; 4, "High Risk", IF(Table1[[#This Row],[Delay_Days]] &gt; 0, "Medium Risk", "Low Risk"))</f>
        <v>Medium Risk</v>
      </c>
    </row>
    <row r="299" spans="1:20" x14ac:dyDescent="0.25">
      <c r="A299" t="s">
        <v>324</v>
      </c>
      <c r="B299" t="s">
        <v>804</v>
      </c>
      <c r="C299" s="1">
        <v>44780</v>
      </c>
      <c r="D299" s="1">
        <v>44783</v>
      </c>
      <c r="E299" t="s">
        <v>13</v>
      </c>
      <c r="F299" t="s">
        <v>18</v>
      </c>
      <c r="G299">
        <v>296</v>
      </c>
      <c r="H299" s="5">
        <v>40.380000000000003</v>
      </c>
      <c r="I299" s="5">
        <v>35.25</v>
      </c>
      <c r="K299" t="s">
        <v>15</v>
      </c>
      <c r="L299">
        <f t="shared" si="19"/>
        <v>3</v>
      </c>
      <c r="M299">
        <v>11</v>
      </c>
      <c r="N299">
        <f t="shared" si="16"/>
        <v>0</v>
      </c>
      <c r="O299" t="str">
        <f xml:space="preserve"> IF(AND(Table1[[#This Row],[Actual_Lead_Time]] &lt;= Table1[[#This Row],[Standard_Lead_Time]], OR(ISBLANK(J299), J299 = 0)), "OTIF", "Non-OTIF")</f>
        <v>OTIF</v>
      </c>
      <c r="P299">
        <f>IF(Table1[[#This Row],[OTIF_Status]] = "OTIF", 1, 0)</f>
        <v>1</v>
      </c>
      <c r="Q299" s="5">
        <f t="shared" si="17"/>
        <v>11952.480000000001</v>
      </c>
      <c r="R299" s="5">
        <f t="shared" si="18"/>
        <v>10434</v>
      </c>
      <c r="S299" s="5">
        <f>Table1[[#This Row],[Total_Line_Spend]]-Table1[[#This Row],[Negotiated_Total]]</f>
        <v>1518.4800000000014</v>
      </c>
      <c r="T299" t="str">
        <f xml:space="preserve"> IF(Table1[[#This Row],[Delay_Days]] &gt; 4, "High Risk", IF(Table1[[#This Row],[Delay_Days]] &gt; 0, "Medium Risk", "Low Risk"))</f>
        <v>Low Risk</v>
      </c>
    </row>
    <row r="300" spans="1:20" x14ac:dyDescent="0.25">
      <c r="A300" t="s">
        <v>325</v>
      </c>
      <c r="B300" t="s">
        <v>808</v>
      </c>
      <c r="C300" s="1">
        <v>44972</v>
      </c>
      <c r="D300" s="1">
        <v>44984</v>
      </c>
      <c r="E300" t="s">
        <v>21</v>
      </c>
      <c r="F300" t="s">
        <v>18</v>
      </c>
      <c r="G300">
        <v>885</v>
      </c>
      <c r="H300" s="5">
        <v>88.28</v>
      </c>
      <c r="I300" s="5">
        <v>80.8</v>
      </c>
      <c r="J300">
        <v>31</v>
      </c>
      <c r="K300" t="s">
        <v>15</v>
      </c>
      <c r="L300">
        <f t="shared" si="19"/>
        <v>12</v>
      </c>
      <c r="M300">
        <v>11</v>
      </c>
      <c r="N300">
        <f t="shared" si="16"/>
        <v>1</v>
      </c>
      <c r="O300" t="str">
        <f xml:space="preserve"> IF(AND(Table1[[#This Row],[Actual_Lead_Time]] &lt;= Table1[[#This Row],[Standard_Lead_Time]], OR(ISBLANK(J300), J300 = 0)), "OTIF", "Non-OTIF")</f>
        <v>Non-OTIF</v>
      </c>
      <c r="P300">
        <f>IF(Table1[[#This Row],[OTIF_Status]] = "OTIF", 1, 0)</f>
        <v>0</v>
      </c>
      <c r="Q300" s="5">
        <f t="shared" si="17"/>
        <v>78127.8</v>
      </c>
      <c r="R300" s="5">
        <f t="shared" si="18"/>
        <v>71508</v>
      </c>
      <c r="S300" s="5">
        <f>Table1[[#This Row],[Total_Line_Spend]]-Table1[[#This Row],[Negotiated_Total]]</f>
        <v>6619.8000000000029</v>
      </c>
      <c r="T300" t="str">
        <f xml:space="preserve"> IF(Table1[[#This Row],[Delay_Days]] &gt; 4, "High Risk", IF(Table1[[#This Row],[Delay_Days]] &gt; 0, "Medium Risk", "Low Risk"))</f>
        <v>Medium Risk</v>
      </c>
    </row>
    <row r="301" spans="1:20" x14ac:dyDescent="0.25">
      <c r="A301" t="s">
        <v>326</v>
      </c>
      <c r="B301" t="s">
        <v>808</v>
      </c>
      <c r="C301" s="1">
        <v>44622</v>
      </c>
      <c r="D301" s="1">
        <v>44626</v>
      </c>
      <c r="E301" t="s">
        <v>26</v>
      </c>
      <c r="F301" t="s">
        <v>35</v>
      </c>
      <c r="G301">
        <v>1512</v>
      </c>
      <c r="H301" s="5">
        <v>33.25</v>
      </c>
      <c r="I301" s="5">
        <v>30.15</v>
      </c>
      <c r="J301">
        <v>53</v>
      </c>
      <c r="K301" t="s">
        <v>15</v>
      </c>
      <c r="L301">
        <f t="shared" si="19"/>
        <v>4</v>
      </c>
      <c r="M301">
        <v>11</v>
      </c>
      <c r="N301">
        <f t="shared" si="16"/>
        <v>0</v>
      </c>
      <c r="O301" t="str">
        <f xml:space="preserve"> IF(AND(Table1[[#This Row],[Actual_Lead_Time]] &lt;= Table1[[#This Row],[Standard_Lead_Time]], OR(ISBLANK(J301), J301 = 0)), "OTIF", "Non-OTIF")</f>
        <v>Non-OTIF</v>
      </c>
      <c r="P301">
        <f>IF(Table1[[#This Row],[OTIF_Status]] = "OTIF", 1, 0)</f>
        <v>0</v>
      </c>
      <c r="Q301" s="5">
        <f t="shared" si="17"/>
        <v>50274</v>
      </c>
      <c r="R301" s="5">
        <f t="shared" si="18"/>
        <v>45586.799999999996</v>
      </c>
      <c r="S301" s="5">
        <f>Table1[[#This Row],[Total_Line_Spend]]-Table1[[#This Row],[Negotiated_Total]]</f>
        <v>4687.2000000000044</v>
      </c>
      <c r="T301" t="str">
        <f xml:space="preserve"> IF(Table1[[#This Row],[Delay_Days]] &gt; 4, "High Risk", IF(Table1[[#This Row],[Delay_Days]] &gt; 0, "Medium Risk", "Low Risk"))</f>
        <v>Low Risk</v>
      </c>
    </row>
    <row r="302" spans="1:20" x14ac:dyDescent="0.25">
      <c r="A302" t="s">
        <v>327</v>
      </c>
      <c r="B302" t="s">
        <v>805</v>
      </c>
      <c r="C302" s="1">
        <v>44730</v>
      </c>
      <c r="D302" s="1">
        <v>44738</v>
      </c>
      <c r="E302" t="s">
        <v>13</v>
      </c>
      <c r="F302" t="s">
        <v>18</v>
      </c>
      <c r="G302">
        <v>252</v>
      </c>
      <c r="H302" s="5">
        <v>73.12</v>
      </c>
      <c r="I302" s="5">
        <v>67.64</v>
      </c>
      <c r="K302" t="s">
        <v>27</v>
      </c>
      <c r="L302">
        <f t="shared" si="19"/>
        <v>8</v>
      </c>
      <c r="M302">
        <v>11</v>
      </c>
      <c r="N302">
        <f t="shared" si="16"/>
        <v>0</v>
      </c>
      <c r="O302" t="str">
        <f xml:space="preserve"> IF(AND(Table1[[#This Row],[Actual_Lead_Time]] &lt;= Table1[[#This Row],[Standard_Lead_Time]], OR(ISBLANK(J302), J302 = 0)), "OTIF", "Non-OTIF")</f>
        <v>OTIF</v>
      </c>
      <c r="P302">
        <f>IF(Table1[[#This Row],[OTIF_Status]] = "OTIF", 1, 0)</f>
        <v>1</v>
      </c>
      <c r="Q302" s="5">
        <f t="shared" si="17"/>
        <v>18426.240000000002</v>
      </c>
      <c r="R302" s="5">
        <f t="shared" si="18"/>
        <v>17045.28</v>
      </c>
      <c r="S302" s="5">
        <f>Table1[[#This Row],[Total_Line_Spend]]-Table1[[#This Row],[Negotiated_Total]]</f>
        <v>1380.9600000000028</v>
      </c>
      <c r="T302" t="str">
        <f xml:space="preserve"> IF(Table1[[#This Row],[Delay_Days]] &gt; 4, "High Risk", IF(Table1[[#This Row],[Delay_Days]] &gt; 0, "Medium Risk", "Low Risk"))</f>
        <v>Low Risk</v>
      </c>
    </row>
    <row r="303" spans="1:20" x14ac:dyDescent="0.25">
      <c r="A303" t="s">
        <v>328</v>
      </c>
      <c r="B303" t="s">
        <v>804</v>
      </c>
      <c r="C303" s="1">
        <v>44950</v>
      </c>
      <c r="D303" s="1">
        <v>44961</v>
      </c>
      <c r="E303" t="s">
        <v>39</v>
      </c>
      <c r="F303" t="s">
        <v>14</v>
      </c>
      <c r="G303">
        <v>1257</v>
      </c>
      <c r="H303" s="5">
        <v>83.13</v>
      </c>
      <c r="I303" s="5">
        <v>81.89</v>
      </c>
      <c r="J303">
        <v>30</v>
      </c>
      <c r="K303" t="s">
        <v>15</v>
      </c>
      <c r="L303">
        <f t="shared" si="19"/>
        <v>11</v>
      </c>
      <c r="M303">
        <v>11</v>
      </c>
      <c r="N303">
        <f t="shared" si="16"/>
        <v>0</v>
      </c>
      <c r="O303" t="str">
        <f xml:space="preserve"> IF(AND(Table1[[#This Row],[Actual_Lead_Time]] &lt;= Table1[[#This Row],[Standard_Lead_Time]], OR(ISBLANK(J303), J303 = 0)), "OTIF", "Non-OTIF")</f>
        <v>Non-OTIF</v>
      </c>
      <c r="P303">
        <f>IF(Table1[[#This Row],[OTIF_Status]] = "OTIF", 1, 0)</f>
        <v>0</v>
      </c>
      <c r="Q303" s="5">
        <f t="shared" si="17"/>
        <v>104494.40999999999</v>
      </c>
      <c r="R303" s="5">
        <f t="shared" si="18"/>
        <v>102935.73</v>
      </c>
      <c r="S303" s="5">
        <f>Table1[[#This Row],[Total_Line_Spend]]-Table1[[#This Row],[Negotiated_Total]]</f>
        <v>1558.679999999993</v>
      </c>
      <c r="T303" t="str">
        <f xml:space="preserve"> IF(Table1[[#This Row],[Delay_Days]] &gt; 4, "High Risk", IF(Table1[[#This Row],[Delay_Days]] &gt; 0, "Medium Risk", "Low Risk"))</f>
        <v>Low Risk</v>
      </c>
    </row>
    <row r="304" spans="1:20" x14ac:dyDescent="0.25">
      <c r="A304" t="s">
        <v>329</v>
      </c>
      <c r="B304" t="s">
        <v>804</v>
      </c>
      <c r="C304" s="1">
        <v>44564</v>
      </c>
      <c r="D304" s="1">
        <v>44581</v>
      </c>
      <c r="E304" t="s">
        <v>24</v>
      </c>
      <c r="F304" t="s">
        <v>18</v>
      </c>
      <c r="G304">
        <v>172</v>
      </c>
      <c r="H304" s="5">
        <v>63.61</v>
      </c>
      <c r="I304" s="5">
        <v>55.92</v>
      </c>
      <c r="J304">
        <v>4</v>
      </c>
      <c r="K304" t="s">
        <v>15</v>
      </c>
      <c r="L304">
        <f t="shared" si="19"/>
        <v>17</v>
      </c>
      <c r="M304">
        <v>11</v>
      </c>
      <c r="N304">
        <f t="shared" si="16"/>
        <v>6</v>
      </c>
      <c r="O304" t="str">
        <f xml:space="preserve"> IF(AND(Table1[[#This Row],[Actual_Lead_Time]] &lt;= Table1[[#This Row],[Standard_Lead_Time]], OR(ISBLANK(J304), J304 = 0)), "OTIF", "Non-OTIF")</f>
        <v>Non-OTIF</v>
      </c>
      <c r="P304">
        <f>IF(Table1[[#This Row],[OTIF_Status]] = "OTIF", 1, 0)</f>
        <v>0</v>
      </c>
      <c r="Q304" s="5">
        <f t="shared" si="17"/>
        <v>10940.92</v>
      </c>
      <c r="R304" s="5">
        <f t="shared" si="18"/>
        <v>9618.24</v>
      </c>
      <c r="S304" s="5">
        <f>Table1[[#This Row],[Total_Line_Spend]]-Table1[[#This Row],[Negotiated_Total]]</f>
        <v>1322.6800000000003</v>
      </c>
      <c r="T304" t="str">
        <f xml:space="preserve"> IF(Table1[[#This Row],[Delay_Days]] &gt; 4, "High Risk", IF(Table1[[#This Row],[Delay_Days]] &gt; 0, "Medium Risk", "Low Risk"))</f>
        <v>High Risk</v>
      </c>
    </row>
    <row r="305" spans="1:20" x14ac:dyDescent="0.25">
      <c r="A305" t="s">
        <v>330</v>
      </c>
      <c r="B305" t="s">
        <v>808</v>
      </c>
      <c r="C305" s="1">
        <v>44961</v>
      </c>
      <c r="D305" s="1">
        <v>44962</v>
      </c>
      <c r="E305" t="s">
        <v>24</v>
      </c>
      <c r="F305" t="s">
        <v>35</v>
      </c>
      <c r="G305">
        <v>450</v>
      </c>
      <c r="H305" s="5">
        <v>55.85</v>
      </c>
      <c r="I305" s="5">
        <v>49.88</v>
      </c>
      <c r="J305">
        <v>9</v>
      </c>
      <c r="K305" t="s">
        <v>15</v>
      </c>
      <c r="L305">
        <f t="shared" si="19"/>
        <v>1</v>
      </c>
      <c r="M305">
        <v>11</v>
      </c>
      <c r="N305">
        <f t="shared" si="16"/>
        <v>0</v>
      </c>
      <c r="O305" t="str">
        <f xml:space="preserve"> IF(AND(Table1[[#This Row],[Actual_Lead_Time]] &lt;= Table1[[#This Row],[Standard_Lead_Time]], OR(ISBLANK(J305), J305 = 0)), "OTIF", "Non-OTIF")</f>
        <v>Non-OTIF</v>
      </c>
      <c r="P305">
        <f>IF(Table1[[#This Row],[OTIF_Status]] = "OTIF", 1, 0)</f>
        <v>0</v>
      </c>
      <c r="Q305" s="5">
        <f t="shared" si="17"/>
        <v>25132.5</v>
      </c>
      <c r="R305" s="5">
        <f t="shared" si="18"/>
        <v>22446</v>
      </c>
      <c r="S305" s="5">
        <f>Table1[[#This Row],[Total_Line_Spend]]-Table1[[#This Row],[Negotiated_Total]]</f>
        <v>2686.5</v>
      </c>
      <c r="T305" t="str">
        <f xml:space="preserve"> IF(Table1[[#This Row],[Delay_Days]] &gt; 4, "High Risk", IF(Table1[[#This Row],[Delay_Days]] &gt; 0, "Medium Risk", "Low Risk"))</f>
        <v>Low Risk</v>
      </c>
    </row>
    <row r="306" spans="1:20" x14ac:dyDescent="0.25">
      <c r="A306" t="s">
        <v>331</v>
      </c>
      <c r="B306" t="s">
        <v>806</v>
      </c>
      <c r="C306" s="1">
        <v>44833</v>
      </c>
      <c r="D306" s="1">
        <v>44849</v>
      </c>
      <c r="E306" t="s">
        <v>39</v>
      </c>
      <c r="F306" t="s">
        <v>18</v>
      </c>
      <c r="G306">
        <v>816</v>
      </c>
      <c r="H306" s="5">
        <v>48.95</v>
      </c>
      <c r="I306" s="5">
        <v>43.42</v>
      </c>
      <c r="J306">
        <v>45</v>
      </c>
      <c r="K306" t="s">
        <v>15</v>
      </c>
      <c r="L306">
        <f t="shared" si="19"/>
        <v>16</v>
      </c>
      <c r="M306">
        <v>11</v>
      </c>
      <c r="N306">
        <f t="shared" si="16"/>
        <v>5</v>
      </c>
      <c r="O306" t="str">
        <f xml:space="preserve"> IF(AND(Table1[[#This Row],[Actual_Lead_Time]] &lt;= Table1[[#This Row],[Standard_Lead_Time]], OR(ISBLANK(J306), J306 = 0)), "OTIF", "Non-OTIF")</f>
        <v>Non-OTIF</v>
      </c>
      <c r="P306">
        <f>IF(Table1[[#This Row],[OTIF_Status]] = "OTIF", 1, 0)</f>
        <v>0</v>
      </c>
      <c r="Q306" s="5">
        <f t="shared" si="17"/>
        <v>39943.200000000004</v>
      </c>
      <c r="R306" s="5">
        <f t="shared" si="18"/>
        <v>35430.720000000001</v>
      </c>
      <c r="S306" s="5">
        <f>Table1[[#This Row],[Total_Line_Spend]]-Table1[[#This Row],[Negotiated_Total]]</f>
        <v>4512.4800000000032</v>
      </c>
      <c r="T306" t="str">
        <f xml:space="preserve"> IF(Table1[[#This Row],[Delay_Days]] &gt; 4, "High Risk", IF(Table1[[#This Row],[Delay_Days]] &gt; 0, "Medium Risk", "Low Risk"))</f>
        <v>High Risk</v>
      </c>
    </row>
    <row r="307" spans="1:20" x14ac:dyDescent="0.25">
      <c r="A307" t="s">
        <v>332</v>
      </c>
      <c r="B307" t="s">
        <v>808</v>
      </c>
      <c r="C307" s="1">
        <v>45027</v>
      </c>
      <c r="D307" s="1">
        <v>45041</v>
      </c>
      <c r="E307" t="s">
        <v>24</v>
      </c>
      <c r="F307" t="s">
        <v>18</v>
      </c>
      <c r="G307">
        <v>343</v>
      </c>
      <c r="H307" s="5">
        <v>44.5</v>
      </c>
      <c r="I307" s="5">
        <v>38.57</v>
      </c>
      <c r="J307">
        <v>7</v>
      </c>
      <c r="K307" t="s">
        <v>15</v>
      </c>
      <c r="L307">
        <f t="shared" si="19"/>
        <v>14</v>
      </c>
      <c r="M307">
        <v>11</v>
      </c>
      <c r="N307">
        <f t="shared" si="16"/>
        <v>3</v>
      </c>
      <c r="O307" t="str">
        <f xml:space="preserve"> IF(AND(Table1[[#This Row],[Actual_Lead_Time]] &lt;= Table1[[#This Row],[Standard_Lead_Time]], OR(ISBLANK(J307), J307 = 0)), "OTIF", "Non-OTIF")</f>
        <v>Non-OTIF</v>
      </c>
      <c r="P307">
        <f>IF(Table1[[#This Row],[OTIF_Status]] = "OTIF", 1, 0)</f>
        <v>0</v>
      </c>
      <c r="Q307" s="5">
        <f t="shared" si="17"/>
        <v>15263.5</v>
      </c>
      <c r="R307" s="5">
        <f t="shared" si="18"/>
        <v>13229.51</v>
      </c>
      <c r="S307" s="5">
        <f>Table1[[#This Row],[Total_Line_Spend]]-Table1[[#This Row],[Negotiated_Total]]</f>
        <v>2033.9899999999998</v>
      </c>
      <c r="T307" t="str">
        <f xml:space="preserve"> IF(Table1[[#This Row],[Delay_Days]] &gt; 4, "High Risk", IF(Table1[[#This Row],[Delay_Days]] &gt; 0, "Medium Risk", "Low Risk"))</f>
        <v>Medium Risk</v>
      </c>
    </row>
    <row r="308" spans="1:20" x14ac:dyDescent="0.25">
      <c r="A308" t="s">
        <v>333</v>
      </c>
      <c r="B308" t="s">
        <v>806</v>
      </c>
      <c r="C308" s="1">
        <v>44854</v>
      </c>
      <c r="D308" s="1">
        <v>44870</v>
      </c>
      <c r="E308" t="s">
        <v>21</v>
      </c>
      <c r="F308" t="s">
        <v>18</v>
      </c>
      <c r="G308">
        <v>329</v>
      </c>
      <c r="H308" s="5">
        <v>97.87</v>
      </c>
      <c r="I308" s="5">
        <v>85.35</v>
      </c>
      <c r="J308">
        <v>21</v>
      </c>
      <c r="K308" t="s">
        <v>27</v>
      </c>
      <c r="L308">
        <f t="shared" si="19"/>
        <v>16</v>
      </c>
      <c r="M308">
        <v>11</v>
      </c>
      <c r="N308">
        <f t="shared" si="16"/>
        <v>5</v>
      </c>
      <c r="O308" t="str">
        <f xml:space="preserve"> IF(AND(Table1[[#This Row],[Actual_Lead_Time]] &lt;= Table1[[#This Row],[Standard_Lead_Time]], OR(ISBLANK(J308), J308 = 0)), "OTIF", "Non-OTIF")</f>
        <v>Non-OTIF</v>
      </c>
      <c r="P308">
        <f>IF(Table1[[#This Row],[OTIF_Status]] = "OTIF", 1, 0)</f>
        <v>0</v>
      </c>
      <c r="Q308" s="5">
        <f t="shared" si="17"/>
        <v>32199.230000000003</v>
      </c>
      <c r="R308" s="5">
        <f t="shared" si="18"/>
        <v>28080.149999999998</v>
      </c>
      <c r="S308" s="5">
        <f>Table1[[#This Row],[Total_Line_Spend]]-Table1[[#This Row],[Negotiated_Total]]</f>
        <v>4119.0800000000054</v>
      </c>
      <c r="T308" t="str">
        <f xml:space="preserve"> IF(Table1[[#This Row],[Delay_Days]] &gt; 4, "High Risk", IF(Table1[[#This Row],[Delay_Days]] &gt; 0, "Medium Risk", "Low Risk"))</f>
        <v>High Risk</v>
      </c>
    </row>
    <row r="309" spans="1:20" x14ac:dyDescent="0.25">
      <c r="A309" t="s">
        <v>334</v>
      </c>
      <c r="B309" t="s">
        <v>804</v>
      </c>
      <c r="C309" s="1">
        <v>44995</v>
      </c>
      <c r="D309" s="1">
        <v>45010</v>
      </c>
      <c r="E309" t="s">
        <v>39</v>
      </c>
      <c r="F309" t="s">
        <v>18</v>
      </c>
      <c r="G309">
        <v>1910</v>
      </c>
      <c r="H309" s="5">
        <v>90.69</v>
      </c>
      <c r="I309" s="5">
        <v>85.8</v>
      </c>
      <c r="K309" t="s">
        <v>15</v>
      </c>
      <c r="L309">
        <f t="shared" si="19"/>
        <v>15</v>
      </c>
      <c r="M309">
        <v>11</v>
      </c>
      <c r="N309">
        <f t="shared" si="16"/>
        <v>4</v>
      </c>
      <c r="O309" t="str">
        <f xml:space="preserve"> IF(AND(Table1[[#This Row],[Actual_Lead_Time]] &lt;= Table1[[#This Row],[Standard_Lead_Time]], OR(ISBLANK(J309), J309 = 0)), "OTIF", "Non-OTIF")</f>
        <v>Non-OTIF</v>
      </c>
      <c r="P309">
        <f>IF(Table1[[#This Row],[OTIF_Status]] = "OTIF", 1, 0)</f>
        <v>0</v>
      </c>
      <c r="Q309" s="5">
        <f t="shared" si="17"/>
        <v>173217.9</v>
      </c>
      <c r="R309" s="5">
        <f t="shared" si="18"/>
        <v>163878</v>
      </c>
      <c r="S309" s="5">
        <f>Table1[[#This Row],[Total_Line_Spend]]-Table1[[#This Row],[Negotiated_Total]]</f>
        <v>9339.8999999999942</v>
      </c>
      <c r="T309" t="str">
        <f xml:space="preserve"> IF(Table1[[#This Row],[Delay_Days]] &gt; 4, "High Risk", IF(Table1[[#This Row],[Delay_Days]] &gt; 0, "Medium Risk", "Low Risk"))</f>
        <v>Medium Risk</v>
      </c>
    </row>
    <row r="310" spans="1:20" x14ac:dyDescent="0.25">
      <c r="A310" t="s">
        <v>335</v>
      </c>
      <c r="B310" t="s">
        <v>808</v>
      </c>
      <c r="C310" s="1">
        <v>45275</v>
      </c>
      <c r="D310" s="1">
        <v>45278</v>
      </c>
      <c r="E310" t="s">
        <v>21</v>
      </c>
      <c r="F310" t="s">
        <v>18</v>
      </c>
      <c r="G310">
        <v>933</v>
      </c>
      <c r="H310" s="5">
        <v>107.99</v>
      </c>
      <c r="I310" s="5">
        <v>104.29</v>
      </c>
      <c r="J310">
        <v>29</v>
      </c>
      <c r="K310" t="s">
        <v>15</v>
      </c>
      <c r="L310">
        <f t="shared" si="19"/>
        <v>3</v>
      </c>
      <c r="M310">
        <v>11</v>
      </c>
      <c r="N310">
        <f t="shared" si="16"/>
        <v>0</v>
      </c>
      <c r="O310" t="str">
        <f xml:space="preserve"> IF(AND(Table1[[#This Row],[Actual_Lead_Time]] &lt;= Table1[[#This Row],[Standard_Lead_Time]], OR(ISBLANK(J310), J310 = 0)), "OTIF", "Non-OTIF")</f>
        <v>Non-OTIF</v>
      </c>
      <c r="P310">
        <f>IF(Table1[[#This Row],[OTIF_Status]] = "OTIF", 1, 0)</f>
        <v>0</v>
      </c>
      <c r="Q310" s="5">
        <f t="shared" si="17"/>
        <v>100754.67</v>
      </c>
      <c r="R310" s="5">
        <f t="shared" si="18"/>
        <v>97302.57</v>
      </c>
      <c r="S310" s="5">
        <f>Table1[[#This Row],[Total_Line_Spend]]-Table1[[#This Row],[Negotiated_Total]]</f>
        <v>3452.0999999999913</v>
      </c>
      <c r="T310" t="str">
        <f xml:space="preserve"> IF(Table1[[#This Row],[Delay_Days]] &gt; 4, "High Risk", IF(Table1[[#This Row],[Delay_Days]] &gt; 0, "Medium Risk", "Low Risk"))</f>
        <v>Low Risk</v>
      </c>
    </row>
    <row r="311" spans="1:20" x14ac:dyDescent="0.25">
      <c r="A311" t="s">
        <v>336</v>
      </c>
      <c r="B311" t="s">
        <v>805</v>
      </c>
      <c r="C311" s="1">
        <v>45131</v>
      </c>
      <c r="D311" s="1">
        <v>45136</v>
      </c>
      <c r="E311" t="s">
        <v>26</v>
      </c>
      <c r="F311" t="s">
        <v>18</v>
      </c>
      <c r="G311">
        <v>1683</v>
      </c>
      <c r="H311" s="5">
        <v>23.09</v>
      </c>
      <c r="I311" s="5">
        <v>21.88</v>
      </c>
      <c r="J311">
        <v>253</v>
      </c>
      <c r="K311" t="s">
        <v>15</v>
      </c>
      <c r="L311">
        <f t="shared" si="19"/>
        <v>5</v>
      </c>
      <c r="M311">
        <v>11</v>
      </c>
      <c r="N311">
        <f t="shared" si="16"/>
        <v>0</v>
      </c>
      <c r="O311" t="str">
        <f xml:space="preserve"> IF(AND(Table1[[#This Row],[Actual_Lead_Time]] &lt;= Table1[[#This Row],[Standard_Lead_Time]], OR(ISBLANK(J311), J311 = 0)), "OTIF", "Non-OTIF")</f>
        <v>Non-OTIF</v>
      </c>
      <c r="P311">
        <f>IF(Table1[[#This Row],[OTIF_Status]] = "OTIF", 1, 0)</f>
        <v>0</v>
      </c>
      <c r="Q311" s="5">
        <f t="shared" si="17"/>
        <v>38860.47</v>
      </c>
      <c r="R311" s="5">
        <f t="shared" si="18"/>
        <v>36824.04</v>
      </c>
      <c r="S311" s="5">
        <f>Table1[[#This Row],[Total_Line_Spend]]-Table1[[#This Row],[Negotiated_Total]]</f>
        <v>2036.4300000000003</v>
      </c>
      <c r="T311" t="str">
        <f xml:space="preserve"> IF(Table1[[#This Row],[Delay_Days]] &gt; 4, "High Risk", IF(Table1[[#This Row],[Delay_Days]] &gt; 0, "Medium Risk", "Low Risk"))</f>
        <v>Low Risk</v>
      </c>
    </row>
    <row r="312" spans="1:20" x14ac:dyDescent="0.25">
      <c r="A312" t="s">
        <v>337</v>
      </c>
      <c r="B312" t="s">
        <v>807</v>
      </c>
      <c r="C312" s="1">
        <v>45239</v>
      </c>
      <c r="D312" s="1">
        <v>45248</v>
      </c>
      <c r="E312" t="s">
        <v>24</v>
      </c>
      <c r="F312" t="s">
        <v>35</v>
      </c>
      <c r="G312">
        <v>247</v>
      </c>
      <c r="H312" s="5">
        <v>84.11</v>
      </c>
      <c r="I312" s="5">
        <v>71.97</v>
      </c>
      <c r="K312" t="s">
        <v>15</v>
      </c>
      <c r="L312">
        <f t="shared" si="19"/>
        <v>9</v>
      </c>
      <c r="M312">
        <v>11</v>
      </c>
      <c r="N312">
        <f t="shared" si="16"/>
        <v>0</v>
      </c>
      <c r="O312" t="str">
        <f xml:space="preserve"> IF(AND(Table1[[#This Row],[Actual_Lead_Time]] &lt;= Table1[[#This Row],[Standard_Lead_Time]], OR(ISBLANK(J312), J312 = 0)), "OTIF", "Non-OTIF")</f>
        <v>OTIF</v>
      </c>
      <c r="P312">
        <f>IF(Table1[[#This Row],[OTIF_Status]] = "OTIF", 1, 0)</f>
        <v>1</v>
      </c>
      <c r="Q312" s="5">
        <f t="shared" si="17"/>
        <v>20775.169999999998</v>
      </c>
      <c r="R312" s="5">
        <f t="shared" si="18"/>
        <v>17776.59</v>
      </c>
      <c r="S312" s="5">
        <f>Table1[[#This Row],[Total_Line_Spend]]-Table1[[#This Row],[Negotiated_Total]]</f>
        <v>2998.5799999999981</v>
      </c>
      <c r="T312" t="str">
        <f xml:space="preserve"> IF(Table1[[#This Row],[Delay_Days]] &gt; 4, "High Risk", IF(Table1[[#This Row],[Delay_Days]] &gt; 0, "Medium Risk", "Low Risk"))</f>
        <v>Low Risk</v>
      </c>
    </row>
    <row r="313" spans="1:20" x14ac:dyDescent="0.25">
      <c r="A313" t="s">
        <v>338</v>
      </c>
      <c r="B313" t="s">
        <v>804</v>
      </c>
      <c r="C313" s="1">
        <v>45060</v>
      </c>
      <c r="D313" s="1">
        <v>45079</v>
      </c>
      <c r="E313" t="s">
        <v>21</v>
      </c>
      <c r="F313" t="s">
        <v>18</v>
      </c>
      <c r="G313">
        <v>1031</v>
      </c>
      <c r="H313" s="5">
        <v>102.01</v>
      </c>
      <c r="I313" s="5">
        <v>98.65</v>
      </c>
      <c r="K313" t="s">
        <v>15</v>
      </c>
      <c r="L313">
        <f t="shared" si="19"/>
        <v>19</v>
      </c>
      <c r="M313">
        <v>11</v>
      </c>
      <c r="N313">
        <f t="shared" si="16"/>
        <v>8</v>
      </c>
      <c r="O313" t="str">
        <f xml:space="preserve"> IF(AND(Table1[[#This Row],[Actual_Lead_Time]] &lt;= Table1[[#This Row],[Standard_Lead_Time]], OR(ISBLANK(J313), J313 = 0)), "OTIF", "Non-OTIF")</f>
        <v>Non-OTIF</v>
      </c>
      <c r="P313">
        <f>IF(Table1[[#This Row],[OTIF_Status]] = "OTIF", 1, 0)</f>
        <v>0</v>
      </c>
      <c r="Q313" s="5">
        <f t="shared" si="17"/>
        <v>105172.31000000001</v>
      </c>
      <c r="R313" s="5">
        <f t="shared" si="18"/>
        <v>101708.15000000001</v>
      </c>
      <c r="S313" s="5">
        <f>Table1[[#This Row],[Total_Line_Spend]]-Table1[[#This Row],[Negotiated_Total]]</f>
        <v>3464.1600000000035</v>
      </c>
      <c r="T313" t="str">
        <f xml:space="preserve"> IF(Table1[[#This Row],[Delay_Days]] &gt; 4, "High Risk", IF(Table1[[#This Row],[Delay_Days]] &gt; 0, "Medium Risk", "Low Risk"))</f>
        <v>High Risk</v>
      </c>
    </row>
    <row r="314" spans="1:20" x14ac:dyDescent="0.25">
      <c r="A314" t="s">
        <v>339</v>
      </c>
      <c r="B314" t="s">
        <v>804</v>
      </c>
      <c r="C314" s="1">
        <v>44720</v>
      </c>
      <c r="D314" s="1">
        <v>44731</v>
      </c>
      <c r="E314" t="s">
        <v>24</v>
      </c>
      <c r="F314" t="s">
        <v>18</v>
      </c>
      <c r="G314">
        <v>1980</v>
      </c>
      <c r="H314" s="5">
        <v>26.97</v>
      </c>
      <c r="I314" s="5">
        <v>24.16</v>
      </c>
      <c r="J314">
        <v>41</v>
      </c>
      <c r="K314" t="s">
        <v>15</v>
      </c>
      <c r="L314">
        <f t="shared" si="19"/>
        <v>11</v>
      </c>
      <c r="M314">
        <v>11</v>
      </c>
      <c r="N314">
        <f t="shared" si="16"/>
        <v>0</v>
      </c>
      <c r="O314" t="str">
        <f xml:space="preserve"> IF(AND(Table1[[#This Row],[Actual_Lead_Time]] &lt;= Table1[[#This Row],[Standard_Lead_Time]], OR(ISBLANK(J314), J314 = 0)), "OTIF", "Non-OTIF")</f>
        <v>Non-OTIF</v>
      </c>
      <c r="P314">
        <f>IF(Table1[[#This Row],[OTIF_Status]] = "OTIF", 1, 0)</f>
        <v>0</v>
      </c>
      <c r="Q314" s="5">
        <f t="shared" si="17"/>
        <v>53400.6</v>
      </c>
      <c r="R314" s="5">
        <f t="shared" si="18"/>
        <v>47836.800000000003</v>
      </c>
      <c r="S314" s="5">
        <f>Table1[[#This Row],[Total_Line_Spend]]-Table1[[#This Row],[Negotiated_Total]]</f>
        <v>5563.7999999999956</v>
      </c>
      <c r="T314" t="str">
        <f xml:space="preserve"> IF(Table1[[#This Row],[Delay_Days]] &gt; 4, "High Risk", IF(Table1[[#This Row],[Delay_Days]] &gt; 0, "Medium Risk", "Low Risk"))</f>
        <v>Low Risk</v>
      </c>
    </row>
    <row r="315" spans="1:20" x14ac:dyDescent="0.25">
      <c r="A315" t="s">
        <v>340</v>
      </c>
      <c r="B315" t="s">
        <v>808</v>
      </c>
      <c r="C315" s="1">
        <v>44756</v>
      </c>
      <c r="D315" s="1">
        <v>44776</v>
      </c>
      <c r="E315" t="s">
        <v>26</v>
      </c>
      <c r="F315" t="s">
        <v>18</v>
      </c>
      <c r="G315">
        <v>1584</v>
      </c>
      <c r="H315" s="5">
        <v>16.46</v>
      </c>
      <c r="I315" s="5">
        <v>14.2</v>
      </c>
      <c r="J315">
        <v>57</v>
      </c>
      <c r="K315" t="s">
        <v>15</v>
      </c>
      <c r="L315">
        <f t="shared" si="19"/>
        <v>20</v>
      </c>
      <c r="M315">
        <v>11</v>
      </c>
      <c r="N315">
        <f t="shared" si="16"/>
        <v>9</v>
      </c>
      <c r="O315" t="str">
        <f xml:space="preserve"> IF(AND(Table1[[#This Row],[Actual_Lead_Time]] &lt;= Table1[[#This Row],[Standard_Lead_Time]], OR(ISBLANK(J315), J315 = 0)), "OTIF", "Non-OTIF")</f>
        <v>Non-OTIF</v>
      </c>
      <c r="P315">
        <f>IF(Table1[[#This Row],[OTIF_Status]] = "OTIF", 1, 0)</f>
        <v>0</v>
      </c>
      <c r="Q315" s="5">
        <f t="shared" si="17"/>
        <v>26072.640000000003</v>
      </c>
      <c r="R315" s="5">
        <f t="shared" si="18"/>
        <v>22492.799999999999</v>
      </c>
      <c r="S315" s="5">
        <f>Table1[[#This Row],[Total_Line_Spend]]-Table1[[#This Row],[Negotiated_Total]]</f>
        <v>3579.8400000000038</v>
      </c>
      <c r="T315" t="str">
        <f xml:space="preserve"> IF(Table1[[#This Row],[Delay_Days]] &gt; 4, "High Risk", IF(Table1[[#This Row],[Delay_Days]] &gt; 0, "Medium Risk", "Low Risk"))</f>
        <v>High Risk</v>
      </c>
    </row>
    <row r="316" spans="1:20" x14ac:dyDescent="0.25">
      <c r="A316" t="s">
        <v>341</v>
      </c>
      <c r="B316" t="s">
        <v>807</v>
      </c>
      <c r="C316" s="1">
        <v>44865</v>
      </c>
      <c r="D316" s="1">
        <v>44880</v>
      </c>
      <c r="E316" t="s">
        <v>13</v>
      </c>
      <c r="F316" t="s">
        <v>18</v>
      </c>
      <c r="G316">
        <v>801</v>
      </c>
      <c r="H316" s="5">
        <v>80.150000000000006</v>
      </c>
      <c r="I316" s="5">
        <v>70.91</v>
      </c>
      <c r="K316" t="s">
        <v>15</v>
      </c>
      <c r="L316">
        <f t="shared" si="19"/>
        <v>15</v>
      </c>
      <c r="M316">
        <v>11</v>
      </c>
      <c r="N316">
        <f t="shared" si="16"/>
        <v>4</v>
      </c>
      <c r="O316" t="str">
        <f xml:space="preserve"> IF(AND(Table1[[#This Row],[Actual_Lead_Time]] &lt;= Table1[[#This Row],[Standard_Lead_Time]], OR(ISBLANK(J316), J316 = 0)), "OTIF", "Non-OTIF")</f>
        <v>Non-OTIF</v>
      </c>
      <c r="P316">
        <f>IF(Table1[[#This Row],[OTIF_Status]] = "OTIF", 1, 0)</f>
        <v>0</v>
      </c>
      <c r="Q316" s="5">
        <f t="shared" si="17"/>
        <v>64200.15</v>
      </c>
      <c r="R316" s="5">
        <f t="shared" si="18"/>
        <v>56798.909999999996</v>
      </c>
      <c r="S316" s="5">
        <f>Table1[[#This Row],[Total_Line_Spend]]-Table1[[#This Row],[Negotiated_Total]]</f>
        <v>7401.2400000000052</v>
      </c>
      <c r="T316" t="str">
        <f xml:space="preserve"> IF(Table1[[#This Row],[Delay_Days]] &gt; 4, "High Risk", IF(Table1[[#This Row],[Delay_Days]] &gt; 0, "Medium Risk", "Low Risk"))</f>
        <v>Medium Risk</v>
      </c>
    </row>
    <row r="317" spans="1:20" x14ac:dyDescent="0.25">
      <c r="A317" t="s">
        <v>342</v>
      </c>
      <c r="B317" t="s">
        <v>807</v>
      </c>
      <c r="C317" s="1">
        <v>44784</v>
      </c>
      <c r="D317" s="1">
        <v>44798</v>
      </c>
      <c r="E317" t="s">
        <v>24</v>
      </c>
      <c r="F317" t="s">
        <v>18</v>
      </c>
      <c r="G317">
        <v>193</v>
      </c>
      <c r="H317" s="5">
        <v>63.86</v>
      </c>
      <c r="I317" s="5">
        <v>57.46</v>
      </c>
      <c r="K317" t="s">
        <v>15</v>
      </c>
      <c r="L317">
        <f t="shared" si="19"/>
        <v>14</v>
      </c>
      <c r="M317">
        <v>11</v>
      </c>
      <c r="N317">
        <f t="shared" si="16"/>
        <v>3</v>
      </c>
      <c r="O317" t="str">
        <f xml:space="preserve"> IF(AND(Table1[[#This Row],[Actual_Lead_Time]] &lt;= Table1[[#This Row],[Standard_Lead_Time]], OR(ISBLANK(J317), J317 = 0)), "OTIF", "Non-OTIF")</f>
        <v>Non-OTIF</v>
      </c>
      <c r="P317">
        <f>IF(Table1[[#This Row],[OTIF_Status]] = "OTIF", 1, 0)</f>
        <v>0</v>
      </c>
      <c r="Q317" s="5">
        <f t="shared" si="17"/>
        <v>12324.98</v>
      </c>
      <c r="R317" s="5">
        <f t="shared" si="18"/>
        <v>11089.78</v>
      </c>
      <c r="S317" s="5">
        <f>Table1[[#This Row],[Total_Line_Spend]]-Table1[[#This Row],[Negotiated_Total]]</f>
        <v>1235.1999999999989</v>
      </c>
      <c r="T317" t="str">
        <f xml:space="preserve"> IF(Table1[[#This Row],[Delay_Days]] &gt; 4, "High Risk", IF(Table1[[#This Row],[Delay_Days]] &gt; 0, "Medium Risk", "Low Risk"))</f>
        <v>Medium Risk</v>
      </c>
    </row>
    <row r="318" spans="1:20" x14ac:dyDescent="0.25">
      <c r="A318" t="s">
        <v>343</v>
      </c>
      <c r="B318" t="s">
        <v>807</v>
      </c>
      <c r="C318" s="1">
        <v>44621</v>
      </c>
      <c r="D318" s="1">
        <v>44625</v>
      </c>
      <c r="E318" t="s">
        <v>26</v>
      </c>
      <c r="F318" t="s">
        <v>18</v>
      </c>
      <c r="G318">
        <v>658</v>
      </c>
      <c r="H318" s="5">
        <v>86.62</v>
      </c>
      <c r="I318" s="5">
        <v>79.849999999999994</v>
      </c>
      <c r="J318">
        <v>72</v>
      </c>
      <c r="K318" t="s">
        <v>15</v>
      </c>
      <c r="L318">
        <f t="shared" si="19"/>
        <v>4</v>
      </c>
      <c r="M318">
        <v>11</v>
      </c>
      <c r="N318">
        <f t="shared" si="16"/>
        <v>0</v>
      </c>
      <c r="O318" t="str">
        <f xml:space="preserve"> IF(AND(Table1[[#This Row],[Actual_Lead_Time]] &lt;= Table1[[#This Row],[Standard_Lead_Time]], OR(ISBLANK(J318), J318 = 0)), "OTIF", "Non-OTIF")</f>
        <v>Non-OTIF</v>
      </c>
      <c r="P318">
        <f>IF(Table1[[#This Row],[OTIF_Status]] = "OTIF", 1, 0)</f>
        <v>0</v>
      </c>
      <c r="Q318" s="5">
        <f t="shared" si="17"/>
        <v>56995.960000000006</v>
      </c>
      <c r="R318" s="5">
        <f t="shared" si="18"/>
        <v>52541.299999999996</v>
      </c>
      <c r="S318" s="5">
        <f>Table1[[#This Row],[Total_Line_Spend]]-Table1[[#This Row],[Negotiated_Total]]</f>
        <v>4454.6600000000108</v>
      </c>
      <c r="T318" t="str">
        <f xml:space="preserve"> IF(Table1[[#This Row],[Delay_Days]] &gt; 4, "High Risk", IF(Table1[[#This Row],[Delay_Days]] &gt; 0, "Medium Risk", "Low Risk"))</f>
        <v>Low Risk</v>
      </c>
    </row>
    <row r="319" spans="1:20" x14ac:dyDescent="0.25">
      <c r="A319" t="s">
        <v>344</v>
      </c>
      <c r="B319" t="s">
        <v>808</v>
      </c>
      <c r="C319" s="1">
        <v>45155</v>
      </c>
      <c r="D319" s="1">
        <v>45173</v>
      </c>
      <c r="E319" t="s">
        <v>39</v>
      </c>
      <c r="F319" t="s">
        <v>18</v>
      </c>
      <c r="G319">
        <v>1274</v>
      </c>
      <c r="H319" s="5">
        <v>24.72</v>
      </c>
      <c r="I319" s="5">
        <v>23.36</v>
      </c>
      <c r="J319">
        <v>37</v>
      </c>
      <c r="K319" t="s">
        <v>15</v>
      </c>
      <c r="L319">
        <f t="shared" si="19"/>
        <v>18</v>
      </c>
      <c r="M319">
        <v>11</v>
      </c>
      <c r="N319">
        <f t="shared" si="16"/>
        <v>7</v>
      </c>
      <c r="O319" t="str">
        <f xml:space="preserve"> IF(AND(Table1[[#This Row],[Actual_Lead_Time]] &lt;= Table1[[#This Row],[Standard_Lead_Time]], OR(ISBLANK(J319), J319 = 0)), "OTIF", "Non-OTIF")</f>
        <v>Non-OTIF</v>
      </c>
      <c r="P319">
        <f>IF(Table1[[#This Row],[OTIF_Status]] = "OTIF", 1, 0)</f>
        <v>0</v>
      </c>
      <c r="Q319" s="5">
        <f t="shared" si="17"/>
        <v>31493.279999999999</v>
      </c>
      <c r="R319" s="5">
        <f t="shared" si="18"/>
        <v>29760.639999999999</v>
      </c>
      <c r="S319" s="5">
        <f>Table1[[#This Row],[Total_Line_Spend]]-Table1[[#This Row],[Negotiated_Total]]</f>
        <v>1732.6399999999994</v>
      </c>
      <c r="T319" t="str">
        <f xml:space="preserve"> IF(Table1[[#This Row],[Delay_Days]] &gt; 4, "High Risk", IF(Table1[[#This Row],[Delay_Days]] &gt; 0, "Medium Risk", "Low Risk"))</f>
        <v>High Risk</v>
      </c>
    </row>
    <row r="320" spans="1:20" x14ac:dyDescent="0.25">
      <c r="A320" t="s">
        <v>345</v>
      </c>
      <c r="B320" t="s">
        <v>808</v>
      </c>
      <c r="C320" s="1">
        <v>45117</v>
      </c>
      <c r="D320" s="1">
        <v>45124</v>
      </c>
      <c r="E320" t="s">
        <v>24</v>
      </c>
      <c r="F320" t="s">
        <v>33</v>
      </c>
      <c r="G320">
        <v>1197</v>
      </c>
      <c r="H320" s="5">
        <v>88.92</v>
      </c>
      <c r="I320" s="5">
        <v>78.819999999999993</v>
      </c>
      <c r="J320">
        <v>31</v>
      </c>
      <c r="K320" t="s">
        <v>15</v>
      </c>
      <c r="L320">
        <f t="shared" si="19"/>
        <v>7</v>
      </c>
      <c r="M320">
        <v>11</v>
      </c>
      <c r="N320">
        <f t="shared" si="16"/>
        <v>0</v>
      </c>
      <c r="O320" t="str">
        <f xml:space="preserve"> IF(AND(Table1[[#This Row],[Actual_Lead_Time]] &lt;= Table1[[#This Row],[Standard_Lead_Time]], OR(ISBLANK(J320), J320 = 0)), "OTIF", "Non-OTIF")</f>
        <v>Non-OTIF</v>
      </c>
      <c r="P320">
        <f>IF(Table1[[#This Row],[OTIF_Status]] = "OTIF", 1, 0)</f>
        <v>0</v>
      </c>
      <c r="Q320" s="5">
        <f t="shared" si="17"/>
        <v>106437.24</v>
      </c>
      <c r="R320" s="5">
        <f t="shared" si="18"/>
        <v>94347.54</v>
      </c>
      <c r="S320" s="5">
        <f>Table1[[#This Row],[Total_Line_Spend]]-Table1[[#This Row],[Negotiated_Total]]</f>
        <v>12089.700000000012</v>
      </c>
      <c r="T320" t="str">
        <f xml:space="preserve"> IF(Table1[[#This Row],[Delay_Days]] &gt; 4, "High Risk", IF(Table1[[#This Row],[Delay_Days]] &gt; 0, "Medium Risk", "Low Risk"))</f>
        <v>Low Risk</v>
      </c>
    </row>
    <row r="321" spans="1:20" x14ac:dyDescent="0.25">
      <c r="A321" t="s">
        <v>346</v>
      </c>
      <c r="B321" t="s">
        <v>806</v>
      </c>
      <c r="C321" s="1">
        <v>44624</v>
      </c>
      <c r="D321" s="1">
        <v>44632</v>
      </c>
      <c r="E321" t="s">
        <v>39</v>
      </c>
      <c r="F321" t="s">
        <v>18</v>
      </c>
      <c r="G321">
        <v>236</v>
      </c>
      <c r="H321" s="5">
        <v>28.43</v>
      </c>
      <c r="I321" s="5">
        <v>28.11</v>
      </c>
      <c r="J321">
        <v>11</v>
      </c>
      <c r="K321" t="s">
        <v>15</v>
      </c>
      <c r="L321">
        <f t="shared" si="19"/>
        <v>8</v>
      </c>
      <c r="M321">
        <v>11</v>
      </c>
      <c r="N321">
        <f t="shared" si="16"/>
        <v>0</v>
      </c>
      <c r="O321" t="str">
        <f xml:space="preserve"> IF(AND(Table1[[#This Row],[Actual_Lead_Time]] &lt;= Table1[[#This Row],[Standard_Lead_Time]], OR(ISBLANK(J321), J321 = 0)), "OTIF", "Non-OTIF")</f>
        <v>Non-OTIF</v>
      </c>
      <c r="P321">
        <f>IF(Table1[[#This Row],[OTIF_Status]] = "OTIF", 1, 0)</f>
        <v>0</v>
      </c>
      <c r="Q321" s="5">
        <f t="shared" si="17"/>
        <v>6709.48</v>
      </c>
      <c r="R321" s="5">
        <f t="shared" si="18"/>
        <v>6633.96</v>
      </c>
      <c r="S321" s="5">
        <f>Table1[[#This Row],[Total_Line_Spend]]-Table1[[#This Row],[Negotiated_Total]]</f>
        <v>75.519999999999527</v>
      </c>
      <c r="T321" t="str">
        <f xml:space="preserve"> IF(Table1[[#This Row],[Delay_Days]] &gt; 4, "High Risk", IF(Table1[[#This Row],[Delay_Days]] &gt; 0, "Medium Risk", "Low Risk"))</f>
        <v>Low Risk</v>
      </c>
    </row>
    <row r="322" spans="1:20" x14ac:dyDescent="0.25">
      <c r="A322" t="s">
        <v>347</v>
      </c>
      <c r="B322" t="s">
        <v>806</v>
      </c>
      <c r="C322" s="1">
        <v>44883</v>
      </c>
      <c r="D322" s="1">
        <v>44898</v>
      </c>
      <c r="E322" t="s">
        <v>26</v>
      </c>
      <c r="F322" t="s">
        <v>33</v>
      </c>
      <c r="G322">
        <v>1399</v>
      </c>
      <c r="H322" s="5">
        <v>25.97</v>
      </c>
      <c r="I322" s="5">
        <v>22.19</v>
      </c>
      <c r="J322">
        <v>62</v>
      </c>
      <c r="K322" t="s">
        <v>15</v>
      </c>
      <c r="L322">
        <f t="shared" si="19"/>
        <v>15</v>
      </c>
      <c r="M322">
        <v>11</v>
      </c>
      <c r="N322">
        <f t="shared" ref="N322:N385" si="20">MAX(0, L322-M322)</f>
        <v>4</v>
      </c>
      <c r="O322" t="str">
        <f xml:space="preserve"> IF(AND(Table1[[#This Row],[Actual_Lead_Time]] &lt;= Table1[[#This Row],[Standard_Lead_Time]], OR(ISBLANK(J322), J322 = 0)), "OTIF", "Non-OTIF")</f>
        <v>Non-OTIF</v>
      </c>
      <c r="P322">
        <f>IF(Table1[[#This Row],[OTIF_Status]] = "OTIF", 1, 0)</f>
        <v>0</v>
      </c>
      <c r="Q322" s="5">
        <f t="shared" ref="Q322:Q385" si="21" xml:space="preserve"> IFERROR(G322 * H322, 0)</f>
        <v>36332.03</v>
      </c>
      <c r="R322" s="5">
        <f t="shared" ref="R322:R385" si="22" xml:space="preserve"> IFERROR(G322 * I322, 0)</f>
        <v>31043.81</v>
      </c>
      <c r="S322" s="5">
        <f>Table1[[#This Row],[Total_Line_Spend]]-Table1[[#This Row],[Negotiated_Total]]</f>
        <v>5288.2199999999975</v>
      </c>
      <c r="T322" t="str">
        <f xml:space="preserve"> IF(Table1[[#This Row],[Delay_Days]] &gt; 4, "High Risk", IF(Table1[[#This Row],[Delay_Days]] &gt; 0, "Medium Risk", "Low Risk"))</f>
        <v>Medium Risk</v>
      </c>
    </row>
    <row r="323" spans="1:20" x14ac:dyDescent="0.25">
      <c r="A323" t="s">
        <v>348</v>
      </c>
      <c r="B323" t="s">
        <v>806</v>
      </c>
      <c r="C323" s="1">
        <v>44620</v>
      </c>
      <c r="D323" s="1">
        <v>44624</v>
      </c>
      <c r="E323" t="s">
        <v>39</v>
      </c>
      <c r="F323" t="s">
        <v>18</v>
      </c>
      <c r="G323">
        <v>513</v>
      </c>
      <c r="H323" s="5">
        <v>24.91</v>
      </c>
      <c r="I323" s="5">
        <v>22.58</v>
      </c>
      <c r="J323">
        <v>29</v>
      </c>
      <c r="K323" t="s">
        <v>15</v>
      </c>
      <c r="L323">
        <f t="shared" ref="L323:L386" si="23" xml:space="preserve"> INT(D323) - INT(C323)</f>
        <v>4</v>
      </c>
      <c r="M323">
        <v>11</v>
      </c>
      <c r="N323">
        <f t="shared" si="20"/>
        <v>0</v>
      </c>
      <c r="O323" t="str">
        <f xml:space="preserve"> IF(AND(Table1[[#This Row],[Actual_Lead_Time]] &lt;= Table1[[#This Row],[Standard_Lead_Time]], OR(ISBLANK(J323), J323 = 0)), "OTIF", "Non-OTIF")</f>
        <v>Non-OTIF</v>
      </c>
      <c r="P323">
        <f>IF(Table1[[#This Row],[OTIF_Status]] = "OTIF", 1, 0)</f>
        <v>0</v>
      </c>
      <c r="Q323" s="5">
        <f t="shared" si="21"/>
        <v>12778.83</v>
      </c>
      <c r="R323" s="5">
        <f t="shared" si="22"/>
        <v>11583.539999999999</v>
      </c>
      <c r="S323" s="5">
        <f>Table1[[#This Row],[Total_Line_Spend]]-Table1[[#This Row],[Negotiated_Total]]</f>
        <v>1195.2900000000009</v>
      </c>
      <c r="T323" t="str">
        <f xml:space="preserve"> IF(Table1[[#This Row],[Delay_Days]] &gt; 4, "High Risk", IF(Table1[[#This Row],[Delay_Days]] &gt; 0, "Medium Risk", "Low Risk"))</f>
        <v>Low Risk</v>
      </c>
    </row>
    <row r="324" spans="1:20" x14ac:dyDescent="0.25">
      <c r="A324" t="s">
        <v>349</v>
      </c>
      <c r="B324" t="s">
        <v>805</v>
      </c>
      <c r="C324" s="1">
        <v>44613</v>
      </c>
      <c r="D324" s="1">
        <v>44624</v>
      </c>
      <c r="E324" t="s">
        <v>21</v>
      </c>
      <c r="F324" t="s">
        <v>18</v>
      </c>
      <c r="G324">
        <v>1422</v>
      </c>
      <c r="H324" s="5">
        <v>83.73</v>
      </c>
      <c r="I324" s="5">
        <v>76.47</v>
      </c>
      <c r="J324">
        <v>198</v>
      </c>
      <c r="K324" t="s">
        <v>15</v>
      </c>
      <c r="L324">
        <f t="shared" si="23"/>
        <v>11</v>
      </c>
      <c r="M324">
        <v>11</v>
      </c>
      <c r="N324">
        <f t="shared" si="20"/>
        <v>0</v>
      </c>
      <c r="O324" t="str">
        <f xml:space="preserve"> IF(AND(Table1[[#This Row],[Actual_Lead_Time]] &lt;= Table1[[#This Row],[Standard_Lead_Time]], OR(ISBLANK(J324), J324 = 0)), "OTIF", "Non-OTIF")</f>
        <v>Non-OTIF</v>
      </c>
      <c r="P324">
        <f>IF(Table1[[#This Row],[OTIF_Status]] = "OTIF", 1, 0)</f>
        <v>0</v>
      </c>
      <c r="Q324" s="5">
        <f t="shared" si="21"/>
        <v>119064.06000000001</v>
      </c>
      <c r="R324" s="5">
        <f t="shared" si="22"/>
        <v>108740.34</v>
      </c>
      <c r="S324" s="5">
        <f>Table1[[#This Row],[Total_Line_Spend]]-Table1[[#This Row],[Negotiated_Total]]</f>
        <v>10323.720000000016</v>
      </c>
      <c r="T324" t="str">
        <f xml:space="preserve"> IF(Table1[[#This Row],[Delay_Days]] &gt; 4, "High Risk", IF(Table1[[#This Row],[Delay_Days]] &gt; 0, "Medium Risk", "Low Risk"))</f>
        <v>Low Risk</v>
      </c>
    </row>
    <row r="325" spans="1:20" x14ac:dyDescent="0.25">
      <c r="A325" t="s">
        <v>350</v>
      </c>
      <c r="B325" t="s">
        <v>804</v>
      </c>
      <c r="C325" s="1">
        <v>45160</v>
      </c>
      <c r="D325" s="1">
        <v>45172</v>
      </c>
      <c r="E325" t="s">
        <v>13</v>
      </c>
      <c r="F325" t="s">
        <v>18</v>
      </c>
      <c r="G325">
        <v>1844</v>
      </c>
      <c r="H325" s="5">
        <v>76.510000000000005</v>
      </c>
      <c r="I325" s="5">
        <v>73.05</v>
      </c>
      <c r="K325" t="s">
        <v>15</v>
      </c>
      <c r="L325">
        <f t="shared" si="23"/>
        <v>12</v>
      </c>
      <c r="M325">
        <v>11</v>
      </c>
      <c r="N325">
        <f t="shared" si="20"/>
        <v>1</v>
      </c>
      <c r="O325" t="str">
        <f xml:space="preserve"> IF(AND(Table1[[#This Row],[Actual_Lead_Time]] &lt;= Table1[[#This Row],[Standard_Lead_Time]], OR(ISBLANK(J325), J325 = 0)), "OTIF", "Non-OTIF")</f>
        <v>Non-OTIF</v>
      </c>
      <c r="P325">
        <f>IF(Table1[[#This Row],[OTIF_Status]] = "OTIF", 1, 0)</f>
        <v>0</v>
      </c>
      <c r="Q325" s="5">
        <f t="shared" si="21"/>
        <v>141084.44</v>
      </c>
      <c r="R325" s="5">
        <f t="shared" si="22"/>
        <v>134704.19999999998</v>
      </c>
      <c r="S325" s="5">
        <f>Table1[[#This Row],[Total_Line_Spend]]-Table1[[#This Row],[Negotiated_Total]]</f>
        <v>6380.2400000000198</v>
      </c>
      <c r="T325" t="str">
        <f xml:space="preserve"> IF(Table1[[#This Row],[Delay_Days]] &gt; 4, "High Risk", IF(Table1[[#This Row],[Delay_Days]] &gt; 0, "Medium Risk", "Low Risk"))</f>
        <v>Medium Risk</v>
      </c>
    </row>
    <row r="326" spans="1:20" x14ac:dyDescent="0.25">
      <c r="A326" t="s">
        <v>351</v>
      </c>
      <c r="B326" t="s">
        <v>806</v>
      </c>
      <c r="C326" s="1">
        <v>45050</v>
      </c>
      <c r="D326" s="1">
        <v>45060</v>
      </c>
      <c r="E326" t="s">
        <v>39</v>
      </c>
      <c r="F326" t="s">
        <v>18</v>
      </c>
      <c r="G326">
        <v>709</v>
      </c>
      <c r="H326" s="5">
        <v>61.64</v>
      </c>
      <c r="I326" s="5">
        <v>54.55</v>
      </c>
      <c r="J326">
        <v>41</v>
      </c>
      <c r="K326" t="s">
        <v>15</v>
      </c>
      <c r="L326">
        <f t="shared" si="23"/>
        <v>10</v>
      </c>
      <c r="M326">
        <v>11</v>
      </c>
      <c r="N326">
        <f t="shared" si="20"/>
        <v>0</v>
      </c>
      <c r="O326" t="str">
        <f xml:space="preserve"> IF(AND(Table1[[#This Row],[Actual_Lead_Time]] &lt;= Table1[[#This Row],[Standard_Lead_Time]], OR(ISBLANK(J326), J326 = 0)), "OTIF", "Non-OTIF")</f>
        <v>Non-OTIF</v>
      </c>
      <c r="P326">
        <f>IF(Table1[[#This Row],[OTIF_Status]] = "OTIF", 1, 0)</f>
        <v>0</v>
      </c>
      <c r="Q326" s="5">
        <f t="shared" si="21"/>
        <v>43702.76</v>
      </c>
      <c r="R326" s="5">
        <f t="shared" si="22"/>
        <v>38675.949999999997</v>
      </c>
      <c r="S326" s="5">
        <f>Table1[[#This Row],[Total_Line_Spend]]-Table1[[#This Row],[Negotiated_Total]]</f>
        <v>5026.8100000000049</v>
      </c>
      <c r="T326" t="str">
        <f xml:space="preserve"> IF(Table1[[#This Row],[Delay_Days]] &gt; 4, "High Risk", IF(Table1[[#This Row],[Delay_Days]] &gt; 0, "Medium Risk", "Low Risk"))</f>
        <v>Low Risk</v>
      </c>
    </row>
    <row r="327" spans="1:20" x14ac:dyDescent="0.25">
      <c r="A327" t="s">
        <v>352</v>
      </c>
      <c r="B327" t="s">
        <v>805</v>
      </c>
      <c r="C327" s="1">
        <v>45076</v>
      </c>
      <c r="D327" s="1">
        <v>45092</v>
      </c>
      <c r="E327" t="s">
        <v>21</v>
      </c>
      <c r="F327" t="s">
        <v>18</v>
      </c>
      <c r="G327">
        <v>813</v>
      </c>
      <c r="H327" s="5">
        <v>45.68</v>
      </c>
      <c r="I327" s="5">
        <v>41.78</v>
      </c>
      <c r="K327" t="s">
        <v>27</v>
      </c>
      <c r="L327">
        <f t="shared" si="23"/>
        <v>16</v>
      </c>
      <c r="M327">
        <v>11</v>
      </c>
      <c r="N327">
        <f t="shared" si="20"/>
        <v>5</v>
      </c>
      <c r="O327" t="str">
        <f xml:space="preserve"> IF(AND(Table1[[#This Row],[Actual_Lead_Time]] &lt;= Table1[[#This Row],[Standard_Lead_Time]], OR(ISBLANK(J327), J327 = 0)), "OTIF", "Non-OTIF")</f>
        <v>Non-OTIF</v>
      </c>
      <c r="P327">
        <f>IF(Table1[[#This Row],[OTIF_Status]] = "OTIF", 1, 0)</f>
        <v>0</v>
      </c>
      <c r="Q327" s="5">
        <f t="shared" si="21"/>
        <v>37137.839999999997</v>
      </c>
      <c r="R327" s="5">
        <f t="shared" si="22"/>
        <v>33967.14</v>
      </c>
      <c r="S327" s="5">
        <f>Table1[[#This Row],[Total_Line_Spend]]-Table1[[#This Row],[Negotiated_Total]]</f>
        <v>3170.6999999999971</v>
      </c>
      <c r="T327" t="str">
        <f xml:space="preserve"> IF(Table1[[#This Row],[Delay_Days]] &gt; 4, "High Risk", IF(Table1[[#This Row],[Delay_Days]] &gt; 0, "Medium Risk", "Low Risk"))</f>
        <v>High Risk</v>
      </c>
    </row>
    <row r="328" spans="1:20" x14ac:dyDescent="0.25">
      <c r="A328" t="s">
        <v>353</v>
      </c>
      <c r="B328" t="s">
        <v>805</v>
      </c>
      <c r="C328" s="1">
        <v>45105</v>
      </c>
      <c r="D328" s="1">
        <v>45108</v>
      </c>
      <c r="E328" t="s">
        <v>13</v>
      </c>
      <c r="F328" t="s">
        <v>18</v>
      </c>
      <c r="G328">
        <v>1004</v>
      </c>
      <c r="H328" s="5">
        <v>96.51</v>
      </c>
      <c r="I328" s="5">
        <v>92.9</v>
      </c>
      <c r="J328">
        <v>146</v>
      </c>
      <c r="K328" t="s">
        <v>27</v>
      </c>
      <c r="L328">
        <f t="shared" si="23"/>
        <v>3</v>
      </c>
      <c r="M328">
        <v>11</v>
      </c>
      <c r="N328">
        <f t="shared" si="20"/>
        <v>0</v>
      </c>
      <c r="O328" t="str">
        <f xml:space="preserve"> IF(AND(Table1[[#This Row],[Actual_Lead_Time]] &lt;= Table1[[#This Row],[Standard_Lead_Time]], OR(ISBLANK(J328), J328 = 0)), "OTIF", "Non-OTIF")</f>
        <v>Non-OTIF</v>
      </c>
      <c r="P328">
        <f>IF(Table1[[#This Row],[OTIF_Status]] = "OTIF", 1, 0)</f>
        <v>0</v>
      </c>
      <c r="Q328" s="5">
        <f t="shared" si="21"/>
        <v>96896.040000000008</v>
      </c>
      <c r="R328" s="5">
        <f t="shared" si="22"/>
        <v>93271.6</v>
      </c>
      <c r="S328" s="5">
        <f>Table1[[#This Row],[Total_Line_Spend]]-Table1[[#This Row],[Negotiated_Total]]</f>
        <v>3624.4400000000023</v>
      </c>
      <c r="T328" t="str">
        <f xml:space="preserve"> IF(Table1[[#This Row],[Delay_Days]] &gt; 4, "High Risk", IF(Table1[[#This Row],[Delay_Days]] &gt; 0, "Medium Risk", "Low Risk"))</f>
        <v>Low Risk</v>
      </c>
    </row>
    <row r="329" spans="1:20" x14ac:dyDescent="0.25">
      <c r="A329" t="s">
        <v>354</v>
      </c>
      <c r="B329" t="s">
        <v>808</v>
      </c>
      <c r="C329" s="1">
        <v>44723</v>
      </c>
      <c r="D329" s="1">
        <v>44727</v>
      </c>
      <c r="E329" t="s">
        <v>26</v>
      </c>
      <c r="F329" t="s">
        <v>18</v>
      </c>
      <c r="G329">
        <v>452</v>
      </c>
      <c r="H329" s="5">
        <v>46.45</v>
      </c>
      <c r="I329" s="5">
        <v>40.39</v>
      </c>
      <c r="J329">
        <v>9</v>
      </c>
      <c r="K329" t="s">
        <v>15</v>
      </c>
      <c r="L329">
        <f t="shared" si="23"/>
        <v>4</v>
      </c>
      <c r="M329">
        <v>11</v>
      </c>
      <c r="N329">
        <f t="shared" si="20"/>
        <v>0</v>
      </c>
      <c r="O329" t="str">
        <f xml:space="preserve"> IF(AND(Table1[[#This Row],[Actual_Lead_Time]] &lt;= Table1[[#This Row],[Standard_Lead_Time]], OR(ISBLANK(J329), J329 = 0)), "OTIF", "Non-OTIF")</f>
        <v>Non-OTIF</v>
      </c>
      <c r="P329">
        <f>IF(Table1[[#This Row],[OTIF_Status]] = "OTIF", 1, 0)</f>
        <v>0</v>
      </c>
      <c r="Q329" s="5">
        <f t="shared" si="21"/>
        <v>20995.4</v>
      </c>
      <c r="R329" s="5">
        <f t="shared" si="22"/>
        <v>18256.28</v>
      </c>
      <c r="S329" s="5">
        <f>Table1[[#This Row],[Total_Line_Spend]]-Table1[[#This Row],[Negotiated_Total]]</f>
        <v>2739.1200000000026</v>
      </c>
      <c r="T329" t="str">
        <f xml:space="preserve"> IF(Table1[[#This Row],[Delay_Days]] &gt; 4, "High Risk", IF(Table1[[#This Row],[Delay_Days]] &gt; 0, "Medium Risk", "Low Risk"))</f>
        <v>Low Risk</v>
      </c>
    </row>
    <row r="330" spans="1:20" x14ac:dyDescent="0.25">
      <c r="A330" t="s">
        <v>355</v>
      </c>
      <c r="B330" t="s">
        <v>807</v>
      </c>
      <c r="C330" s="1">
        <v>44620</v>
      </c>
      <c r="D330" s="1">
        <v>44632</v>
      </c>
      <c r="E330" t="s">
        <v>26</v>
      </c>
      <c r="F330" t="s">
        <v>35</v>
      </c>
      <c r="G330">
        <v>1419</v>
      </c>
      <c r="H330" s="5">
        <v>83.91</v>
      </c>
      <c r="I330" s="5">
        <v>71.459999999999994</v>
      </c>
      <c r="J330">
        <v>137</v>
      </c>
      <c r="K330" t="s">
        <v>15</v>
      </c>
      <c r="L330">
        <f t="shared" si="23"/>
        <v>12</v>
      </c>
      <c r="M330">
        <v>11</v>
      </c>
      <c r="N330">
        <f t="shared" si="20"/>
        <v>1</v>
      </c>
      <c r="O330" t="str">
        <f xml:space="preserve"> IF(AND(Table1[[#This Row],[Actual_Lead_Time]] &lt;= Table1[[#This Row],[Standard_Lead_Time]], OR(ISBLANK(J330), J330 = 0)), "OTIF", "Non-OTIF")</f>
        <v>Non-OTIF</v>
      </c>
      <c r="P330">
        <f>IF(Table1[[#This Row],[OTIF_Status]] = "OTIF", 1, 0)</f>
        <v>0</v>
      </c>
      <c r="Q330" s="5">
        <f t="shared" si="21"/>
        <v>119068.29</v>
      </c>
      <c r="R330" s="5">
        <f t="shared" si="22"/>
        <v>101401.73999999999</v>
      </c>
      <c r="S330" s="5">
        <f>Table1[[#This Row],[Total_Line_Spend]]-Table1[[#This Row],[Negotiated_Total]]</f>
        <v>17666.550000000003</v>
      </c>
      <c r="T330" t="str">
        <f xml:space="preserve"> IF(Table1[[#This Row],[Delay_Days]] &gt; 4, "High Risk", IF(Table1[[#This Row],[Delay_Days]] &gt; 0, "Medium Risk", "Low Risk"))</f>
        <v>Medium Risk</v>
      </c>
    </row>
    <row r="331" spans="1:20" x14ac:dyDescent="0.25">
      <c r="A331" t="s">
        <v>356</v>
      </c>
      <c r="B331" t="s">
        <v>807</v>
      </c>
      <c r="C331" s="1">
        <v>45082</v>
      </c>
      <c r="D331" s="1">
        <v>45100</v>
      </c>
      <c r="E331" t="s">
        <v>24</v>
      </c>
      <c r="F331" t="s">
        <v>18</v>
      </c>
      <c r="G331">
        <v>1584</v>
      </c>
      <c r="H331" s="5">
        <v>53.73</v>
      </c>
      <c r="I331" s="5">
        <v>51.92</v>
      </c>
      <c r="J331">
        <v>167</v>
      </c>
      <c r="K331" t="s">
        <v>27</v>
      </c>
      <c r="L331">
        <f t="shared" si="23"/>
        <v>18</v>
      </c>
      <c r="M331">
        <v>11</v>
      </c>
      <c r="N331">
        <f t="shared" si="20"/>
        <v>7</v>
      </c>
      <c r="O331" t="str">
        <f xml:space="preserve"> IF(AND(Table1[[#This Row],[Actual_Lead_Time]] &lt;= Table1[[#This Row],[Standard_Lead_Time]], OR(ISBLANK(J331), J331 = 0)), "OTIF", "Non-OTIF")</f>
        <v>Non-OTIF</v>
      </c>
      <c r="P331">
        <f>IF(Table1[[#This Row],[OTIF_Status]] = "OTIF", 1, 0)</f>
        <v>0</v>
      </c>
      <c r="Q331" s="5">
        <f t="shared" si="21"/>
        <v>85108.319999999992</v>
      </c>
      <c r="R331" s="5">
        <f t="shared" si="22"/>
        <v>82241.279999999999</v>
      </c>
      <c r="S331" s="5">
        <f>Table1[[#This Row],[Total_Line_Spend]]-Table1[[#This Row],[Negotiated_Total]]</f>
        <v>2867.0399999999936</v>
      </c>
      <c r="T331" t="str">
        <f xml:space="preserve"> IF(Table1[[#This Row],[Delay_Days]] &gt; 4, "High Risk", IF(Table1[[#This Row],[Delay_Days]] &gt; 0, "Medium Risk", "Low Risk"))</f>
        <v>High Risk</v>
      </c>
    </row>
    <row r="332" spans="1:20" x14ac:dyDescent="0.25">
      <c r="A332" t="s">
        <v>357</v>
      </c>
      <c r="B332" t="s">
        <v>806</v>
      </c>
      <c r="C332" s="1">
        <v>44644</v>
      </c>
      <c r="D332" s="1">
        <v>44662</v>
      </c>
      <c r="E332" t="s">
        <v>21</v>
      </c>
      <c r="F332" t="s">
        <v>35</v>
      </c>
      <c r="G332">
        <v>196</v>
      </c>
      <c r="H332" s="5">
        <v>44.36</v>
      </c>
      <c r="I332" s="5">
        <v>43.81</v>
      </c>
      <c r="J332">
        <v>6</v>
      </c>
      <c r="K332" t="s">
        <v>15</v>
      </c>
      <c r="L332">
        <f t="shared" si="23"/>
        <v>18</v>
      </c>
      <c r="M332">
        <v>11</v>
      </c>
      <c r="N332">
        <f t="shared" si="20"/>
        <v>7</v>
      </c>
      <c r="O332" t="str">
        <f xml:space="preserve"> IF(AND(Table1[[#This Row],[Actual_Lead_Time]] &lt;= Table1[[#This Row],[Standard_Lead_Time]], OR(ISBLANK(J332), J332 = 0)), "OTIF", "Non-OTIF")</f>
        <v>Non-OTIF</v>
      </c>
      <c r="P332">
        <f>IF(Table1[[#This Row],[OTIF_Status]] = "OTIF", 1, 0)</f>
        <v>0</v>
      </c>
      <c r="Q332" s="5">
        <f t="shared" si="21"/>
        <v>8694.56</v>
      </c>
      <c r="R332" s="5">
        <f t="shared" si="22"/>
        <v>8586.76</v>
      </c>
      <c r="S332" s="5">
        <f>Table1[[#This Row],[Total_Line_Spend]]-Table1[[#This Row],[Negotiated_Total]]</f>
        <v>107.79999999999927</v>
      </c>
      <c r="T332" t="str">
        <f xml:space="preserve"> IF(Table1[[#This Row],[Delay_Days]] &gt; 4, "High Risk", IF(Table1[[#This Row],[Delay_Days]] &gt; 0, "Medium Risk", "Low Risk"))</f>
        <v>High Risk</v>
      </c>
    </row>
    <row r="333" spans="1:20" x14ac:dyDescent="0.25">
      <c r="A333" t="s">
        <v>358</v>
      </c>
      <c r="B333" t="s">
        <v>804</v>
      </c>
      <c r="C333" s="1">
        <v>44752</v>
      </c>
      <c r="D333" s="1">
        <v>44756</v>
      </c>
      <c r="E333" t="s">
        <v>13</v>
      </c>
      <c r="F333" t="s">
        <v>18</v>
      </c>
      <c r="G333">
        <v>1221</v>
      </c>
      <c r="H333" s="5">
        <v>53.19</v>
      </c>
      <c r="I333" s="5">
        <v>46.18</v>
      </c>
      <c r="J333">
        <v>29</v>
      </c>
      <c r="K333" t="s">
        <v>15</v>
      </c>
      <c r="L333">
        <f t="shared" si="23"/>
        <v>4</v>
      </c>
      <c r="M333">
        <v>11</v>
      </c>
      <c r="N333">
        <f t="shared" si="20"/>
        <v>0</v>
      </c>
      <c r="O333" t="str">
        <f xml:space="preserve"> IF(AND(Table1[[#This Row],[Actual_Lead_Time]] &lt;= Table1[[#This Row],[Standard_Lead_Time]], OR(ISBLANK(J333), J333 = 0)), "OTIF", "Non-OTIF")</f>
        <v>Non-OTIF</v>
      </c>
      <c r="P333">
        <f>IF(Table1[[#This Row],[OTIF_Status]] = "OTIF", 1, 0)</f>
        <v>0</v>
      </c>
      <c r="Q333" s="5">
        <f t="shared" si="21"/>
        <v>64944.99</v>
      </c>
      <c r="R333" s="5">
        <f t="shared" si="22"/>
        <v>56385.78</v>
      </c>
      <c r="S333" s="5">
        <f>Table1[[#This Row],[Total_Line_Spend]]-Table1[[#This Row],[Negotiated_Total]]</f>
        <v>8559.2099999999991</v>
      </c>
      <c r="T333" t="str">
        <f xml:space="preserve"> IF(Table1[[#This Row],[Delay_Days]] &gt; 4, "High Risk", IF(Table1[[#This Row],[Delay_Days]] &gt; 0, "Medium Risk", "Low Risk"))</f>
        <v>Low Risk</v>
      </c>
    </row>
    <row r="334" spans="1:20" x14ac:dyDescent="0.25">
      <c r="A334" t="s">
        <v>359</v>
      </c>
      <c r="B334" t="s">
        <v>804</v>
      </c>
      <c r="C334" s="1">
        <v>44632</v>
      </c>
      <c r="D334" s="1">
        <v>44646</v>
      </c>
      <c r="E334" t="s">
        <v>24</v>
      </c>
      <c r="F334" t="s">
        <v>18</v>
      </c>
      <c r="G334">
        <v>913</v>
      </c>
      <c r="H334" s="5">
        <v>37.5</v>
      </c>
      <c r="I334" s="5">
        <v>36.200000000000003</v>
      </c>
      <c r="K334" t="s">
        <v>15</v>
      </c>
      <c r="L334">
        <f t="shared" si="23"/>
        <v>14</v>
      </c>
      <c r="M334">
        <v>11</v>
      </c>
      <c r="N334">
        <f t="shared" si="20"/>
        <v>3</v>
      </c>
      <c r="O334" t="str">
        <f xml:space="preserve"> IF(AND(Table1[[#This Row],[Actual_Lead_Time]] &lt;= Table1[[#This Row],[Standard_Lead_Time]], OR(ISBLANK(J334), J334 = 0)), "OTIF", "Non-OTIF")</f>
        <v>Non-OTIF</v>
      </c>
      <c r="P334">
        <f>IF(Table1[[#This Row],[OTIF_Status]] = "OTIF", 1, 0)</f>
        <v>0</v>
      </c>
      <c r="Q334" s="5">
        <f t="shared" si="21"/>
        <v>34237.5</v>
      </c>
      <c r="R334" s="5">
        <f t="shared" si="22"/>
        <v>33050.600000000006</v>
      </c>
      <c r="S334" s="5">
        <f>Table1[[#This Row],[Total_Line_Spend]]-Table1[[#This Row],[Negotiated_Total]]</f>
        <v>1186.8999999999942</v>
      </c>
      <c r="T334" t="str">
        <f xml:space="preserve"> IF(Table1[[#This Row],[Delay_Days]] &gt; 4, "High Risk", IF(Table1[[#This Row],[Delay_Days]] &gt; 0, "Medium Risk", "Low Risk"))</f>
        <v>Medium Risk</v>
      </c>
    </row>
    <row r="335" spans="1:20" x14ac:dyDescent="0.25">
      <c r="A335" t="s">
        <v>360</v>
      </c>
      <c r="B335" t="s">
        <v>804</v>
      </c>
      <c r="C335" s="1">
        <v>45171</v>
      </c>
      <c r="D335" s="1">
        <v>45173</v>
      </c>
      <c r="E335" t="s">
        <v>24</v>
      </c>
      <c r="F335" t="s">
        <v>18</v>
      </c>
      <c r="G335">
        <v>1784</v>
      </c>
      <c r="H335" s="5">
        <v>85.01</v>
      </c>
      <c r="I335" s="5">
        <v>76.69</v>
      </c>
      <c r="J335">
        <v>37</v>
      </c>
      <c r="K335" t="s">
        <v>15</v>
      </c>
      <c r="L335">
        <f t="shared" si="23"/>
        <v>2</v>
      </c>
      <c r="M335">
        <v>11</v>
      </c>
      <c r="N335">
        <f t="shared" si="20"/>
        <v>0</v>
      </c>
      <c r="O335" t="str">
        <f xml:space="preserve"> IF(AND(Table1[[#This Row],[Actual_Lead_Time]] &lt;= Table1[[#This Row],[Standard_Lead_Time]], OR(ISBLANK(J335), J335 = 0)), "OTIF", "Non-OTIF")</f>
        <v>Non-OTIF</v>
      </c>
      <c r="P335">
        <f>IF(Table1[[#This Row],[OTIF_Status]] = "OTIF", 1, 0)</f>
        <v>0</v>
      </c>
      <c r="Q335" s="5">
        <f t="shared" si="21"/>
        <v>151657.84</v>
      </c>
      <c r="R335" s="5">
        <f t="shared" si="22"/>
        <v>136814.96</v>
      </c>
      <c r="S335" s="5">
        <f>Table1[[#This Row],[Total_Line_Spend]]-Table1[[#This Row],[Negotiated_Total]]</f>
        <v>14842.880000000005</v>
      </c>
      <c r="T335" t="str">
        <f xml:space="preserve"> IF(Table1[[#This Row],[Delay_Days]] &gt; 4, "High Risk", IF(Table1[[#This Row],[Delay_Days]] &gt; 0, "Medium Risk", "Low Risk"))</f>
        <v>Low Risk</v>
      </c>
    </row>
    <row r="336" spans="1:20" x14ac:dyDescent="0.25">
      <c r="A336" t="s">
        <v>361</v>
      </c>
      <c r="B336" t="s">
        <v>805</v>
      </c>
      <c r="C336" s="1">
        <v>44631</v>
      </c>
      <c r="D336" s="1">
        <v>44642</v>
      </c>
      <c r="E336" t="s">
        <v>26</v>
      </c>
      <c r="F336" t="s">
        <v>18</v>
      </c>
      <c r="G336">
        <v>1893</v>
      </c>
      <c r="H336" s="5">
        <v>55.8</v>
      </c>
      <c r="I336" s="5">
        <v>52.35</v>
      </c>
      <c r="K336" t="s">
        <v>15</v>
      </c>
      <c r="L336">
        <f t="shared" si="23"/>
        <v>11</v>
      </c>
      <c r="M336">
        <v>11</v>
      </c>
      <c r="N336">
        <f t="shared" si="20"/>
        <v>0</v>
      </c>
      <c r="O336" t="str">
        <f xml:space="preserve"> IF(AND(Table1[[#This Row],[Actual_Lead_Time]] &lt;= Table1[[#This Row],[Standard_Lead_Time]], OR(ISBLANK(J336), J336 = 0)), "OTIF", "Non-OTIF")</f>
        <v>OTIF</v>
      </c>
      <c r="P336">
        <f>IF(Table1[[#This Row],[OTIF_Status]] = "OTIF", 1, 0)</f>
        <v>1</v>
      </c>
      <c r="Q336" s="5">
        <f t="shared" si="21"/>
        <v>105629.4</v>
      </c>
      <c r="R336" s="5">
        <f t="shared" si="22"/>
        <v>99098.55</v>
      </c>
      <c r="S336" s="5">
        <f>Table1[[#This Row],[Total_Line_Spend]]-Table1[[#This Row],[Negotiated_Total]]</f>
        <v>6530.8499999999913</v>
      </c>
      <c r="T336" t="str">
        <f xml:space="preserve"> IF(Table1[[#This Row],[Delay_Days]] &gt; 4, "High Risk", IF(Table1[[#This Row],[Delay_Days]] &gt; 0, "Medium Risk", "Low Risk"))</f>
        <v>Low Risk</v>
      </c>
    </row>
    <row r="337" spans="1:20" x14ac:dyDescent="0.25">
      <c r="A337" t="s">
        <v>362</v>
      </c>
      <c r="B337" t="s">
        <v>805</v>
      </c>
      <c r="C337" s="1">
        <v>45253</v>
      </c>
      <c r="D337" s="1">
        <v>45265</v>
      </c>
      <c r="E337" t="s">
        <v>39</v>
      </c>
      <c r="F337" t="s">
        <v>35</v>
      </c>
      <c r="G337">
        <v>538</v>
      </c>
      <c r="H337" s="5">
        <v>34.299999999999997</v>
      </c>
      <c r="I337" s="5">
        <v>32.25</v>
      </c>
      <c r="J337">
        <v>84</v>
      </c>
      <c r="K337" t="s">
        <v>27</v>
      </c>
      <c r="L337">
        <f t="shared" si="23"/>
        <v>12</v>
      </c>
      <c r="M337">
        <v>11</v>
      </c>
      <c r="N337">
        <f t="shared" si="20"/>
        <v>1</v>
      </c>
      <c r="O337" t="str">
        <f xml:space="preserve"> IF(AND(Table1[[#This Row],[Actual_Lead_Time]] &lt;= Table1[[#This Row],[Standard_Lead_Time]], OR(ISBLANK(J337), J337 = 0)), "OTIF", "Non-OTIF")</f>
        <v>Non-OTIF</v>
      </c>
      <c r="P337">
        <f>IF(Table1[[#This Row],[OTIF_Status]] = "OTIF", 1, 0)</f>
        <v>0</v>
      </c>
      <c r="Q337" s="5">
        <f t="shared" si="21"/>
        <v>18453.399999999998</v>
      </c>
      <c r="R337" s="5">
        <f t="shared" si="22"/>
        <v>17350.5</v>
      </c>
      <c r="S337" s="5">
        <f>Table1[[#This Row],[Total_Line_Spend]]-Table1[[#This Row],[Negotiated_Total]]</f>
        <v>1102.8999999999978</v>
      </c>
      <c r="T337" t="str">
        <f xml:space="preserve"> IF(Table1[[#This Row],[Delay_Days]] &gt; 4, "High Risk", IF(Table1[[#This Row],[Delay_Days]] &gt; 0, "Medium Risk", "Low Risk"))</f>
        <v>Medium Risk</v>
      </c>
    </row>
    <row r="338" spans="1:20" x14ac:dyDescent="0.25">
      <c r="A338" t="s">
        <v>363</v>
      </c>
      <c r="B338" t="s">
        <v>805</v>
      </c>
      <c r="C338" s="1">
        <v>44802</v>
      </c>
      <c r="D338" s="1">
        <v>44819</v>
      </c>
      <c r="E338" t="s">
        <v>13</v>
      </c>
      <c r="F338" t="s">
        <v>35</v>
      </c>
      <c r="G338">
        <v>978</v>
      </c>
      <c r="H338" s="5">
        <v>94.15</v>
      </c>
      <c r="I338" s="5">
        <v>87.7</v>
      </c>
      <c r="J338">
        <v>149</v>
      </c>
      <c r="K338" t="s">
        <v>27</v>
      </c>
      <c r="L338">
        <f t="shared" si="23"/>
        <v>17</v>
      </c>
      <c r="M338">
        <v>11</v>
      </c>
      <c r="N338">
        <f t="shared" si="20"/>
        <v>6</v>
      </c>
      <c r="O338" t="str">
        <f xml:space="preserve"> IF(AND(Table1[[#This Row],[Actual_Lead_Time]] &lt;= Table1[[#This Row],[Standard_Lead_Time]], OR(ISBLANK(J338), J338 = 0)), "OTIF", "Non-OTIF")</f>
        <v>Non-OTIF</v>
      </c>
      <c r="P338">
        <f>IF(Table1[[#This Row],[OTIF_Status]] = "OTIF", 1, 0)</f>
        <v>0</v>
      </c>
      <c r="Q338" s="5">
        <f t="shared" si="21"/>
        <v>92078.700000000012</v>
      </c>
      <c r="R338" s="5">
        <f t="shared" si="22"/>
        <v>85770.6</v>
      </c>
      <c r="S338" s="5">
        <f>Table1[[#This Row],[Total_Line_Spend]]-Table1[[#This Row],[Negotiated_Total]]</f>
        <v>6308.1000000000058</v>
      </c>
      <c r="T338" t="str">
        <f xml:space="preserve"> IF(Table1[[#This Row],[Delay_Days]] &gt; 4, "High Risk", IF(Table1[[#This Row],[Delay_Days]] &gt; 0, "Medium Risk", "Low Risk"))</f>
        <v>High Risk</v>
      </c>
    </row>
    <row r="339" spans="1:20" x14ac:dyDescent="0.25">
      <c r="A339" t="s">
        <v>364</v>
      </c>
      <c r="B339" t="s">
        <v>808</v>
      </c>
      <c r="C339" s="1">
        <v>44975</v>
      </c>
      <c r="D339" s="1">
        <v>44991</v>
      </c>
      <c r="E339" t="s">
        <v>26</v>
      </c>
      <c r="F339" t="s">
        <v>14</v>
      </c>
      <c r="G339">
        <v>1713</v>
      </c>
      <c r="H339" s="5">
        <v>47.45</v>
      </c>
      <c r="I339" s="5">
        <v>42.05</v>
      </c>
      <c r="J339">
        <v>53</v>
      </c>
      <c r="K339" t="s">
        <v>15</v>
      </c>
      <c r="L339">
        <f t="shared" si="23"/>
        <v>16</v>
      </c>
      <c r="M339">
        <v>11</v>
      </c>
      <c r="N339">
        <f t="shared" si="20"/>
        <v>5</v>
      </c>
      <c r="O339" t="str">
        <f xml:space="preserve"> IF(AND(Table1[[#This Row],[Actual_Lead_Time]] &lt;= Table1[[#This Row],[Standard_Lead_Time]], OR(ISBLANK(J339), J339 = 0)), "OTIF", "Non-OTIF")</f>
        <v>Non-OTIF</v>
      </c>
      <c r="P339">
        <f>IF(Table1[[#This Row],[OTIF_Status]] = "OTIF", 1, 0)</f>
        <v>0</v>
      </c>
      <c r="Q339" s="5">
        <f t="shared" si="21"/>
        <v>81281.850000000006</v>
      </c>
      <c r="R339" s="5">
        <f t="shared" si="22"/>
        <v>72031.649999999994</v>
      </c>
      <c r="S339" s="5">
        <f>Table1[[#This Row],[Total_Line_Spend]]-Table1[[#This Row],[Negotiated_Total]]</f>
        <v>9250.2000000000116</v>
      </c>
      <c r="T339" t="str">
        <f xml:space="preserve"> IF(Table1[[#This Row],[Delay_Days]] &gt; 4, "High Risk", IF(Table1[[#This Row],[Delay_Days]] &gt; 0, "Medium Risk", "Low Risk"))</f>
        <v>High Risk</v>
      </c>
    </row>
    <row r="340" spans="1:20" x14ac:dyDescent="0.25">
      <c r="A340" t="s">
        <v>365</v>
      </c>
      <c r="B340" t="s">
        <v>805</v>
      </c>
      <c r="C340" s="1">
        <v>44684</v>
      </c>
      <c r="D340" s="1">
        <v>44688</v>
      </c>
      <c r="E340" t="s">
        <v>26</v>
      </c>
      <c r="F340" t="s">
        <v>35</v>
      </c>
      <c r="G340">
        <v>600</v>
      </c>
      <c r="H340" s="5">
        <v>60.1</v>
      </c>
      <c r="I340" s="5">
        <v>57.92</v>
      </c>
      <c r="J340">
        <v>95</v>
      </c>
      <c r="K340" t="s">
        <v>27</v>
      </c>
      <c r="L340">
        <f t="shared" si="23"/>
        <v>4</v>
      </c>
      <c r="M340">
        <v>11</v>
      </c>
      <c r="N340">
        <f t="shared" si="20"/>
        <v>0</v>
      </c>
      <c r="O340" t="str">
        <f xml:space="preserve"> IF(AND(Table1[[#This Row],[Actual_Lead_Time]] &lt;= Table1[[#This Row],[Standard_Lead_Time]], OR(ISBLANK(J340), J340 = 0)), "OTIF", "Non-OTIF")</f>
        <v>Non-OTIF</v>
      </c>
      <c r="P340">
        <f>IF(Table1[[#This Row],[OTIF_Status]] = "OTIF", 1, 0)</f>
        <v>0</v>
      </c>
      <c r="Q340" s="5">
        <f t="shared" si="21"/>
        <v>36060</v>
      </c>
      <c r="R340" s="5">
        <f t="shared" si="22"/>
        <v>34752</v>
      </c>
      <c r="S340" s="5">
        <f>Table1[[#This Row],[Total_Line_Spend]]-Table1[[#This Row],[Negotiated_Total]]</f>
        <v>1308</v>
      </c>
      <c r="T340" t="str">
        <f xml:space="preserve"> IF(Table1[[#This Row],[Delay_Days]] &gt; 4, "High Risk", IF(Table1[[#This Row],[Delay_Days]] &gt; 0, "Medium Risk", "Low Risk"))</f>
        <v>Low Risk</v>
      </c>
    </row>
    <row r="341" spans="1:20" x14ac:dyDescent="0.25">
      <c r="A341" t="s">
        <v>366</v>
      </c>
      <c r="B341" t="s">
        <v>804</v>
      </c>
      <c r="C341" s="1">
        <v>45145</v>
      </c>
      <c r="D341" s="1">
        <v>45163</v>
      </c>
      <c r="E341" t="s">
        <v>39</v>
      </c>
      <c r="F341" t="s">
        <v>35</v>
      </c>
      <c r="G341">
        <v>387</v>
      </c>
      <c r="H341" s="5">
        <v>100.28</v>
      </c>
      <c r="I341" s="5">
        <v>85.54</v>
      </c>
      <c r="J341">
        <v>5</v>
      </c>
      <c r="K341" t="s">
        <v>15</v>
      </c>
      <c r="L341">
        <f t="shared" si="23"/>
        <v>18</v>
      </c>
      <c r="M341">
        <v>11</v>
      </c>
      <c r="N341">
        <f t="shared" si="20"/>
        <v>7</v>
      </c>
      <c r="O341" t="str">
        <f xml:space="preserve"> IF(AND(Table1[[#This Row],[Actual_Lead_Time]] &lt;= Table1[[#This Row],[Standard_Lead_Time]], OR(ISBLANK(J341), J341 = 0)), "OTIF", "Non-OTIF")</f>
        <v>Non-OTIF</v>
      </c>
      <c r="P341">
        <f>IF(Table1[[#This Row],[OTIF_Status]] = "OTIF", 1, 0)</f>
        <v>0</v>
      </c>
      <c r="Q341" s="5">
        <f t="shared" si="21"/>
        <v>38808.36</v>
      </c>
      <c r="R341" s="5">
        <f t="shared" si="22"/>
        <v>33103.980000000003</v>
      </c>
      <c r="S341" s="5">
        <f>Table1[[#This Row],[Total_Line_Spend]]-Table1[[#This Row],[Negotiated_Total]]</f>
        <v>5704.3799999999974</v>
      </c>
      <c r="T341" t="str">
        <f xml:space="preserve"> IF(Table1[[#This Row],[Delay_Days]] &gt; 4, "High Risk", IF(Table1[[#This Row],[Delay_Days]] &gt; 0, "Medium Risk", "Low Risk"))</f>
        <v>High Risk</v>
      </c>
    </row>
    <row r="342" spans="1:20" x14ac:dyDescent="0.25">
      <c r="A342" t="s">
        <v>367</v>
      </c>
      <c r="B342" t="s">
        <v>804</v>
      </c>
      <c r="C342" s="1">
        <v>44814</v>
      </c>
      <c r="D342" s="1">
        <v>44823</v>
      </c>
      <c r="E342" t="s">
        <v>21</v>
      </c>
      <c r="F342" t="s">
        <v>35</v>
      </c>
      <c r="G342">
        <v>921</v>
      </c>
      <c r="H342" s="5">
        <v>68.83</v>
      </c>
      <c r="I342" s="5">
        <v>59.13</v>
      </c>
      <c r="J342">
        <v>22</v>
      </c>
      <c r="K342" t="s">
        <v>15</v>
      </c>
      <c r="L342">
        <f t="shared" si="23"/>
        <v>9</v>
      </c>
      <c r="M342">
        <v>11</v>
      </c>
      <c r="N342">
        <f t="shared" si="20"/>
        <v>0</v>
      </c>
      <c r="O342" t="str">
        <f xml:space="preserve"> IF(AND(Table1[[#This Row],[Actual_Lead_Time]] &lt;= Table1[[#This Row],[Standard_Lead_Time]], OR(ISBLANK(J342), J342 = 0)), "OTIF", "Non-OTIF")</f>
        <v>Non-OTIF</v>
      </c>
      <c r="P342">
        <f>IF(Table1[[#This Row],[OTIF_Status]] = "OTIF", 1, 0)</f>
        <v>0</v>
      </c>
      <c r="Q342" s="5">
        <f t="shared" si="21"/>
        <v>63392.43</v>
      </c>
      <c r="R342" s="5">
        <f t="shared" si="22"/>
        <v>54458.73</v>
      </c>
      <c r="S342" s="5">
        <f>Table1[[#This Row],[Total_Line_Spend]]-Table1[[#This Row],[Negotiated_Total]]</f>
        <v>8933.6999999999971</v>
      </c>
      <c r="T342" t="str">
        <f xml:space="preserve"> IF(Table1[[#This Row],[Delay_Days]] &gt; 4, "High Risk", IF(Table1[[#This Row],[Delay_Days]] &gt; 0, "Medium Risk", "Low Risk"))</f>
        <v>Low Risk</v>
      </c>
    </row>
    <row r="343" spans="1:20" x14ac:dyDescent="0.25">
      <c r="A343" t="s">
        <v>368</v>
      </c>
      <c r="B343" t="s">
        <v>807</v>
      </c>
      <c r="C343" s="1">
        <v>45154</v>
      </c>
      <c r="D343" s="1">
        <v>45168</v>
      </c>
      <c r="E343" t="s">
        <v>21</v>
      </c>
      <c r="F343" t="s">
        <v>18</v>
      </c>
      <c r="G343">
        <v>690</v>
      </c>
      <c r="H343" s="5">
        <v>22.47</v>
      </c>
      <c r="I343" s="5">
        <v>21.94</v>
      </c>
      <c r="J343">
        <v>77</v>
      </c>
      <c r="K343" t="s">
        <v>15</v>
      </c>
      <c r="L343">
        <f t="shared" si="23"/>
        <v>14</v>
      </c>
      <c r="M343">
        <v>11</v>
      </c>
      <c r="N343">
        <f t="shared" si="20"/>
        <v>3</v>
      </c>
      <c r="O343" t="str">
        <f xml:space="preserve"> IF(AND(Table1[[#This Row],[Actual_Lead_Time]] &lt;= Table1[[#This Row],[Standard_Lead_Time]], OR(ISBLANK(J343), J343 = 0)), "OTIF", "Non-OTIF")</f>
        <v>Non-OTIF</v>
      </c>
      <c r="P343">
        <f>IF(Table1[[#This Row],[OTIF_Status]] = "OTIF", 1, 0)</f>
        <v>0</v>
      </c>
      <c r="Q343" s="5">
        <f t="shared" si="21"/>
        <v>15504.3</v>
      </c>
      <c r="R343" s="5">
        <f t="shared" si="22"/>
        <v>15138.6</v>
      </c>
      <c r="S343" s="5">
        <f>Table1[[#This Row],[Total_Line_Spend]]-Table1[[#This Row],[Negotiated_Total]]</f>
        <v>365.69999999999891</v>
      </c>
      <c r="T343" t="str">
        <f xml:space="preserve"> IF(Table1[[#This Row],[Delay_Days]] &gt; 4, "High Risk", IF(Table1[[#This Row],[Delay_Days]] &gt; 0, "Medium Risk", "Low Risk"))</f>
        <v>Medium Risk</v>
      </c>
    </row>
    <row r="344" spans="1:20" x14ac:dyDescent="0.25">
      <c r="A344" t="s">
        <v>369</v>
      </c>
      <c r="B344" t="s">
        <v>804</v>
      </c>
      <c r="C344" s="1">
        <v>45170</v>
      </c>
      <c r="D344" s="1">
        <v>45190</v>
      </c>
      <c r="E344" t="s">
        <v>13</v>
      </c>
      <c r="F344" t="s">
        <v>14</v>
      </c>
      <c r="G344">
        <v>1852</v>
      </c>
      <c r="H344" s="5">
        <v>104.04</v>
      </c>
      <c r="I344" s="5">
        <v>94.89</v>
      </c>
      <c r="J344">
        <v>36</v>
      </c>
      <c r="K344" t="s">
        <v>15</v>
      </c>
      <c r="L344">
        <f t="shared" si="23"/>
        <v>20</v>
      </c>
      <c r="M344">
        <v>11</v>
      </c>
      <c r="N344">
        <f t="shared" si="20"/>
        <v>9</v>
      </c>
      <c r="O344" t="str">
        <f xml:space="preserve"> IF(AND(Table1[[#This Row],[Actual_Lead_Time]] &lt;= Table1[[#This Row],[Standard_Lead_Time]], OR(ISBLANK(J344), J344 = 0)), "OTIF", "Non-OTIF")</f>
        <v>Non-OTIF</v>
      </c>
      <c r="P344">
        <f>IF(Table1[[#This Row],[OTIF_Status]] = "OTIF", 1, 0)</f>
        <v>0</v>
      </c>
      <c r="Q344" s="5">
        <f t="shared" si="21"/>
        <v>192682.08000000002</v>
      </c>
      <c r="R344" s="5">
        <f t="shared" si="22"/>
        <v>175736.28</v>
      </c>
      <c r="S344" s="5">
        <f>Table1[[#This Row],[Total_Line_Spend]]-Table1[[#This Row],[Negotiated_Total]]</f>
        <v>16945.800000000017</v>
      </c>
      <c r="T344" t="str">
        <f xml:space="preserve"> IF(Table1[[#This Row],[Delay_Days]] &gt; 4, "High Risk", IF(Table1[[#This Row],[Delay_Days]] &gt; 0, "Medium Risk", "Low Risk"))</f>
        <v>High Risk</v>
      </c>
    </row>
    <row r="345" spans="1:20" x14ac:dyDescent="0.25">
      <c r="A345" t="s">
        <v>370</v>
      </c>
      <c r="B345" t="s">
        <v>805</v>
      </c>
      <c r="C345" s="1">
        <v>44602</v>
      </c>
      <c r="D345" s="1">
        <v>44620</v>
      </c>
      <c r="E345" t="s">
        <v>39</v>
      </c>
      <c r="F345" t="s">
        <v>18</v>
      </c>
      <c r="G345">
        <v>522</v>
      </c>
      <c r="H345" s="5">
        <v>66.83</v>
      </c>
      <c r="I345" s="5">
        <v>58.01</v>
      </c>
      <c r="J345">
        <v>74</v>
      </c>
      <c r="K345" t="s">
        <v>15</v>
      </c>
      <c r="L345">
        <f t="shared" si="23"/>
        <v>18</v>
      </c>
      <c r="M345">
        <v>11</v>
      </c>
      <c r="N345">
        <f t="shared" si="20"/>
        <v>7</v>
      </c>
      <c r="O345" t="str">
        <f xml:space="preserve"> IF(AND(Table1[[#This Row],[Actual_Lead_Time]] &lt;= Table1[[#This Row],[Standard_Lead_Time]], OR(ISBLANK(J345), J345 = 0)), "OTIF", "Non-OTIF")</f>
        <v>Non-OTIF</v>
      </c>
      <c r="P345">
        <f>IF(Table1[[#This Row],[OTIF_Status]] = "OTIF", 1, 0)</f>
        <v>0</v>
      </c>
      <c r="Q345" s="5">
        <f t="shared" si="21"/>
        <v>34885.26</v>
      </c>
      <c r="R345" s="5">
        <f t="shared" si="22"/>
        <v>30281.219999999998</v>
      </c>
      <c r="S345" s="5">
        <f>Table1[[#This Row],[Total_Line_Spend]]-Table1[[#This Row],[Negotiated_Total]]</f>
        <v>4604.0400000000045</v>
      </c>
      <c r="T345" t="str">
        <f xml:space="preserve"> IF(Table1[[#This Row],[Delay_Days]] &gt; 4, "High Risk", IF(Table1[[#This Row],[Delay_Days]] &gt; 0, "Medium Risk", "Low Risk"))</f>
        <v>High Risk</v>
      </c>
    </row>
    <row r="346" spans="1:20" x14ac:dyDescent="0.25">
      <c r="A346" t="s">
        <v>371</v>
      </c>
      <c r="B346" t="s">
        <v>805</v>
      </c>
      <c r="C346" s="1">
        <v>45196</v>
      </c>
      <c r="D346" s="1">
        <v>45205</v>
      </c>
      <c r="E346" t="s">
        <v>39</v>
      </c>
      <c r="F346" t="s">
        <v>18</v>
      </c>
      <c r="G346">
        <v>200</v>
      </c>
      <c r="H346" s="5">
        <v>44.16</v>
      </c>
      <c r="I346" s="5">
        <v>43.13</v>
      </c>
      <c r="J346">
        <v>21</v>
      </c>
      <c r="K346" t="s">
        <v>15</v>
      </c>
      <c r="L346">
        <f t="shared" si="23"/>
        <v>9</v>
      </c>
      <c r="M346">
        <v>11</v>
      </c>
      <c r="N346">
        <f t="shared" si="20"/>
        <v>0</v>
      </c>
      <c r="O346" t="str">
        <f xml:space="preserve"> IF(AND(Table1[[#This Row],[Actual_Lead_Time]] &lt;= Table1[[#This Row],[Standard_Lead_Time]], OR(ISBLANK(J346), J346 = 0)), "OTIF", "Non-OTIF")</f>
        <v>Non-OTIF</v>
      </c>
      <c r="P346">
        <f>IF(Table1[[#This Row],[OTIF_Status]] = "OTIF", 1, 0)</f>
        <v>0</v>
      </c>
      <c r="Q346" s="5">
        <f t="shared" si="21"/>
        <v>8832</v>
      </c>
      <c r="R346" s="5">
        <f t="shared" si="22"/>
        <v>8626</v>
      </c>
      <c r="S346" s="5">
        <f>Table1[[#This Row],[Total_Line_Spend]]-Table1[[#This Row],[Negotiated_Total]]</f>
        <v>206</v>
      </c>
      <c r="T346" t="str">
        <f xml:space="preserve"> IF(Table1[[#This Row],[Delay_Days]] &gt; 4, "High Risk", IF(Table1[[#This Row],[Delay_Days]] &gt; 0, "Medium Risk", "Low Risk"))</f>
        <v>Low Risk</v>
      </c>
    </row>
    <row r="347" spans="1:20" x14ac:dyDescent="0.25">
      <c r="A347" t="s">
        <v>372</v>
      </c>
      <c r="B347" t="s">
        <v>806</v>
      </c>
      <c r="C347" s="1">
        <v>44645</v>
      </c>
      <c r="D347" s="1">
        <v>44654</v>
      </c>
      <c r="E347" t="s">
        <v>24</v>
      </c>
      <c r="F347" t="s">
        <v>18</v>
      </c>
      <c r="G347">
        <v>1488</v>
      </c>
      <c r="H347" s="5">
        <v>22.76</v>
      </c>
      <c r="I347" s="5">
        <v>21.99</v>
      </c>
      <c r="K347" t="s">
        <v>15</v>
      </c>
      <c r="L347">
        <f t="shared" si="23"/>
        <v>9</v>
      </c>
      <c r="M347">
        <v>11</v>
      </c>
      <c r="N347">
        <f t="shared" si="20"/>
        <v>0</v>
      </c>
      <c r="O347" t="str">
        <f xml:space="preserve"> IF(AND(Table1[[#This Row],[Actual_Lead_Time]] &lt;= Table1[[#This Row],[Standard_Lead_Time]], OR(ISBLANK(J347), J347 = 0)), "OTIF", "Non-OTIF")</f>
        <v>OTIF</v>
      </c>
      <c r="P347">
        <f>IF(Table1[[#This Row],[OTIF_Status]] = "OTIF", 1, 0)</f>
        <v>1</v>
      </c>
      <c r="Q347" s="5">
        <f t="shared" si="21"/>
        <v>33866.880000000005</v>
      </c>
      <c r="R347" s="5">
        <f t="shared" si="22"/>
        <v>32721.119999999999</v>
      </c>
      <c r="S347" s="5">
        <f>Table1[[#This Row],[Total_Line_Spend]]-Table1[[#This Row],[Negotiated_Total]]</f>
        <v>1145.7600000000057</v>
      </c>
      <c r="T347" t="str">
        <f xml:space="preserve"> IF(Table1[[#This Row],[Delay_Days]] &gt; 4, "High Risk", IF(Table1[[#This Row],[Delay_Days]] &gt; 0, "Medium Risk", "Low Risk"))</f>
        <v>Low Risk</v>
      </c>
    </row>
    <row r="348" spans="1:20" x14ac:dyDescent="0.25">
      <c r="A348" t="s">
        <v>373</v>
      </c>
      <c r="B348" t="s">
        <v>808</v>
      </c>
      <c r="C348" s="1">
        <v>44991</v>
      </c>
      <c r="D348" s="1">
        <v>45001</v>
      </c>
      <c r="E348" t="s">
        <v>39</v>
      </c>
      <c r="F348" t="s">
        <v>18</v>
      </c>
      <c r="G348">
        <v>1371</v>
      </c>
      <c r="H348" s="5">
        <v>87.16</v>
      </c>
      <c r="I348" s="5">
        <v>78.13</v>
      </c>
      <c r="J348">
        <v>43</v>
      </c>
      <c r="K348" t="s">
        <v>15</v>
      </c>
      <c r="L348">
        <f t="shared" si="23"/>
        <v>10</v>
      </c>
      <c r="M348">
        <v>11</v>
      </c>
      <c r="N348">
        <f t="shared" si="20"/>
        <v>0</v>
      </c>
      <c r="O348" t="str">
        <f xml:space="preserve"> IF(AND(Table1[[#This Row],[Actual_Lead_Time]] &lt;= Table1[[#This Row],[Standard_Lead_Time]], OR(ISBLANK(J348), J348 = 0)), "OTIF", "Non-OTIF")</f>
        <v>Non-OTIF</v>
      </c>
      <c r="P348">
        <f>IF(Table1[[#This Row],[OTIF_Status]] = "OTIF", 1, 0)</f>
        <v>0</v>
      </c>
      <c r="Q348" s="5">
        <f t="shared" si="21"/>
        <v>119496.36</v>
      </c>
      <c r="R348" s="5">
        <f t="shared" si="22"/>
        <v>107116.23</v>
      </c>
      <c r="S348" s="5">
        <f>Table1[[#This Row],[Total_Line_Spend]]-Table1[[#This Row],[Negotiated_Total]]</f>
        <v>12380.130000000005</v>
      </c>
      <c r="T348" t="str">
        <f xml:space="preserve"> IF(Table1[[#This Row],[Delay_Days]] &gt; 4, "High Risk", IF(Table1[[#This Row],[Delay_Days]] &gt; 0, "Medium Risk", "Low Risk"))</f>
        <v>Low Risk</v>
      </c>
    </row>
    <row r="349" spans="1:20" x14ac:dyDescent="0.25">
      <c r="A349" t="s">
        <v>374</v>
      </c>
      <c r="B349" t="s">
        <v>804</v>
      </c>
      <c r="C349" s="1">
        <v>45235</v>
      </c>
      <c r="D349" s="1">
        <v>45246</v>
      </c>
      <c r="E349" t="s">
        <v>13</v>
      </c>
      <c r="F349" t="s">
        <v>18</v>
      </c>
      <c r="G349">
        <v>1684</v>
      </c>
      <c r="H349" s="5">
        <v>73.05</v>
      </c>
      <c r="I349" s="5">
        <v>62.53</v>
      </c>
      <c r="K349" t="s">
        <v>15</v>
      </c>
      <c r="L349">
        <f t="shared" si="23"/>
        <v>11</v>
      </c>
      <c r="M349">
        <v>11</v>
      </c>
      <c r="N349">
        <f t="shared" si="20"/>
        <v>0</v>
      </c>
      <c r="O349" t="str">
        <f xml:space="preserve"> IF(AND(Table1[[#This Row],[Actual_Lead_Time]] &lt;= Table1[[#This Row],[Standard_Lead_Time]], OR(ISBLANK(J349), J349 = 0)), "OTIF", "Non-OTIF")</f>
        <v>OTIF</v>
      </c>
      <c r="P349">
        <f>IF(Table1[[#This Row],[OTIF_Status]] = "OTIF", 1, 0)</f>
        <v>1</v>
      </c>
      <c r="Q349" s="5">
        <f t="shared" si="21"/>
        <v>123016.2</v>
      </c>
      <c r="R349" s="5">
        <f t="shared" si="22"/>
        <v>105300.52</v>
      </c>
      <c r="S349" s="5">
        <f>Table1[[#This Row],[Total_Line_Spend]]-Table1[[#This Row],[Negotiated_Total]]</f>
        <v>17715.679999999993</v>
      </c>
      <c r="T349" t="str">
        <f xml:space="preserve"> IF(Table1[[#This Row],[Delay_Days]] &gt; 4, "High Risk", IF(Table1[[#This Row],[Delay_Days]] &gt; 0, "Medium Risk", "Low Risk"))</f>
        <v>Low Risk</v>
      </c>
    </row>
    <row r="350" spans="1:20" x14ac:dyDescent="0.25">
      <c r="A350" t="s">
        <v>375</v>
      </c>
      <c r="B350" t="s">
        <v>808</v>
      </c>
      <c r="C350" s="1">
        <v>45159</v>
      </c>
      <c r="D350" s="1">
        <v>45165</v>
      </c>
      <c r="E350" t="s">
        <v>39</v>
      </c>
      <c r="F350" t="s">
        <v>18</v>
      </c>
      <c r="G350">
        <v>312</v>
      </c>
      <c r="H350" s="5">
        <v>63.52</v>
      </c>
      <c r="I350" s="5">
        <v>58.09</v>
      </c>
      <c r="K350" t="s">
        <v>15</v>
      </c>
      <c r="L350">
        <f t="shared" si="23"/>
        <v>6</v>
      </c>
      <c r="M350">
        <v>11</v>
      </c>
      <c r="N350">
        <f t="shared" si="20"/>
        <v>0</v>
      </c>
      <c r="O350" t="str">
        <f xml:space="preserve"> IF(AND(Table1[[#This Row],[Actual_Lead_Time]] &lt;= Table1[[#This Row],[Standard_Lead_Time]], OR(ISBLANK(J350), J350 = 0)), "OTIF", "Non-OTIF")</f>
        <v>OTIF</v>
      </c>
      <c r="P350">
        <f>IF(Table1[[#This Row],[OTIF_Status]] = "OTIF", 1, 0)</f>
        <v>1</v>
      </c>
      <c r="Q350" s="5">
        <f t="shared" si="21"/>
        <v>19818.240000000002</v>
      </c>
      <c r="R350" s="5">
        <f t="shared" si="22"/>
        <v>18124.080000000002</v>
      </c>
      <c r="S350" s="5">
        <f>Table1[[#This Row],[Total_Line_Spend]]-Table1[[#This Row],[Negotiated_Total]]</f>
        <v>1694.1599999999999</v>
      </c>
      <c r="T350" t="str">
        <f xml:space="preserve"> IF(Table1[[#This Row],[Delay_Days]] &gt; 4, "High Risk", IF(Table1[[#This Row],[Delay_Days]] &gt; 0, "Medium Risk", "Low Risk"))</f>
        <v>Low Risk</v>
      </c>
    </row>
    <row r="351" spans="1:20" x14ac:dyDescent="0.25">
      <c r="A351" t="s">
        <v>376</v>
      </c>
      <c r="B351" t="s">
        <v>804</v>
      </c>
      <c r="C351" s="1">
        <v>45140</v>
      </c>
      <c r="D351" s="1">
        <v>45159</v>
      </c>
      <c r="E351" t="s">
        <v>24</v>
      </c>
      <c r="F351" t="s">
        <v>14</v>
      </c>
      <c r="G351">
        <v>1837</v>
      </c>
      <c r="H351" s="5">
        <v>99.04</v>
      </c>
      <c r="I351" s="5">
        <v>86.51</v>
      </c>
      <c r="J351">
        <v>39</v>
      </c>
      <c r="K351" t="s">
        <v>15</v>
      </c>
      <c r="L351">
        <f t="shared" si="23"/>
        <v>19</v>
      </c>
      <c r="M351">
        <v>11</v>
      </c>
      <c r="N351">
        <f t="shared" si="20"/>
        <v>8</v>
      </c>
      <c r="O351" t="str">
        <f xml:space="preserve"> IF(AND(Table1[[#This Row],[Actual_Lead_Time]] &lt;= Table1[[#This Row],[Standard_Lead_Time]], OR(ISBLANK(J351), J351 = 0)), "OTIF", "Non-OTIF")</f>
        <v>Non-OTIF</v>
      </c>
      <c r="P351">
        <f>IF(Table1[[#This Row],[OTIF_Status]] = "OTIF", 1, 0)</f>
        <v>0</v>
      </c>
      <c r="Q351" s="5">
        <f t="shared" si="21"/>
        <v>181936.48</v>
      </c>
      <c r="R351" s="5">
        <f t="shared" si="22"/>
        <v>158918.87</v>
      </c>
      <c r="S351" s="5">
        <f>Table1[[#This Row],[Total_Line_Spend]]-Table1[[#This Row],[Negotiated_Total]]</f>
        <v>23017.610000000015</v>
      </c>
      <c r="T351" t="str">
        <f xml:space="preserve"> IF(Table1[[#This Row],[Delay_Days]] &gt; 4, "High Risk", IF(Table1[[#This Row],[Delay_Days]] &gt; 0, "Medium Risk", "Low Risk"))</f>
        <v>High Risk</v>
      </c>
    </row>
    <row r="352" spans="1:20" x14ac:dyDescent="0.25">
      <c r="A352" t="s">
        <v>377</v>
      </c>
      <c r="B352" t="s">
        <v>807</v>
      </c>
      <c r="C352" s="1">
        <v>45097</v>
      </c>
      <c r="D352" s="1">
        <v>45100</v>
      </c>
      <c r="E352" t="s">
        <v>21</v>
      </c>
      <c r="F352" t="s">
        <v>18</v>
      </c>
      <c r="G352">
        <v>193</v>
      </c>
      <c r="H352" s="5">
        <v>87.86</v>
      </c>
      <c r="I352" s="5">
        <v>81.739999999999995</v>
      </c>
      <c r="J352">
        <v>21</v>
      </c>
      <c r="K352" t="s">
        <v>15</v>
      </c>
      <c r="L352">
        <f t="shared" si="23"/>
        <v>3</v>
      </c>
      <c r="M352">
        <v>11</v>
      </c>
      <c r="N352">
        <f t="shared" si="20"/>
        <v>0</v>
      </c>
      <c r="O352" t="str">
        <f xml:space="preserve"> IF(AND(Table1[[#This Row],[Actual_Lead_Time]] &lt;= Table1[[#This Row],[Standard_Lead_Time]], OR(ISBLANK(J352), J352 = 0)), "OTIF", "Non-OTIF")</f>
        <v>Non-OTIF</v>
      </c>
      <c r="P352">
        <f>IF(Table1[[#This Row],[OTIF_Status]] = "OTIF", 1, 0)</f>
        <v>0</v>
      </c>
      <c r="Q352" s="5">
        <f t="shared" si="21"/>
        <v>16956.98</v>
      </c>
      <c r="R352" s="5">
        <f t="shared" si="22"/>
        <v>15775.82</v>
      </c>
      <c r="S352" s="5">
        <f>Table1[[#This Row],[Total_Line_Spend]]-Table1[[#This Row],[Negotiated_Total]]</f>
        <v>1181.1599999999999</v>
      </c>
      <c r="T352" t="str">
        <f xml:space="preserve"> IF(Table1[[#This Row],[Delay_Days]] &gt; 4, "High Risk", IF(Table1[[#This Row],[Delay_Days]] &gt; 0, "Medium Risk", "Low Risk"))</f>
        <v>Low Risk</v>
      </c>
    </row>
    <row r="353" spans="1:20" x14ac:dyDescent="0.25">
      <c r="A353" t="s">
        <v>378</v>
      </c>
      <c r="B353" t="s">
        <v>807</v>
      </c>
      <c r="C353" s="1">
        <v>44885</v>
      </c>
      <c r="D353" s="1">
        <v>44886</v>
      </c>
      <c r="E353" t="s">
        <v>39</v>
      </c>
      <c r="F353" t="s">
        <v>18</v>
      </c>
      <c r="G353">
        <v>395</v>
      </c>
      <c r="H353" s="5">
        <v>24.83</v>
      </c>
      <c r="I353" s="5">
        <v>23.96</v>
      </c>
      <c r="J353">
        <v>31</v>
      </c>
      <c r="K353" t="s">
        <v>15</v>
      </c>
      <c r="L353">
        <f t="shared" si="23"/>
        <v>1</v>
      </c>
      <c r="M353">
        <v>11</v>
      </c>
      <c r="N353">
        <f t="shared" si="20"/>
        <v>0</v>
      </c>
      <c r="O353" t="str">
        <f xml:space="preserve"> IF(AND(Table1[[#This Row],[Actual_Lead_Time]] &lt;= Table1[[#This Row],[Standard_Lead_Time]], OR(ISBLANK(J353), J353 = 0)), "OTIF", "Non-OTIF")</f>
        <v>Non-OTIF</v>
      </c>
      <c r="P353">
        <f>IF(Table1[[#This Row],[OTIF_Status]] = "OTIF", 1, 0)</f>
        <v>0</v>
      </c>
      <c r="Q353" s="5">
        <f t="shared" si="21"/>
        <v>9807.8499999999985</v>
      </c>
      <c r="R353" s="5">
        <f t="shared" si="22"/>
        <v>9464.2000000000007</v>
      </c>
      <c r="S353" s="5">
        <f>Table1[[#This Row],[Total_Line_Spend]]-Table1[[#This Row],[Negotiated_Total]]</f>
        <v>343.64999999999782</v>
      </c>
      <c r="T353" t="str">
        <f xml:space="preserve"> IF(Table1[[#This Row],[Delay_Days]] &gt; 4, "High Risk", IF(Table1[[#This Row],[Delay_Days]] &gt; 0, "Medium Risk", "Low Risk"))</f>
        <v>Low Risk</v>
      </c>
    </row>
    <row r="354" spans="1:20" x14ac:dyDescent="0.25">
      <c r="A354" t="s">
        <v>379</v>
      </c>
      <c r="B354" t="s">
        <v>808</v>
      </c>
      <c r="C354" s="1">
        <v>44829</v>
      </c>
      <c r="D354" s="1">
        <v>44846</v>
      </c>
      <c r="E354" t="s">
        <v>39</v>
      </c>
      <c r="F354" t="s">
        <v>14</v>
      </c>
      <c r="G354">
        <v>673</v>
      </c>
      <c r="H354" s="5">
        <v>39.58</v>
      </c>
      <c r="I354" s="5">
        <v>35.83</v>
      </c>
      <c r="J354">
        <v>25</v>
      </c>
      <c r="K354" t="s">
        <v>15</v>
      </c>
      <c r="L354">
        <f t="shared" si="23"/>
        <v>17</v>
      </c>
      <c r="M354">
        <v>11</v>
      </c>
      <c r="N354">
        <f t="shared" si="20"/>
        <v>6</v>
      </c>
      <c r="O354" t="str">
        <f xml:space="preserve"> IF(AND(Table1[[#This Row],[Actual_Lead_Time]] &lt;= Table1[[#This Row],[Standard_Lead_Time]], OR(ISBLANK(J354), J354 = 0)), "OTIF", "Non-OTIF")</f>
        <v>Non-OTIF</v>
      </c>
      <c r="P354">
        <f>IF(Table1[[#This Row],[OTIF_Status]] = "OTIF", 1, 0)</f>
        <v>0</v>
      </c>
      <c r="Q354" s="5">
        <f t="shared" si="21"/>
        <v>26637.34</v>
      </c>
      <c r="R354" s="5">
        <f t="shared" si="22"/>
        <v>24113.59</v>
      </c>
      <c r="S354" s="5">
        <f>Table1[[#This Row],[Total_Line_Spend]]-Table1[[#This Row],[Negotiated_Total]]</f>
        <v>2523.75</v>
      </c>
      <c r="T354" t="str">
        <f xml:space="preserve"> IF(Table1[[#This Row],[Delay_Days]] &gt; 4, "High Risk", IF(Table1[[#This Row],[Delay_Days]] &gt; 0, "Medium Risk", "Low Risk"))</f>
        <v>High Risk</v>
      </c>
    </row>
    <row r="355" spans="1:20" x14ac:dyDescent="0.25">
      <c r="A355" t="s">
        <v>380</v>
      </c>
      <c r="B355" t="s">
        <v>805</v>
      </c>
      <c r="C355" s="1">
        <v>44771</v>
      </c>
      <c r="D355" s="1">
        <v>44785</v>
      </c>
      <c r="E355" t="s">
        <v>13</v>
      </c>
      <c r="F355" t="s">
        <v>14</v>
      </c>
      <c r="G355">
        <v>1066</v>
      </c>
      <c r="H355" s="5">
        <v>33.33</v>
      </c>
      <c r="I355" s="5">
        <v>28.47</v>
      </c>
      <c r="J355">
        <v>162</v>
      </c>
      <c r="K355" t="s">
        <v>27</v>
      </c>
      <c r="L355">
        <f t="shared" si="23"/>
        <v>14</v>
      </c>
      <c r="M355">
        <v>11</v>
      </c>
      <c r="N355">
        <f t="shared" si="20"/>
        <v>3</v>
      </c>
      <c r="O355" t="str">
        <f xml:space="preserve"> IF(AND(Table1[[#This Row],[Actual_Lead_Time]] &lt;= Table1[[#This Row],[Standard_Lead_Time]], OR(ISBLANK(J355), J355 = 0)), "OTIF", "Non-OTIF")</f>
        <v>Non-OTIF</v>
      </c>
      <c r="P355">
        <f>IF(Table1[[#This Row],[OTIF_Status]] = "OTIF", 1, 0)</f>
        <v>0</v>
      </c>
      <c r="Q355" s="5">
        <f t="shared" si="21"/>
        <v>35529.78</v>
      </c>
      <c r="R355" s="5">
        <f t="shared" si="22"/>
        <v>30349.02</v>
      </c>
      <c r="S355" s="5">
        <f>Table1[[#This Row],[Total_Line_Spend]]-Table1[[#This Row],[Negotiated_Total]]</f>
        <v>5180.7599999999984</v>
      </c>
      <c r="T355" t="str">
        <f xml:space="preserve"> IF(Table1[[#This Row],[Delay_Days]] &gt; 4, "High Risk", IF(Table1[[#This Row],[Delay_Days]] &gt; 0, "Medium Risk", "Low Risk"))</f>
        <v>Medium Risk</v>
      </c>
    </row>
    <row r="356" spans="1:20" x14ac:dyDescent="0.25">
      <c r="A356" t="s">
        <v>381</v>
      </c>
      <c r="B356" t="s">
        <v>806</v>
      </c>
      <c r="C356" s="1">
        <v>45247</v>
      </c>
      <c r="D356" s="1">
        <v>45253</v>
      </c>
      <c r="E356" t="s">
        <v>24</v>
      </c>
      <c r="F356" t="s">
        <v>18</v>
      </c>
      <c r="G356">
        <v>1645</v>
      </c>
      <c r="H356" s="5">
        <v>85.42</v>
      </c>
      <c r="I356" s="5">
        <v>80.78</v>
      </c>
      <c r="J356">
        <v>73</v>
      </c>
      <c r="K356" t="s">
        <v>27</v>
      </c>
      <c r="L356">
        <f t="shared" si="23"/>
        <v>6</v>
      </c>
      <c r="M356">
        <v>11</v>
      </c>
      <c r="N356">
        <f t="shared" si="20"/>
        <v>0</v>
      </c>
      <c r="O356" t="str">
        <f xml:space="preserve"> IF(AND(Table1[[#This Row],[Actual_Lead_Time]] &lt;= Table1[[#This Row],[Standard_Lead_Time]], OR(ISBLANK(J356), J356 = 0)), "OTIF", "Non-OTIF")</f>
        <v>Non-OTIF</v>
      </c>
      <c r="P356">
        <f>IF(Table1[[#This Row],[OTIF_Status]] = "OTIF", 1, 0)</f>
        <v>0</v>
      </c>
      <c r="Q356" s="5">
        <f t="shared" si="21"/>
        <v>140515.9</v>
      </c>
      <c r="R356" s="5">
        <f t="shared" si="22"/>
        <v>132883.1</v>
      </c>
      <c r="S356" s="5">
        <f>Table1[[#This Row],[Total_Line_Spend]]-Table1[[#This Row],[Negotiated_Total]]</f>
        <v>7632.7999999999884</v>
      </c>
      <c r="T356" t="str">
        <f xml:space="preserve"> IF(Table1[[#This Row],[Delay_Days]] &gt; 4, "High Risk", IF(Table1[[#This Row],[Delay_Days]] &gt; 0, "Medium Risk", "Low Risk"))</f>
        <v>Low Risk</v>
      </c>
    </row>
    <row r="357" spans="1:20" x14ac:dyDescent="0.25">
      <c r="A357" t="s">
        <v>382</v>
      </c>
      <c r="B357" t="s">
        <v>804</v>
      </c>
      <c r="C357" s="1">
        <v>44883</v>
      </c>
      <c r="D357" s="1">
        <v>44894</v>
      </c>
      <c r="E357" t="s">
        <v>39</v>
      </c>
      <c r="F357" t="s">
        <v>18</v>
      </c>
      <c r="G357">
        <v>930</v>
      </c>
      <c r="H357" s="5">
        <v>13.67</v>
      </c>
      <c r="I357" s="5">
        <v>11.95</v>
      </c>
      <c r="J357">
        <v>16</v>
      </c>
      <c r="K357" t="s">
        <v>15</v>
      </c>
      <c r="L357">
        <f t="shared" si="23"/>
        <v>11</v>
      </c>
      <c r="M357">
        <v>11</v>
      </c>
      <c r="N357">
        <f t="shared" si="20"/>
        <v>0</v>
      </c>
      <c r="O357" t="str">
        <f xml:space="preserve"> IF(AND(Table1[[#This Row],[Actual_Lead_Time]] &lt;= Table1[[#This Row],[Standard_Lead_Time]], OR(ISBLANK(J357), J357 = 0)), "OTIF", "Non-OTIF")</f>
        <v>Non-OTIF</v>
      </c>
      <c r="P357">
        <f>IF(Table1[[#This Row],[OTIF_Status]] = "OTIF", 1, 0)</f>
        <v>0</v>
      </c>
      <c r="Q357" s="5">
        <f t="shared" si="21"/>
        <v>12713.1</v>
      </c>
      <c r="R357" s="5">
        <f t="shared" si="22"/>
        <v>11113.5</v>
      </c>
      <c r="S357" s="5">
        <f>Table1[[#This Row],[Total_Line_Spend]]-Table1[[#This Row],[Negotiated_Total]]</f>
        <v>1599.6000000000004</v>
      </c>
      <c r="T357" t="str">
        <f xml:space="preserve"> IF(Table1[[#This Row],[Delay_Days]] &gt; 4, "High Risk", IF(Table1[[#This Row],[Delay_Days]] &gt; 0, "Medium Risk", "Low Risk"))</f>
        <v>Low Risk</v>
      </c>
    </row>
    <row r="358" spans="1:20" x14ac:dyDescent="0.25">
      <c r="A358" t="s">
        <v>383</v>
      </c>
      <c r="B358" t="s">
        <v>804</v>
      </c>
      <c r="C358" s="1">
        <v>44806</v>
      </c>
      <c r="D358" s="1">
        <v>44825</v>
      </c>
      <c r="E358" t="s">
        <v>13</v>
      </c>
      <c r="F358" t="s">
        <v>18</v>
      </c>
      <c r="G358">
        <v>51</v>
      </c>
      <c r="H358" s="5">
        <v>63.74</v>
      </c>
      <c r="I358" s="5">
        <v>56.1</v>
      </c>
      <c r="J358">
        <v>0</v>
      </c>
      <c r="K358" t="s">
        <v>15</v>
      </c>
      <c r="L358">
        <f t="shared" si="23"/>
        <v>19</v>
      </c>
      <c r="M358">
        <v>11</v>
      </c>
      <c r="N358">
        <f t="shared" si="20"/>
        <v>8</v>
      </c>
      <c r="O358" t="str">
        <f xml:space="preserve"> IF(AND(Table1[[#This Row],[Actual_Lead_Time]] &lt;= Table1[[#This Row],[Standard_Lead_Time]], OR(ISBLANK(J358), J358 = 0)), "OTIF", "Non-OTIF")</f>
        <v>Non-OTIF</v>
      </c>
      <c r="P358">
        <f>IF(Table1[[#This Row],[OTIF_Status]] = "OTIF", 1, 0)</f>
        <v>0</v>
      </c>
      <c r="Q358" s="5">
        <f t="shared" si="21"/>
        <v>3250.7400000000002</v>
      </c>
      <c r="R358" s="5">
        <f t="shared" si="22"/>
        <v>2861.1</v>
      </c>
      <c r="S358" s="5">
        <f>Table1[[#This Row],[Total_Line_Spend]]-Table1[[#This Row],[Negotiated_Total]]</f>
        <v>389.64000000000033</v>
      </c>
      <c r="T358" t="str">
        <f xml:space="preserve"> IF(Table1[[#This Row],[Delay_Days]] &gt; 4, "High Risk", IF(Table1[[#This Row],[Delay_Days]] &gt; 0, "Medium Risk", "Low Risk"))</f>
        <v>High Risk</v>
      </c>
    </row>
    <row r="359" spans="1:20" x14ac:dyDescent="0.25">
      <c r="A359" t="s">
        <v>384</v>
      </c>
      <c r="B359" t="s">
        <v>806</v>
      </c>
      <c r="C359" s="1">
        <v>44833</v>
      </c>
      <c r="D359" s="1">
        <v>44835</v>
      </c>
      <c r="E359" t="s">
        <v>24</v>
      </c>
      <c r="F359" t="s">
        <v>18</v>
      </c>
      <c r="G359">
        <v>946</v>
      </c>
      <c r="H359" s="5">
        <v>81.77</v>
      </c>
      <c r="I359" s="5">
        <v>71.650000000000006</v>
      </c>
      <c r="J359">
        <v>55</v>
      </c>
      <c r="K359" t="s">
        <v>15</v>
      </c>
      <c r="L359">
        <f t="shared" si="23"/>
        <v>2</v>
      </c>
      <c r="M359">
        <v>11</v>
      </c>
      <c r="N359">
        <f t="shared" si="20"/>
        <v>0</v>
      </c>
      <c r="O359" t="str">
        <f xml:space="preserve"> IF(AND(Table1[[#This Row],[Actual_Lead_Time]] &lt;= Table1[[#This Row],[Standard_Lead_Time]], OR(ISBLANK(J359), J359 = 0)), "OTIF", "Non-OTIF")</f>
        <v>Non-OTIF</v>
      </c>
      <c r="P359">
        <f>IF(Table1[[#This Row],[OTIF_Status]] = "OTIF", 1, 0)</f>
        <v>0</v>
      </c>
      <c r="Q359" s="5">
        <f t="shared" si="21"/>
        <v>77354.42</v>
      </c>
      <c r="R359" s="5">
        <f t="shared" si="22"/>
        <v>67780.900000000009</v>
      </c>
      <c r="S359" s="5">
        <f>Table1[[#This Row],[Total_Line_Spend]]-Table1[[#This Row],[Negotiated_Total]]</f>
        <v>9573.5199999999895</v>
      </c>
      <c r="T359" t="str">
        <f xml:space="preserve"> IF(Table1[[#This Row],[Delay_Days]] &gt; 4, "High Risk", IF(Table1[[#This Row],[Delay_Days]] &gt; 0, "Medium Risk", "Low Risk"))</f>
        <v>Low Risk</v>
      </c>
    </row>
    <row r="360" spans="1:20" x14ac:dyDescent="0.25">
      <c r="A360" t="s">
        <v>385</v>
      </c>
      <c r="B360" t="s">
        <v>808</v>
      </c>
      <c r="C360" s="1">
        <v>44967</v>
      </c>
      <c r="D360" s="1">
        <v>44987</v>
      </c>
      <c r="E360" t="s">
        <v>26</v>
      </c>
      <c r="F360" t="s">
        <v>33</v>
      </c>
      <c r="G360">
        <v>1377</v>
      </c>
      <c r="H360" s="5">
        <v>94.69</v>
      </c>
      <c r="I360" s="5">
        <v>84.2</v>
      </c>
      <c r="K360" t="s">
        <v>15</v>
      </c>
      <c r="L360">
        <f t="shared" si="23"/>
        <v>20</v>
      </c>
      <c r="M360">
        <v>11</v>
      </c>
      <c r="N360">
        <f t="shared" si="20"/>
        <v>9</v>
      </c>
      <c r="O360" t="str">
        <f xml:space="preserve"> IF(AND(Table1[[#This Row],[Actual_Lead_Time]] &lt;= Table1[[#This Row],[Standard_Lead_Time]], OR(ISBLANK(J360), J360 = 0)), "OTIF", "Non-OTIF")</f>
        <v>Non-OTIF</v>
      </c>
      <c r="P360">
        <f>IF(Table1[[#This Row],[OTIF_Status]] = "OTIF", 1, 0)</f>
        <v>0</v>
      </c>
      <c r="Q360" s="5">
        <f t="shared" si="21"/>
        <v>130388.12999999999</v>
      </c>
      <c r="R360" s="5">
        <f t="shared" si="22"/>
        <v>115943.40000000001</v>
      </c>
      <c r="S360" s="5">
        <f>Table1[[#This Row],[Total_Line_Spend]]-Table1[[#This Row],[Negotiated_Total]]</f>
        <v>14444.729999999981</v>
      </c>
      <c r="T360" t="str">
        <f xml:space="preserve"> IF(Table1[[#This Row],[Delay_Days]] &gt; 4, "High Risk", IF(Table1[[#This Row],[Delay_Days]] &gt; 0, "Medium Risk", "Low Risk"))</f>
        <v>High Risk</v>
      </c>
    </row>
    <row r="361" spans="1:20" x14ac:dyDescent="0.25">
      <c r="A361" t="s">
        <v>386</v>
      </c>
      <c r="B361" t="s">
        <v>808</v>
      </c>
      <c r="C361" s="1">
        <v>44696</v>
      </c>
      <c r="D361" s="1">
        <v>44699</v>
      </c>
      <c r="E361" t="s">
        <v>24</v>
      </c>
      <c r="F361" t="s">
        <v>14</v>
      </c>
      <c r="G361">
        <v>303</v>
      </c>
      <c r="H361" s="5">
        <v>41.6</v>
      </c>
      <c r="I361" s="5">
        <v>40.51</v>
      </c>
      <c r="J361">
        <v>11</v>
      </c>
      <c r="K361" t="s">
        <v>15</v>
      </c>
      <c r="L361">
        <f t="shared" si="23"/>
        <v>3</v>
      </c>
      <c r="M361">
        <v>11</v>
      </c>
      <c r="N361">
        <f t="shared" si="20"/>
        <v>0</v>
      </c>
      <c r="O361" t="str">
        <f xml:space="preserve"> IF(AND(Table1[[#This Row],[Actual_Lead_Time]] &lt;= Table1[[#This Row],[Standard_Lead_Time]], OR(ISBLANK(J361), J361 = 0)), "OTIF", "Non-OTIF")</f>
        <v>Non-OTIF</v>
      </c>
      <c r="P361">
        <f>IF(Table1[[#This Row],[OTIF_Status]] = "OTIF", 1, 0)</f>
        <v>0</v>
      </c>
      <c r="Q361" s="5">
        <f t="shared" si="21"/>
        <v>12604.800000000001</v>
      </c>
      <c r="R361" s="5">
        <f t="shared" si="22"/>
        <v>12274.529999999999</v>
      </c>
      <c r="S361" s="5">
        <f>Table1[[#This Row],[Total_Line_Spend]]-Table1[[#This Row],[Negotiated_Total]]</f>
        <v>330.27000000000226</v>
      </c>
      <c r="T361" t="str">
        <f xml:space="preserve"> IF(Table1[[#This Row],[Delay_Days]] &gt; 4, "High Risk", IF(Table1[[#This Row],[Delay_Days]] &gt; 0, "Medium Risk", "Low Risk"))</f>
        <v>Low Risk</v>
      </c>
    </row>
    <row r="362" spans="1:20" x14ac:dyDescent="0.25">
      <c r="A362" t="s">
        <v>387</v>
      </c>
      <c r="B362" t="s">
        <v>804</v>
      </c>
      <c r="C362" s="1">
        <v>45249</v>
      </c>
      <c r="D362" s="1">
        <v>45263</v>
      </c>
      <c r="E362" t="s">
        <v>26</v>
      </c>
      <c r="F362" t="s">
        <v>18</v>
      </c>
      <c r="G362">
        <v>1725</v>
      </c>
      <c r="H362" s="5">
        <v>93.14</v>
      </c>
      <c r="I362" s="5">
        <v>79.62</v>
      </c>
      <c r="J362">
        <v>24</v>
      </c>
      <c r="K362" t="s">
        <v>15</v>
      </c>
      <c r="L362">
        <f t="shared" si="23"/>
        <v>14</v>
      </c>
      <c r="M362">
        <v>11</v>
      </c>
      <c r="N362">
        <f t="shared" si="20"/>
        <v>3</v>
      </c>
      <c r="O362" t="str">
        <f xml:space="preserve"> IF(AND(Table1[[#This Row],[Actual_Lead_Time]] &lt;= Table1[[#This Row],[Standard_Lead_Time]], OR(ISBLANK(J362), J362 = 0)), "OTIF", "Non-OTIF")</f>
        <v>Non-OTIF</v>
      </c>
      <c r="P362">
        <f>IF(Table1[[#This Row],[OTIF_Status]] = "OTIF", 1, 0)</f>
        <v>0</v>
      </c>
      <c r="Q362" s="5">
        <f t="shared" si="21"/>
        <v>160666.5</v>
      </c>
      <c r="R362" s="5">
        <f t="shared" si="22"/>
        <v>137344.5</v>
      </c>
      <c r="S362" s="5">
        <f>Table1[[#This Row],[Total_Line_Spend]]-Table1[[#This Row],[Negotiated_Total]]</f>
        <v>23322</v>
      </c>
      <c r="T362" t="str">
        <f xml:space="preserve"> IF(Table1[[#This Row],[Delay_Days]] &gt; 4, "High Risk", IF(Table1[[#This Row],[Delay_Days]] &gt; 0, "Medium Risk", "Low Risk"))</f>
        <v>Medium Risk</v>
      </c>
    </row>
    <row r="363" spans="1:20" x14ac:dyDescent="0.25">
      <c r="A363" t="s">
        <v>388</v>
      </c>
      <c r="B363" t="s">
        <v>807</v>
      </c>
      <c r="C363" s="1">
        <v>45222</v>
      </c>
      <c r="D363" s="1">
        <v>45237</v>
      </c>
      <c r="E363" t="s">
        <v>26</v>
      </c>
      <c r="F363" t="s">
        <v>14</v>
      </c>
      <c r="G363">
        <v>502</v>
      </c>
      <c r="H363" s="5">
        <v>22.05</v>
      </c>
      <c r="I363" s="5">
        <v>20.65</v>
      </c>
      <c r="J363">
        <v>50</v>
      </c>
      <c r="K363" t="s">
        <v>27</v>
      </c>
      <c r="L363">
        <f t="shared" si="23"/>
        <v>15</v>
      </c>
      <c r="M363">
        <v>11</v>
      </c>
      <c r="N363">
        <f t="shared" si="20"/>
        <v>4</v>
      </c>
      <c r="O363" t="str">
        <f xml:space="preserve"> IF(AND(Table1[[#This Row],[Actual_Lead_Time]] &lt;= Table1[[#This Row],[Standard_Lead_Time]], OR(ISBLANK(J363), J363 = 0)), "OTIF", "Non-OTIF")</f>
        <v>Non-OTIF</v>
      </c>
      <c r="P363">
        <f>IF(Table1[[#This Row],[OTIF_Status]] = "OTIF", 1, 0)</f>
        <v>0</v>
      </c>
      <c r="Q363" s="5">
        <f t="shared" si="21"/>
        <v>11069.1</v>
      </c>
      <c r="R363" s="5">
        <f t="shared" si="22"/>
        <v>10366.299999999999</v>
      </c>
      <c r="S363" s="5">
        <f>Table1[[#This Row],[Total_Line_Spend]]-Table1[[#This Row],[Negotiated_Total]]</f>
        <v>702.80000000000109</v>
      </c>
      <c r="T363" t="str">
        <f xml:space="preserve"> IF(Table1[[#This Row],[Delay_Days]] &gt; 4, "High Risk", IF(Table1[[#This Row],[Delay_Days]] &gt; 0, "Medium Risk", "Low Risk"))</f>
        <v>Medium Risk</v>
      </c>
    </row>
    <row r="364" spans="1:20" x14ac:dyDescent="0.25">
      <c r="A364" t="s">
        <v>389</v>
      </c>
      <c r="B364" t="s">
        <v>806</v>
      </c>
      <c r="C364" s="1">
        <v>44869</v>
      </c>
      <c r="D364" s="1">
        <v>44876</v>
      </c>
      <c r="E364" t="s">
        <v>24</v>
      </c>
      <c r="F364" t="s">
        <v>18</v>
      </c>
      <c r="G364">
        <v>1110</v>
      </c>
      <c r="H364" s="5">
        <v>90.49</v>
      </c>
      <c r="I364" s="5">
        <v>80.03</v>
      </c>
      <c r="J364">
        <v>61</v>
      </c>
      <c r="K364" t="s">
        <v>15</v>
      </c>
      <c r="L364">
        <f t="shared" si="23"/>
        <v>7</v>
      </c>
      <c r="M364">
        <v>11</v>
      </c>
      <c r="N364">
        <f t="shared" si="20"/>
        <v>0</v>
      </c>
      <c r="O364" t="str">
        <f xml:space="preserve"> IF(AND(Table1[[#This Row],[Actual_Lead_Time]] &lt;= Table1[[#This Row],[Standard_Lead_Time]], OR(ISBLANK(J364), J364 = 0)), "OTIF", "Non-OTIF")</f>
        <v>Non-OTIF</v>
      </c>
      <c r="P364">
        <f>IF(Table1[[#This Row],[OTIF_Status]] = "OTIF", 1, 0)</f>
        <v>0</v>
      </c>
      <c r="Q364" s="5">
        <f t="shared" si="21"/>
        <v>100443.9</v>
      </c>
      <c r="R364" s="5">
        <f t="shared" si="22"/>
        <v>88833.3</v>
      </c>
      <c r="S364" s="5">
        <f>Table1[[#This Row],[Total_Line_Spend]]-Table1[[#This Row],[Negotiated_Total]]</f>
        <v>11610.599999999991</v>
      </c>
      <c r="T364" t="str">
        <f xml:space="preserve"> IF(Table1[[#This Row],[Delay_Days]] &gt; 4, "High Risk", IF(Table1[[#This Row],[Delay_Days]] &gt; 0, "Medium Risk", "Low Risk"))</f>
        <v>Low Risk</v>
      </c>
    </row>
    <row r="365" spans="1:20" x14ac:dyDescent="0.25">
      <c r="A365" t="s">
        <v>390</v>
      </c>
      <c r="B365" t="s">
        <v>804</v>
      </c>
      <c r="C365" s="1">
        <v>45030</v>
      </c>
      <c r="D365" s="1">
        <v>45034</v>
      </c>
      <c r="E365" t="s">
        <v>24</v>
      </c>
      <c r="F365" t="s">
        <v>18</v>
      </c>
      <c r="G365">
        <v>1233</v>
      </c>
      <c r="H365" s="5">
        <v>23.08</v>
      </c>
      <c r="I365" s="5">
        <v>20.57</v>
      </c>
      <c r="K365" t="s">
        <v>15</v>
      </c>
      <c r="L365">
        <f t="shared" si="23"/>
        <v>4</v>
      </c>
      <c r="M365">
        <v>11</v>
      </c>
      <c r="N365">
        <f t="shared" si="20"/>
        <v>0</v>
      </c>
      <c r="O365" t="str">
        <f xml:space="preserve"> IF(AND(Table1[[#This Row],[Actual_Lead_Time]] &lt;= Table1[[#This Row],[Standard_Lead_Time]], OR(ISBLANK(J365), J365 = 0)), "OTIF", "Non-OTIF")</f>
        <v>OTIF</v>
      </c>
      <c r="P365">
        <f>IF(Table1[[#This Row],[OTIF_Status]] = "OTIF", 1, 0)</f>
        <v>1</v>
      </c>
      <c r="Q365" s="5">
        <f t="shared" si="21"/>
        <v>28457.64</v>
      </c>
      <c r="R365" s="5">
        <f t="shared" si="22"/>
        <v>25362.81</v>
      </c>
      <c r="S365" s="5">
        <f>Table1[[#This Row],[Total_Line_Spend]]-Table1[[#This Row],[Negotiated_Total]]</f>
        <v>3094.8299999999981</v>
      </c>
      <c r="T365" t="str">
        <f xml:space="preserve"> IF(Table1[[#This Row],[Delay_Days]] &gt; 4, "High Risk", IF(Table1[[#This Row],[Delay_Days]] &gt; 0, "Medium Risk", "Low Risk"))</f>
        <v>Low Risk</v>
      </c>
    </row>
    <row r="366" spans="1:20" x14ac:dyDescent="0.25">
      <c r="A366" t="s">
        <v>391</v>
      </c>
      <c r="B366" t="s">
        <v>807</v>
      </c>
      <c r="C366" s="1">
        <v>44885</v>
      </c>
      <c r="D366" s="1">
        <v>44889</v>
      </c>
      <c r="E366" t="s">
        <v>13</v>
      </c>
      <c r="F366" t="s">
        <v>18</v>
      </c>
      <c r="G366">
        <v>1064</v>
      </c>
      <c r="H366" s="5">
        <v>48.04</v>
      </c>
      <c r="I366" s="5">
        <v>43.6</v>
      </c>
      <c r="J366">
        <v>94</v>
      </c>
      <c r="K366" t="s">
        <v>15</v>
      </c>
      <c r="L366">
        <f t="shared" si="23"/>
        <v>4</v>
      </c>
      <c r="M366">
        <v>11</v>
      </c>
      <c r="N366">
        <f t="shared" si="20"/>
        <v>0</v>
      </c>
      <c r="O366" t="str">
        <f xml:space="preserve"> IF(AND(Table1[[#This Row],[Actual_Lead_Time]] &lt;= Table1[[#This Row],[Standard_Lead_Time]], OR(ISBLANK(J366), J366 = 0)), "OTIF", "Non-OTIF")</f>
        <v>Non-OTIF</v>
      </c>
      <c r="P366">
        <f>IF(Table1[[#This Row],[OTIF_Status]] = "OTIF", 1, 0)</f>
        <v>0</v>
      </c>
      <c r="Q366" s="5">
        <f t="shared" si="21"/>
        <v>51114.559999999998</v>
      </c>
      <c r="R366" s="5">
        <f t="shared" si="22"/>
        <v>46390.400000000001</v>
      </c>
      <c r="S366" s="5">
        <f>Table1[[#This Row],[Total_Line_Spend]]-Table1[[#This Row],[Negotiated_Total]]</f>
        <v>4724.1599999999962</v>
      </c>
      <c r="T366" t="str">
        <f xml:space="preserve"> IF(Table1[[#This Row],[Delay_Days]] &gt; 4, "High Risk", IF(Table1[[#This Row],[Delay_Days]] &gt; 0, "Medium Risk", "Low Risk"))</f>
        <v>Low Risk</v>
      </c>
    </row>
    <row r="367" spans="1:20" x14ac:dyDescent="0.25">
      <c r="A367" t="s">
        <v>392</v>
      </c>
      <c r="B367" t="s">
        <v>808</v>
      </c>
      <c r="C367" s="1">
        <v>44636</v>
      </c>
      <c r="D367" s="1">
        <v>44655</v>
      </c>
      <c r="E367" t="s">
        <v>24</v>
      </c>
      <c r="F367" t="s">
        <v>33</v>
      </c>
      <c r="G367">
        <v>58</v>
      </c>
      <c r="H367" s="5">
        <v>82.57</v>
      </c>
      <c r="I367" s="5">
        <v>76.55</v>
      </c>
      <c r="K367" t="s">
        <v>15</v>
      </c>
      <c r="L367">
        <f t="shared" si="23"/>
        <v>19</v>
      </c>
      <c r="M367">
        <v>11</v>
      </c>
      <c r="N367">
        <f t="shared" si="20"/>
        <v>8</v>
      </c>
      <c r="O367" t="str">
        <f xml:space="preserve"> IF(AND(Table1[[#This Row],[Actual_Lead_Time]] &lt;= Table1[[#This Row],[Standard_Lead_Time]], OR(ISBLANK(J367), J367 = 0)), "OTIF", "Non-OTIF")</f>
        <v>Non-OTIF</v>
      </c>
      <c r="P367">
        <f>IF(Table1[[#This Row],[OTIF_Status]] = "OTIF", 1, 0)</f>
        <v>0</v>
      </c>
      <c r="Q367" s="5">
        <f t="shared" si="21"/>
        <v>4789.0599999999995</v>
      </c>
      <c r="R367" s="5">
        <f t="shared" si="22"/>
        <v>4439.8999999999996</v>
      </c>
      <c r="S367" s="5">
        <f>Table1[[#This Row],[Total_Line_Spend]]-Table1[[#This Row],[Negotiated_Total]]</f>
        <v>349.15999999999985</v>
      </c>
      <c r="T367" t="str">
        <f xml:space="preserve"> IF(Table1[[#This Row],[Delay_Days]] &gt; 4, "High Risk", IF(Table1[[#This Row],[Delay_Days]] &gt; 0, "Medium Risk", "Low Risk"))</f>
        <v>High Risk</v>
      </c>
    </row>
    <row r="368" spans="1:20" x14ac:dyDescent="0.25">
      <c r="A368" t="s">
        <v>393</v>
      </c>
      <c r="B368" t="s">
        <v>807</v>
      </c>
      <c r="C368" s="1">
        <v>44571</v>
      </c>
      <c r="D368" s="1">
        <v>44581</v>
      </c>
      <c r="E368" t="s">
        <v>21</v>
      </c>
      <c r="F368" t="s">
        <v>18</v>
      </c>
      <c r="G368">
        <v>1306</v>
      </c>
      <c r="H368" s="5">
        <v>23.49</v>
      </c>
      <c r="I368" s="5">
        <v>20.170000000000002</v>
      </c>
      <c r="J368">
        <v>116</v>
      </c>
      <c r="K368" t="s">
        <v>27</v>
      </c>
      <c r="L368">
        <f t="shared" si="23"/>
        <v>10</v>
      </c>
      <c r="M368">
        <v>11</v>
      </c>
      <c r="N368">
        <f t="shared" si="20"/>
        <v>0</v>
      </c>
      <c r="O368" t="str">
        <f xml:space="preserve"> IF(AND(Table1[[#This Row],[Actual_Lead_Time]] &lt;= Table1[[#This Row],[Standard_Lead_Time]], OR(ISBLANK(J368), J368 = 0)), "OTIF", "Non-OTIF")</f>
        <v>Non-OTIF</v>
      </c>
      <c r="P368">
        <f>IF(Table1[[#This Row],[OTIF_Status]] = "OTIF", 1, 0)</f>
        <v>0</v>
      </c>
      <c r="Q368" s="5">
        <f t="shared" si="21"/>
        <v>30677.94</v>
      </c>
      <c r="R368" s="5">
        <f t="shared" si="22"/>
        <v>26342.02</v>
      </c>
      <c r="S368" s="5">
        <f>Table1[[#This Row],[Total_Line_Spend]]-Table1[[#This Row],[Negotiated_Total]]</f>
        <v>4335.9199999999983</v>
      </c>
      <c r="T368" t="str">
        <f xml:space="preserve"> IF(Table1[[#This Row],[Delay_Days]] &gt; 4, "High Risk", IF(Table1[[#This Row],[Delay_Days]] &gt; 0, "Medium Risk", "Low Risk"))</f>
        <v>Low Risk</v>
      </c>
    </row>
    <row r="369" spans="1:20" x14ac:dyDescent="0.25">
      <c r="A369" t="s">
        <v>394</v>
      </c>
      <c r="B369" t="s">
        <v>805</v>
      </c>
      <c r="C369" s="1">
        <v>45031</v>
      </c>
      <c r="D369" s="1">
        <v>45044</v>
      </c>
      <c r="E369" t="s">
        <v>39</v>
      </c>
      <c r="F369" t="s">
        <v>18</v>
      </c>
      <c r="G369">
        <v>1172</v>
      </c>
      <c r="H369" s="5">
        <v>32.93</v>
      </c>
      <c r="I369" s="5">
        <v>29.28</v>
      </c>
      <c r="K369" t="s">
        <v>27</v>
      </c>
      <c r="L369">
        <f t="shared" si="23"/>
        <v>13</v>
      </c>
      <c r="M369">
        <v>11</v>
      </c>
      <c r="N369">
        <f t="shared" si="20"/>
        <v>2</v>
      </c>
      <c r="O369" t="str">
        <f xml:space="preserve"> IF(AND(Table1[[#This Row],[Actual_Lead_Time]] &lt;= Table1[[#This Row],[Standard_Lead_Time]], OR(ISBLANK(J369), J369 = 0)), "OTIF", "Non-OTIF")</f>
        <v>Non-OTIF</v>
      </c>
      <c r="P369">
        <f>IF(Table1[[#This Row],[OTIF_Status]] = "OTIF", 1, 0)</f>
        <v>0</v>
      </c>
      <c r="Q369" s="5">
        <f t="shared" si="21"/>
        <v>38593.96</v>
      </c>
      <c r="R369" s="5">
        <f t="shared" si="22"/>
        <v>34316.160000000003</v>
      </c>
      <c r="S369" s="5">
        <f>Table1[[#This Row],[Total_Line_Spend]]-Table1[[#This Row],[Negotiated_Total]]</f>
        <v>4277.7999999999956</v>
      </c>
      <c r="T369" t="str">
        <f xml:space="preserve"> IF(Table1[[#This Row],[Delay_Days]] &gt; 4, "High Risk", IF(Table1[[#This Row],[Delay_Days]] &gt; 0, "Medium Risk", "Low Risk"))</f>
        <v>Medium Risk</v>
      </c>
    </row>
    <row r="370" spans="1:20" x14ac:dyDescent="0.25">
      <c r="A370" t="s">
        <v>395</v>
      </c>
      <c r="B370" t="s">
        <v>804</v>
      </c>
      <c r="C370" s="1">
        <v>45198</v>
      </c>
      <c r="D370" s="1">
        <v>45209</v>
      </c>
      <c r="E370" t="s">
        <v>24</v>
      </c>
      <c r="F370" t="s">
        <v>18</v>
      </c>
      <c r="G370">
        <v>1732</v>
      </c>
      <c r="H370" s="5">
        <v>82.5</v>
      </c>
      <c r="I370" s="5">
        <v>71.709999999999994</v>
      </c>
      <c r="J370">
        <v>24</v>
      </c>
      <c r="K370" t="s">
        <v>15</v>
      </c>
      <c r="L370">
        <f t="shared" si="23"/>
        <v>11</v>
      </c>
      <c r="M370">
        <v>11</v>
      </c>
      <c r="N370">
        <f t="shared" si="20"/>
        <v>0</v>
      </c>
      <c r="O370" t="str">
        <f xml:space="preserve"> IF(AND(Table1[[#This Row],[Actual_Lead_Time]] &lt;= Table1[[#This Row],[Standard_Lead_Time]], OR(ISBLANK(J370), J370 = 0)), "OTIF", "Non-OTIF")</f>
        <v>Non-OTIF</v>
      </c>
      <c r="P370">
        <f>IF(Table1[[#This Row],[OTIF_Status]] = "OTIF", 1, 0)</f>
        <v>0</v>
      </c>
      <c r="Q370" s="5">
        <f t="shared" si="21"/>
        <v>142890</v>
      </c>
      <c r="R370" s="5">
        <f t="shared" si="22"/>
        <v>124201.71999999999</v>
      </c>
      <c r="S370" s="5">
        <f>Table1[[#This Row],[Total_Line_Spend]]-Table1[[#This Row],[Negotiated_Total]]</f>
        <v>18688.280000000013</v>
      </c>
      <c r="T370" t="str">
        <f xml:space="preserve"> IF(Table1[[#This Row],[Delay_Days]] &gt; 4, "High Risk", IF(Table1[[#This Row],[Delay_Days]] &gt; 0, "Medium Risk", "Low Risk"))</f>
        <v>Low Risk</v>
      </c>
    </row>
    <row r="371" spans="1:20" x14ac:dyDescent="0.25">
      <c r="A371" t="s">
        <v>396</v>
      </c>
      <c r="B371" t="s">
        <v>806</v>
      </c>
      <c r="C371" s="1">
        <v>45138</v>
      </c>
      <c r="D371" s="1">
        <v>45145</v>
      </c>
      <c r="E371" t="s">
        <v>26</v>
      </c>
      <c r="F371" t="s">
        <v>18</v>
      </c>
      <c r="G371">
        <v>865</v>
      </c>
      <c r="H371" s="5">
        <v>81.540000000000006</v>
      </c>
      <c r="I371" s="5">
        <v>71.59</v>
      </c>
      <c r="J371">
        <v>39</v>
      </c>
      <c r="K371" t="s">
        <v>15</v>
      </c>
      <c r="L371">
        <f t="shared" si="23"/>
        <v>7</v>
      </c>
      <c r="M371">
        <v>11</v>
      </c>
      <c r="N371">
        <f t="shared" si="20"/>
        <v>0</v>
      </c>
      <c r="O371" t="str">
        <f xml:space="preserve"> IF(AND(Table1[[#This Row],[Actual_Lead_Time]] &lt;= Table1[[#This Row],[Standard_Lead_Time]], OR(ISBLANK(J371), J371 = 0)), "OTIF", "Non-OTIF")</f>
        <v>Non-OTIF</v>
      </c>
      <c r="P371">
        <f>IF(Table1[[#This Row],[OTIF_Status]] = "OTIF", 1, 0)</f>
        <v>0</v>
      </c>
      <c r="Q371" s="5">
        <f t="shared" si="21"/>
        <v>70532.100000000006</v>
      </c>
      <c r="R371" s="5">
        <f t="shared" si="22"/>
        <v>61925.350000000006</v>
      </c>
      <c r="S371" s="5">
        <f>Table1[[#This Row],[Total_Line_Spend]]-Table1[[#This Row],[Negotiated_Total]]</f>
        <v>8606.75</v>
      </c>
      <c r="T371" t="str">
        <f xml:space="preserve"> IF(Table1[[#This Row],[Delay_Days]] &gt; 4, "High Risk", IF(Table1[[#This Row],[Delay_Days]] &gt; 0, "Medium Risk", "Low Risk"))</f>
        <v>Low Risk</v>
      </c>
    </row>
    <row r="372" spans="1:20" x14ac:dyDescent="0.25">
      <c r="A372" t="s">
        <v>397</v>
      </c>
      <c r="B372" t="s">
        <v>807</v>
      </c>
      <c r="C372" s="1">
        <v>44664</v>
      </c>
      <c r="D372" s="1">
        <v>44671</v>
      </c>
      <c r="E372" t="s">
        <v>26</v>
      </c>
      <c r="F372" t="s">
        <v>18</v>
      </c>
      <c r="G372">
        <v>257</v>
      </c>
      <c r="H372" s="5">
        <v>68.72</v>
      </c>
      <c r="I372" s="5">
        <v>66.92</v>
      </c>
      <c r="J372">
        <v>22</v>
      </c>
      <c r="K372" t="s">
        <v>15</v>
      </c>
      <c r="L372">
        <f t="shared" si="23"/>
        <v>7</v>
      </c>
      <c r="M372">
        <v>11</v>
      </c>
      <c r="N372">
        <f t="shared" si="20"/>
        <v>0</v>
      </c>
      <c r="O372" t="str">
        <f xml:space="preserve"> IF(AND(Table1[[#This Row],[Actual_Lead_Time]] &lt;= Table1[[#This Row],[Standard_Lead_Time]], OR(ISBLANK(J372), J372 = 0)), "OTIF", "Non-OTIF")</f>
        <v>Non-OTIF</v>
      </c>
      <c r="P372">
        <f>IF(Table1[[#This Row],[OTIF_Status]] = "OTIF", 1, 0)</f>
        <v>0</v>
      </c>
      <c r="Q372" s="5">
        <f t="shared" si="21"/>
        <v>17661.04</v>
      </c>
      <c r="R372" s="5">
        <f t="shared" si="22"/>
        <v>17198.439999999999</v>
      </c>
      <c r="S372" s="5">
        <f>Table1[[#This Row],[Total_Line_Spend]]-Table1[[#This Row],[Negotiated_Total]]</f>
        <v>462.60000000000218</v>
      </c>
      <c r="T372" t="str">
        <f xml:space="preserve"> IF(Table1[[#This Row],[Delay_Days]] &gt; 4, "High Risk", IF(Table1[[#This Row],[Delay_Days]] &gt; 0, "Medium Risk", "Low Risk"))</f>
        <v>Low Risk</v>
      </c>
    </row>
    <row r="373" spans="1:20" x14ac:dyDescent="0.25">
      <c r="A373" t="s">
        <v>398</v>
      </c>
      <c r="B373" t="s">
        <v>808</v>
      </c>
      <c r="C373" s="1">
        <v>44637</v>
      </c>
      <c r="D373" s="1">
        <v>44646</v>
      </c>
      <c r="E373" t="s">
        <v>24</v>
      </c>
      <c r="F373" t="s">
        <v>18</v>
      </c>
      <c r="G373">
        <v>1204</v>
      </c>
      <c r="H373" s="5">
        <v>73.180000000000007</v>
      </c>
      <c r="I373" s="5">
        <v>67.59</v>
      </c>
      <c r="J373">
        <v>31</v>
      </c>
      <c r="K373" t="s">
        <v>15</v>
      </c>
      <c r="L373">
        <f t="shared" si="23"/>
        <v>9</v>
      </c>
      <c r="M373">
        <v>11</v>
      </c>
      <c r="N373">
        <f t="shared" si="20"/>
        <v>0</v>
      </c>
      <c r="O373" t="str">
        <f xml:space="preserve"> IF(AND(Table1[[#This Row],[Actual_Lead_Time]] &lt;= Table1[[#This Row],[Standard_Lead_Time]], OR(ISBLANK(J373), J373 = 0)), "OTIF", "Non-OTIF")</f>
        <v>Non-OTIF</v>
      </c>
      <c r="P373">
        <f>IF(Table1[[#This Row],[OTIF_Status]] = "OTIF", 1, 0)</f>
        <v>0</v>
      </c>
      <c r="Q373" s="5">
        <f t="shared" si="21"/>
        <v>88108.72</v>
      </c>
      <c r="R373" s="5">
        <f t="shared" si="22"/>
        <v>81378.36</v>
      </c>
      <c r="S373" s="5">
        <f>Table1[[#This Row],[Total_Line_Spend]]-Table1[[#This Row],[Negotiated_Total]]</f>
        <v>6730.3600000000006</v>
      </c>
      <c r="T373" t="str">
        <f xml:space="preserve"> IF(Table1[[#This Row],[Delay_Days]] &gt; 4, "High Risk", IF(Table1[[#This Row],[Delay_Days]] &gt; 0, "Medium Risk", "Low Risk"))</f>
        <v>Low Risk</v>
      </c>
    </row>
    <row r="374" spans="1:20" x14ac:dyDescent="0.25">
      <c r="A374" t="s">
        <v>399</v>
      </c>
      <c r="B374" t="s">
        <v>807</v>
      </c>
      <c r="C374" s="1">
        <v>45112</v>
      </c>
      <c r="D374" s="1">
        <v>45116</v>
      </c>
      <c r="E374" t="s">
        <v>39</v>
      </c>
      <c r="F374" t="s">
        <v>33</v>
      </c>
      <c r="G374">
        <v>453</v>
      </c>
      <c r="H374" s="5">
        <v>64.14</v>
      </c>
      <c r="I374" s="5">
        <v>60.18</v>
      </c>
      <c r="J374">
        <v>51</v>
      </c>
      <c r="K374" t="s">
        <v>15</v>
      </c>
      <c r="L374">
        <f t="shared" si="23"/>
        <v>4</v>
      </c>
      <c r="M374">
        <v>11</v>
      </c>
      <c r="N374">
        <f t="shared" si="20"/>
        <v>0</v>
      </c>
      <c r="O374" t="str">
        <f xml:space="preserve"> IF(AND(Table1[[#This Row],[Actual_Lead_Time]] &lt;= Table1[[#This Row],[Standard_Lead_Time]], OR(ISBLANK(J374), J374 = 0)), "OTIF", "Non-OTIF")</f>
        <v>Non-OTIF</v>
      </c>
      <c r="P374">
        <f>IF(Table1[[#This Row],[OTIF_Status]] = "OTIF", 1, 0)</f>
        <v>0</v>
      </c>
      <c r="Q374" s="5">
        <f t="shared" si="21"/>
        <v>29055.420000000002</v>
      </c>
      <c r="R374" s="5">
        <f t="shared" si="22"/>
        <v>27261.54</v>
      </c>
      <c r="S374" s="5">
        <f>Table1[[#This Row],[Total_Line_Spend]]-Table1[[#This Row],[Negotiated_Total]]</f>
        <v>1793.880000000001</v>
      </c>
      <c r="T374" t="str">
        <f xml:space="preserve"> IF(Table1[[#This Row],[Delay_Days]] &gt; 4, "High Risk", IF(Table1[[#This Row],[Delay_Days]] &gt; 0, "Medium Risk", "Low Risk"))</f>
        <v>Low Risk</v>
      </c>
    </row>
    <row r="375" spans="1:20" x14ac:dyDescent="0.25">
      <c r="A375" t="s">
        <v>400</v>
      </c>
      <c r="B375" t="s">
        <v>808</v>
      </c>
      <c r="C375" s="1">
        <v>44780</v>
      </c>
      <c r="D375" s="1">
        <v>44794</v>
      </c>
      <c r="E375" t="s">
        <v>39</v>
      </c>
      <c r="F375" t="s">
        <v>18</v>
      </c>
      <c r="G375">
        <v>201</v>
      </c>
      <c r="H375" s="5">
        <v>33.81</v>
      </c>
      <c r="I375" s="5">
        <v>32.54</v>
      </c>
      <c r="J375">
        <v>3</v>
      </c>
      <c r="K375" t="s">
        <v>15</v>
      </c>
      <c r="L375">
        <f t="shared" si="23"/>
        <v>14</v>
      </c>
      <c r="M375">
        <v>11</v>
      </c>
      <c r="N375">
        <f t="shared" si="20"/>
        <v>3</v>
      </c>
      <c r="O375" t="str">
        <f xml:space="preserve"> IF(AND(Table1[[#This Row],[Actual_Lead_Time]] &lt;= Table1[[#This Row],[Standard_Lead_Time]], OR(ISBLANK(J375), J375 = 0)), "OTIF", "Non-OTIF")</f>
        <v>Non-OTIF</v>
      </c>
      <c r="P375">
        <f>IF(Table1[[#This Row],[OTIF_Status]] = "OTIF", 1, 0)</f>
        <v>0</v>
      </c>
      <c r="Q375" s="5">
        <f t="shared" si="21"/>
        <v>6795.81</v>
      </c>
      <c r="R375" s="5">
        <f t="shared" si="22"/>
        <v>6540.54</v>
      </c>
      <c r="S375" s="5">
        <f>Table1[[#This Row],[Total_Line_Spend]]-Table1[[#This Row],[Negotiated_Total]]</f>
        <v>255.27000000000044</v>
      </c>
      <c r="T375" t="str">
        <f xml:space="preserve"> IF(Table1[[#This Row],[Delay_Days]] &gt; 4, "High Risk", IF(Table1[[#This Row],[Delay_Days]] &gt; 0, "Medium Risk", "Low Risk"))</f>
        <v>Medium Risk</v>
      </c>
    </row>
    <row r="376" spans="1:20" x14ac:dyDescent="0.25">
      <c r="A376" t="s">
        <v>401</v>
      </c>
      <c r="B376" t="s">
        <v>805</v>
      </c>
      <c r="C376" s="1">
        <v>45080</v>
      </c>
      <c r="D376" s="1">
        <v>45093</v>
      </c>
      <c r="E376" t="s">
        <v>13</v>
      </c>
      <c r="F376" t="s">
        <v>18</v>
      </c>
      <c r="G376">
        <v>103</v>
      </c>
      <c r="H376" s="5">
        <v>44.61</v>
      </c>
      <c r="I376" s="5">
        <v>42.88</v>
      </c>
      <c r="J376">
        <v>10</v>
      </c>
      <c r="K376" t="s">
        <v>15</v>
      </c>
      <c r="L376">
        <f t="shared" si="23"/>
        <v>13</v>
      </c>
      <c r="M376">
        <v>11</v>
      </c>
      <c r="N376">
        <f t="shared" si="20"/>
        <v>2</v>
      </c>
      <c r="O376" t="str">
        <f xml:space="preserve"> IF(AND(Table1[[#This Row],[Actual_Lead_Time]] &lt;= Table1[[#This Row],[Standard_Lead_Time]], OR(ISBLANK(J376), J376 = 0)), "OTIF", "Non-OTIF")</f>
        <v>Non-OTIF</v>
      </c>
      <c r="P376">
        <f>IF(Table1[[#This Row],[OTIF_Status]] = "OTIF", 1, 0)</f>
        <v>0</v>
      </c>
      <c r="Q376" s="5">
        <f t="shared" si="21"/>
        <v>4594.83</v>
      </c>
      <c r="R376" s="5">
        <f t="shared" si="22"/>
        <v>4416.6400000000003</v>
      </c>
      <c r="S376" s="5">
        <f>Table1[[#This Row],[Total_Line_Spend]]-Table1[[#This Row],[Negotiated_Total]]</f>
        <v>178.1899999999996</v>
      </c>
      <c r="T376" t="str">
        <f xml:space="preserve"> IF(Table1[[#This Row],[Delay_Days]] &gt; 4, "High Risk", IF(Table1[[#This Row],[Delay_Days]] &gt; 0, "Medium Risk", "Low Risk"))</f>
        <v>Medium Risk</v>
      </c>
    </row>
    <row r="377" spans="1:20" x14ac:dyDescent="0.25">
      <c r="A377" t="s">
        <v>402</v>
      </c>
      <c r="B377" t="s">
        <v>808</v>
      </c>
      <c r="C377" s="1">
        <v>44833</v>
      </c>
      <c r="D377" s="1">
        <v>44841</v>
      </c>
      <c r="E377" t="s">
        <v>13</v>
      </c>
      <c r="F377" t="s">
        <v>18</v>
      </c>
      <c r="G377">
        <v>1193</v>
      </c>
      <c r="H377" s="5">
        <v>27.4</v>
      </c>
      <c r="I377" s="5">
        <v>27.09</v>
      </c>
      <c r="K377" t="s">
        <v>15</v>
      </c>
      <c r="L377">
        <f t="shared" si="23"/>
        <v>8</v>
      </c>
      <c r="M377">
        <v>11</v>
      </c>
      <c r="N377">
        <f t="shared" si="20"/>
        <v>0</v>
      </c>
      <c r="O377" t="str">
        <f xml:space="preserve"> IF(AND(Table1[[#This Row],[Actual_Lead_Time]] &lt;= Table1[[#This Row],[Standard_Lead_Time]], OR(ISBLANK(J377), J377 = 0)), "OTIF", "Non-OTIF")</f>
        <v>OTIF</v>
      </c>
      <c r="P377">
        <f>IF(Table1[[#This Row],[OTIF_Status]] = "OTIF", 1, 0)</f>
        <v>1</v>
      </c>
      <c r="Q377" s="5">
        <f t="shared" si="21"/>
        <v>32688.199999999997</v>
      </c>
      <c r="R377" s="5">
        <f t="shared" si="22"/>
        <v>32318.37</v>
      </c>
      <c r="S377" s="5">
        <f>Table1[[#This Row],[Total_Line_Spend]]-Table1[[#This Row],[Negotiated_Total]]</f>
        <v>369.82999999999811</v>
      </c>
      <c r="T377" t="str">
        <f xml:space="preserve"> IF(Table1[[#This Row],[Delay_Days]] &gt; 4, "High Risk", IF(Table1[[#This Row],[Delay_Days]] &gt; 0, "Medium Risk", "Low Risk"))</f>
        <v>Low Risk</v>
      </c>
    </row>
    <row r="378" spans="1:20" x14ac:dyDescent="0.25">
      <c r="A378" t="s">
        <v>403</v>
      </c>
      <c r="B378" t="s">
        <v>806</v>
      </c>
      <c r="C378" s="1">
        <v>44697</v>
      </c>
      <c r="D378" s="1">
        <v>44709</v>
      </c>
      <c r="E378" t="s">
        <v>13</v>
      </c>
      <c r="F378" t="s">
        <v>33</v>
      </c>
      <c r="G378">
        <v>1746</v>
      </c>
      <c r="H378" s="5">
        <v>93.6</v>
      </c>
      <c r="I378" s="5">
        <v>89.81</v>
      </c>
      <c r="J378">
        <v>85</v>
      </c>
      <c r="K378" t="s">
        <v>15</v>
      </c>
      <c r="L378">
        <f t="shared" si="23"/>
        <v>12</v>
      </c>
      <c r="M378">
        <v>11</v>
      </c>
      <c r="N378">
        <f t="shared" si="20"/>
        <v>1</v>
      </c>
      <c r="O378" t="str">
        <f xml:space="preserve"> IF(AND(Table1[[#This Row],[Actual_Lead_Time]] &lt;= Table1[[#This Row],[Standard_Lead_Time]], OR(ISBLANK(J378), J378 = 0)), "OTIF", "Non-OTIF")</f>
        <v>Non-OTIF</v>
      </c>
      <c r="P378">
        <f>IF(Table1[[#This Row],[OTIF_Status]] = "OTIF", 1, 0)</f>
        <v>0</v>
      </c>
      <c r="Q378" s="5">
        <f t="shared" si="21"/>
        <v>163425.59999999998</v>
      </c>
      <c r="R378" s="5">
        <f t="shared" si="22"/>
        <v>156808.26</v>
      </c>
      <c r="S378" s="5">
        <f>Table1[[#This Row],[Total_Line_Spend]]-Table1[[#This Row],[Negotiated_Total]]</f>
        <v>6617.3399999999674</v>
      </c>
      <c r="T378" t="str">
        <f xml:space="preserve"> IF(Table1[[#This Row],[Delay_Days]] &gt; 4, "High Risk", IF(Table1[[#This Row],[Delay_Days]] &gt; 0, "Medium Risk", "Low Risk"))</f>
        <v>Medium Risk</v>
      </c>
    </row>
    <row r="379" spans="1:20" x14ac:dyDescent="0.25">
      <c r="A379" t="s">
        <v>404</v>
      </c>
      <c r="B379" t="s">
        <v>805</v>
      </c>
      <c r="C379" s="1">
        <v>44919</v>
      </c>
      <c r="D379" s="1">
        <v>44921</v>
      </c>
      <c r="E379" t="s">
        <v>39</v>
      </c>
      <c r="F379" t="s">
        <v>18</v>
      </c>
      <c r="G379">
        <v>1993</v>
      </c>
      <c r="H379" s="5">
        <v>65.94</v>
      </c>
      <c r="I379" s="5">
        <v>59.36</v>
      </c>
      <c r="K379" t="s">
        <v>15</v>
      </c>
      <c r="L379">
        <f t="shared" si="23"/>
        <v>2</v>
      </c>
      <c r="M379">
        <v>11</v>
      </c>
      <c r="N379">
        <f t="shared" si="20"/>
        <v>0</v>
      </c>
      <c r="O379" t="str">
        <f xml:space="preserve"> IF(AND(Table1[[#This Row],[Actual_Lead_Time]] &lt;= Table1[[#This Row],[Standard_Lead_Time]], OR(ISBLANK(J379), J379 = 0)), "OTIF", "Non-OTIF")</f>
        <v>OTIF</v>
      </c>
      <c r="P379">
        <f>IF(Table1[[#This Row],[OTIF_Status]] = "OTIF", 1, 0)</f>
        <v>1</v>
      </c>
      <c r="Q379" s="5">
        <f t="shared" si="21"/>
        <v>131418.41999999998</v>
      </c>
      <c r="R379" s="5">
        <f t="shared" si="22"/>
        <v>118304.48</v>
      </c>
      <c r="S379" s="5">
        <f>Table1[[#This Row],[Total_Line_Spend]]-Table1[[#This Row],[Negotiated_Total]]</f>
        <v>13113.939999999988</v>
      </c>
      <c r="T379" t="str">
        <f xml:space="preserve"> IF(Table1[[#This Row],[Delay_Days]] &gt; 4, "High Risk", IF(Table1[[#This Row],[Delay_Days]] &gt; 0, "Medium Risk", "Low Risk"))</f>
        <v>Low Risk</v>
      </c>
    </row>
    <row r="380" spans="1:20" x14ac:dyDescent="0.25">
      <c r="A380" t="s">
        <v>405</v>
      </c>
      <c r="B380" t="s">
        <v>807</v>
      </c>
      <c r="C380" s="1">
        <v>44632</v>
      </c>
      <c r="D380" s="1">
        <v>44647</v>
      </c>
      <c r="E380" t="s">
        <v>26</v>
      </c>
      <c r="F380" t="s">
        <v>18</v>
      </c>
      <c r="G380">
        <v>677</v>
      </c>
      <c r="H380" s="5">
        <v>46.54</v>
      </c>
      <c r="I380" s="5">
        <v>43.11</v>
      </c>
      <c r="K380" t="s">
        <v>27</v>
      </c>
      <c r="L380">
        <f t="shared" si="23"/>
        <v>15</v>
      </c>
      <c r="M380">
        <v>11</v>
      </c>
      <c r="N380">
        <f t="shared" si="20"/>
        <v>4</v>
      </c>
      <c r="O380" t="str">
        <f xml:space="preserve"> IF(AND(Table1[[#This Row],[Actual_Lead_Time]] &lt;= Table1[[#This Row],[Standard_Lead_Time]], OR(ISBLANK(J380), J380 = 0)), "OTIF", "Non-OTIF")</f>
        <v>Non-OTIF</v>
      </c>
      <c r="P380">
        <f>IF(Table1[[#This Row],[OTIF_Status]] = "OTIF", 1, 0)</f>
        <v>0</v>
      </c>
      <c r="Q380" s="5">
        <f t="shared" si="21"/>
        <v>31507.579999999998</v>
      </c>
      <c r="R380" s="5">
        <f t="shared" si="22"/>
        <v>29185.47</v>
      </c>
      <c r="S380" s="5">
        <f>Table1[[#This Row],[Total_Line_Spend]]-Table1[[#This Row],[Negotiated_Total]]</f>
        <v>2322.1099999999969</v>
      </c>
      <c r="T380" t="str">
        <f xml:space="preserve"> IF(Table1[[#This Row],[Delay_Days]] &gt; 4, "High Risk", IF(Table1[[#This Row],[Delay_Days]] &gt; 0, "Medium Risk", "Low Risk"))</f>
        <v>Medium Risk</v>
      </c>
    </row>
    <row r="381" spans="1:20" x14ac:dyDescent="0.25">
      <c r="A381" t="s">
        <v>406</v>
      </c>
      <c r="B381" t="s">
        <v>804</v>
      </c>
      <c r="C381" s="1">
        <v>44812</v>
      </c>
      <c r="D381" s="1">
        <v>44823</v>
      </c>
      <c r="E381" t="s">
        <v>13</v>
      </c>
      <c r="F381" t="s">
        <v>35</v>
      </c>
      <c r="G381">
        <v>636</v>
      </c>
      <c r="H381" s="5">
        <v>53.64</v>
      </c>
      <c r="I381" s="5">
        <v>49.23</v>
      </c>
      <c r="J381">
        <v>18</v>
      </c>
      <c r="K381" t="s">
        <v>15</v>
      </c>
      <c r="L381">
        <f t="shared" si="23"/>
        <v>11</v>
      </c>
      <c r="M381">
        <v>11</v>
      </c>
      <c r="N381">
        <f t="shared" si="20"/>
        <v>0</v>
      </c>
      <c r="O381" t="str">
        <f xml:space="preserve"> IF(AND(Table1[[#This Row],[Actual_Lead_Time]] &lt;= Table1[[#This Row],[Standard_Lead_Time]], OR(ISBLANK(J381), J381 = 0)), "OTIF", "Non-OTIF")</f>
        <v>Non-OTIF</v>
      </c>
      <c r="P381">
        <f>IF(Table1[[#This Row],[OTIF_Status]] = "OTIF", 1, 0)</f>
        <v>0</v>
      </c>
      <c r="Q381" s="5">
        <f t="shared" si="21"/>
        <v>34115.040000000001</v>
      </c>
      <c r="R381" s="5">
        <f t="shared" si="22"/>
        <v>31310.28</v>
      </c>
      <c r="S381" s="5">
        <f>Table1[[#This Row],[Total_Line_Spend]]-Table1[[#This Row],[Negotiated_Total]]</f>
        <v>2804.760000000002</v>
      </c>
      <c r="T381" t="str">
        <f xml:space="preserve"> IF(Table1[[#This Row],[Delay_Days]] &gt; 4, "High Risk", IF(Table1[[#This Row],[Delay_Days]] &gt; 0, "Medium Risk", "Low Risk"))</f>
        <v>Low Risk</v>
      </c>
    </row>
    <row r="382" spans="1:20" x14ac:dyDescent="0.25">
      <c r="A382" t="s">
        <v>407</v>
      </c>
      <c r="B382" t="s">
        <v>808</v>
      </c>
      <c r="C382" s="1">
        <v>44940</v>
      </c>
      <c r="D382" s="1">
        <v>44959</v>
      </c>
      <c r="E382" t="s">
        <v>24</v>
      </c>
      <c r="F382" t="s">
        <v>18</v>
      </c>
      <c r="G382">
        <v>1698</v>
      </c>
      <c r="H382" s="5">
        <v>100.97</v>
      </c>
      <c r="I382" s="5">
        <v>98.73</v>
      </c>
      <c r="J382">
        <v>52</v>
      </c>
      <c r="K382" t="s">
        <v>15</v>
      </c>
      <c r="L382">
        <f t="shared" si="23"/>
        <v>19</v>
      </c>
      <c r="M382">
        <v>11</v>
      </c>
      <c r="N382">
        <f t="shared" si="20"/>
        <v>8</v>
      </c>
      <c r="O382" t="str">
        <f xml:space="preserve"> IF(AND(Table1[[#This Row],[Actual_Lead_Time]] &lt;= Table1[[#This Row],[Standard_Lead_Time]], OR(ISBLANK(J382), J382 = 0)), "OTIF", "Non-OTIF")</f>
        <v>Non-OTIF</v>
      </c>
      <c r="P382">
        <f>IF(Table1[[#This Row],[OTIF_Status]] = "OTIF", 1, 0)</f>
        <v>0</v>
      </c>
      <c r="Q382" s="5">
        <f t="shared" si="21"/>
        <v>171447.06</v>
      </c>
      <c r="R382" s="5">
        <f t="shared" si="22"/>
        <v>167643.54</v>
      </c>
      <c r="S382" s="5">
        <f>Table1[[#This Row],[Total_Line_Spend]]-Table1[[#This Row],[Negotiated_Total]]</f>
        <v>3803.5199999999895</v>
      </c>
      <c r="T382" t="str">
        <f xml:space="preserve"> IF(Table1[[#This Row],[Delay_Days]] &gt; 4, "High Risk", IF(Table1[[#This Row],[Delay_Days]] &gt; 0, "Medium Risk", "Low Risk"))</f>
        <v>High Risk</v>
      </c>
    </row>
    <row r="383" spans="1:20" x14ac:dyDescent="0.25">
      <c r="A383" t="s">
        <v>408</v>
      </c>
      <c r="B383" t="s">
        <v>806</v>
      </c>
      <c r="C383" s="1">
        <v>44853</v>
      </c>
      <c r="D383" s="1">
        <v>44866</v>
      </c>
      <c r="E383" t="s">
        <v>13</v>
      </c>
      <c r="F383" t="s">
        <v>18</v>
      </c>
      <c r="G383">
        <v>1493</v>
      </c>
      <c r="H383" s="5">
        <v>24.87</v>
      </c>
      <c r="I383" s="5">
        <v>22.89</v>
      </c>
      <c r="J383">
        <v>56</v>
      </c>
      <c r="K383" t="s">
        <v>15</v>
      </c>
      <c r="L383">
        <f t="shared" si="23"/>
        <v>13</v>
      </c>
      <c r="M383">
        <v>11</v>
      </c>
      <c r="N383">
        <f t="shared" si="20"/>
        <v>2</v>
      </c>
      <c r="O383" t="str">
        <f xml:space="preserve"> IF(AND(Table1[[#This Row],[Actual_Lead_Time]] &lt;= Table1[[#This Row],[Standard_Lead_Time]], OR(ISBLANK(J383), J383 = 0)), "OTIF", "Non-OTIF")</f>
        <v>Non-OTIF</v>
      </c>
      <c r="P383">
        <f>IF(Table1[[#This Row],[OTIF_Status]] = "OTIF", 1, 0)</f>
        <v>0</v>
      </c>
      <c r="Q383" s="5">
        <f t="shared" si="21"/>
        <v>37130.910000000003</v>
      </c>
      <c r="R383" s="5">
        <f t="shared" si="22"/>
        <v>34174.770000000004</v>
      </c>
      <c r="S383" s="5">
        <f>Table1[[#This Row],[Total_Line_Spend]]-Table1[[#This Row],[Negotiated_Total]]</f>
        <v>2956.1399999999994</v>
      </c>
      <c r="T383" t="str">
        <f xml:space="preserve"> IF(Table1[[#This Row],[Delay_Days]] &gt; 4, "High Risk", IF(Table1[[#This Row],[Delay_Days]] &gt; 0, "Medium Risk", "Low Risk"))</f>
        <v>Medium Risk</v>
      </c>
    </row>
    <row r="384" spans="1:20" x14ac:dyDescent="0.25">
      <c r="A384" t="s">
        <v>409</v>
      </c>
      <c r="B384" t="s">
        <v>804</v>
      </c>
      <c r="C384" s="1">
        <v>44723</v>
      </c>
      <c r="D384" s="1">
        <v>44737</v>
      </c>
      <c r="E384" t="s">
        <v>24</v>
      </c>
      <c r="F384" t="s">
        <v>18</v>
      </c>
      <c r="G384">
        <v>1495</v>
      </c>
      <c r="H384" s="5">
        <v>64.33</v>
      </c>
      <c r="I384" s="5">
        <v>58.18</v>
      </c>
      <c r="J384">
        <v>26</v>
      </c>
      <c r="K384" t="s">
        <v>15</v>
      </c>
      <c r="L384">
        <f t="shared" si="23"/>
        <v>14</v>
      </c>
      <c r="M384">
        <v>11</v>
      </c>
      <c r="N384">
        <f t="shared" si="20"/>
        <v>3</v>
      </c>
      <c r="O384" t="str">
        <f xml:space="preserve"> IF(AND(Table1[[#This Row],[Actual_Lead_Time]] &lt;= Table1[[#This Row],[Standard_Lead_Time]], OR(ISBLANK(J384), J384 = 0)), "OTIF", "Non-OTIF")</f>
        <v>Non-OTIF</v>
      </c>
      <c r="P384">
        <f>IF(Table1[[#This Row],[OTIF_Status]] = "OTIF", 1, 0)</f>
        <v>0</v>
      </c>
      <c r="Q384" s="5">
        <f t="shared" si="21"/>
        <v>96173.349999999991</v>
      </c>
      <c r="R384" s="5">
        <f t="shared" si="22"/>
        <v>86979.1</v>
      </c>
      <c r="S384" s="5">
        <f>Table1[[#This Row],[Total_Line_Spend]]-Table1[[#This Row],[Negotiated_Total]]</f>
        <v>9194.2499999999854</v>
      </c>
      <c r="T384" t="str">
        <f xml:space="preserve"> IF(Table1[[#This Row],[Delay_Days]] &gt; 4, "High Risk", IF(Table1[[#This Row],[Delay_Days]] &gt; 0, "Medium Risk", "Low Risk"))</f>
        <v>Medium Risk</v>
      </c>
    </row>
    <row r="385" spans="1:20" x14ac:dyDescent="0.25">
      <c r="A385" t="s">
        <v>410</v>
      </c>
      <c r="B385" t="s">
        <v>804</v>
      </c>
      <c r="C385" s="1">
        <v>45010</v>
      </c>
      <c r="D385" s="1">
        <v>45023</v>
      </c>
      <c r="E385" t="s">
        <v>24</v>
      </c>
      <c r="F385" t="s">
        <v>14</v>
      </c>
      <c r="G385">
        <v>153</v>
      </c>
      <c r="H385" s="5">
        <v>59.42</v>
      </c>
      <c r="I385" s="5">
        <v>52</v>
      </c>
      <c r="J385">
        <v>3</v>
      </c>
      <c r="K385" t="s">
        <v>15</v>
      </c>
      <c r="L385">
        <f t="shared" si="23"/>
        <v>13</v>
      </c>
      <c r="M385">
        <v>11</v>
      </c>
      <c r="N385">
        <f t="shared" si="20"/>
        <v>2</v>
      </c>
      <c r="O385" t="str">
        <f xml:space="preserve"> IF(AND(Table1[[#This Row],[Actual_Lead_Time]] &lt;= Table1[[#This Row],[Standard_Lead_Time]], OR(ISBLANK(J385), J385 = 0)), "OTIF", "Non-OTIF")</f>
        <v>Non-OTIF</v>
      </c>
      <c r="P385">
        <f>IF(Table1[[#This Row],[OTIF_Status]] = "OTIF", 1, 0)</f>
        <v>0</v>
      </c>
      <c r="Q385" s="5">
        <f t="shared" si="21"/>
        <v>9091.26</v>
      </c>
      <c r="R385" s="5">
        <f t="shared" si="22"/>
        <v>7956</v>
      </c>
      <c r="S385" s="5">
        <f>Table1[[#This Row],[Total_Line_Spend]]-Table1[[#This Row],[Negotiated_Total]]</f>
        <v>1135.2600000000002</v>
      </c>
      <c r="T385" t="str">
        <f xml:space="preserve"> IF(Table1[[#This Row],[Delay_Days]] &gt; 4, "High Risk", IF(Table1[[#This Row],[Delay_Days]] &gt; 0, "Medium Risk", "Low Risk"))</f>
        <v>Medium Risk</v>
      </c>
    </row>
    <row r="386" spans="1:20" x14ac:dyDescent="0.25">
      <c r="A386" t="s">
        <v>411</v>
      </c>
      <c r="B386" t="s">
        <v>805</v>
      </c>
      <c r="C386" s="1">
        <v>45118</v>
      </c>
      <c r="D386" s="1">
        <v>45129</v>
      </c>
      <c r="E386" t="s">
        <v>26</v>
      </c>
      <c r="F386" t="s">
        <v>14</v>
      </c>
      <c r="G386">
        <v>1925</v>
      </c>
      <c r="H386" s="5">
        <v>70.88</v>
      </c>
      <c r="I386" s="5">
        <v>63.41</v>
      </c>
      <c r="J386">
        <v>292</v>
      </c>
      <c r="K386" t="s">
        <v>15</v>
      </c>
      <c r="L386">
        <f t="shared" si="23"/>
        <v>11</v>
      </c>
      <c r="M386">
        <v>11</v>
      </c>
      <c r="N386">
        <f t="shared" ref="N386:N449" si="24">MAX(0, L386-M386)</f>
        <v>0</v>
      </c>
      <c r="O386" t="str">
        <f xml:space="preserve"> IF(AND(Table1[[#This Row],[Actual_Lead_Time]] &lt;= Table1[[#This Row],[Standard_Lead_Time]], OR(ISBLANK(J386), J386 = 0)), "OTIF", "Non-OTIF")</f>
        <v>Non-OTIF</v>
      </c>
      <c r="P386">
        <f>IF(Table1[[#This Row],[OTIF_Status]] = "OTIF", 1, 0)</f>
        <v>0</v>
      </c>
      <c r="Q386" s="5">
        <f t="shared" ref="Q386:Q449" si="25" xml:space="preserve"> IFERROR(G386 * H386, 0)</f>
        <v>136444</v>
      </c>
      <c r="R386" s="5">
        <f t="shared" ref="R386:R449" si="26" xml:space="preserve"> IFERROR(G386 * I386, 0)</f>
        <v>122064.25</v>
      </c>
      <c r="S386" s="5">
        <f>Table1[[#This Row],[Total_Line_Spend]]-Table1[[#This Row],[Negotiated_Total]]</f>
        <v>14379.75</v>
      </c>
      <c r="T386" t="str">
        <f xml:space="preserve"> IF(Table1[[#This Row],[Delay_Days]] &gt; 4, "High Risk", IF(Table1[[#This Row],[Delay_Days]] &gt; 0, "Medium Risk", "Low Risk"))</f>
        <v>Low Risk</v>
      </c>
    </row>
    <row r="387" spans="1:20" x14ac:dyDescent="0.25">
      <c r="A387" t="s">
        <v>412</v>
      </c>
      <c r="B387" t="s">
        <v>807</v>
      </c>
      <c r="C387" s="1">
        <v>45282</v>
      </c>
      <c r="D387" s="1">
        <v>45302</v>
      </c>
      <c r="E387" t="s">
        <v>24</v>
      </c>
      <c r="F387" t="s">
        <v>18</v>
      </c>
      <c r="G387">
        <v>303</v>
      </c>
      <c r="H387" s="5">
        <v>12.97</v>
      </c>
      <c r="I387" s="5">
        <v>11.42</v>
      </c>
      <c r="K387" t="s">
        <v>27</v>
      </c>
      <c r="L387">
        <f t="shared" ref="L387:L450" si="27" xml:space="preserve"> INT(D387) - INT(C387)</f>
        <v>20</v>
      </c>
      <c r="M387">
        <v>11</v>
      </c>
      <c r="N387">
        <f t="shared" si="24"/>
        <v>9</v>
      </c>
      <c r="O387" t="str">
        <f xml:space="preserve"> IF(AND(Table1[[#This Row],[Actual_Lead_Time]] &lt;= Table1[[#This Row],[Standard_Lead_Time]], OR(ISBLANK(J387), J387 = 0)), "OTIF", "Non-OTIF")</f>
        <v>Non-OTIF</v>
      </c>
      <c r="P387">
        <f>IF(Table1[[#This Row],[OTIF_Status]] = "OTIF", 1, 0)</f>
        <v>0</v>
      </c>
      <c r="Q387" s="5">
        <f t="shared" si="25"/>
        <v>3929.9100000000003</v>
      </c>
      <c r="R387" s="5">
        <f t="shared" si="26"/>
        <v>3460.2599999999998</v>
      </c>
      <c r="S387" s="5">
        <f>Table1[[#This Row],[Total_Line_Spend]]-Table1[[#This Row],[Negotiated_Total]]</f>
        <v>469.65000000000055</v>
      </c>
      <c r="T387" t="str">
        <f xml:space="preserve"> IF(Table1[[#This Row],[Delay_Days]] &gt; 4, "High Risk", IF(Table1[[#This Row],[Delay_Days]] &gt; 0, "Medium Risk", "Low Risk"))</f>
        <v>High Risk</v>
      </c>
    </row>
    <row r="388" spans="1:20" x14ac:dyDescent="0.25">
      <c r="A388" t="s">
        <v>413</v>
      </c>
      <c r="B388" t="s">
        <v>804</v>
      </c>
      <c r="C388" s="1">
        <v>44871</v>
      </c>
      <c r="D388" s="1">
        <v>44883</v>
      </c>
      <c r="E388" t="s">
        <v>13</v>
      </c>
      <c r="F388" t="s">
        <v>18</v>
      </c>
      <c r="G388">
        <v>1300</v>
      </c>
      <c r="H388" s="5">
        <v>92.92</v>
      </c>
      <c r="I388" s="5">
        <v>90.63</v>
      </c>
      <c r="K388" t="s">
        <v>15</v>
      </c>
      <c r="L388">
        <f t="shared" si="27"/>
        <v>12</v>
      </c>
      <c r="M388">
        <v>11</v>
      </c>
      <c r="N388">
        <f t="shared" si="24"/>
        <v>1</v>
      </c>
      <c r="O388" t="str">
        <f xml:space="preserve"> IF(AND(Table1[[#This Row],[Actual_Lead_Time]] &lt;= Table1[[#This Row],[Standard_Lead_Time]], OR(ISBLANK(J388), J388 = 0)), "OTIF", "Non-OTIF")</f>
        <v>Non-OTIF</v>
      </c>
      <c r="P388">
        <f>IF(Table1[[#This Row],[OTIF_Status]] = "OTIF", 1, 0)</f>
        <v>0</v>
      </c>
      <c r="Q388" s="5">
        <f t="shared" si="25"/>
        <v>120796</v>
      </c>
      <c r="R388" s="5">
        <f t="shared" si="26"/>
        <v>117819</v>
      </c>
      <c r="S388" s="5">
        <f>Table1[[#This Row],[Total_Line_Spend]]-Table1[[#This Row],[Negotiated_Total]]</f>
        <v>2977</v>
      </c>
      <c r="T388" t="str">
        <f xml:space="preserve"> IF(Table1[[#This Row],[Delay_Days]] &gt; 4, "High Risk", IF(Table1[[#This Row],[Delay_Days]] &gt; 0, "Medium Risk", "Low Risk"))</f>
        <v>Medium Risk</v>
      </c>
    </row>
    <row r="389" spans="1:20" x14ac:dyDescent="0.25">
      <c r="A389" t="s">
        <v>414</v>
      </c>
      <c r="B389" t="s">
        <v>806</v>
      </c>
      <c r="C389" s="1">
        <v>45188</v>
      </c>
      <c r="D389" s="1">
        <v>45192</v>
      </c>
      <c r="E389" t="s">
        <v>26</v>
      </c>
      <c r="F389" t="s">
        <v>18</v>
      </c>
      <c r="G389">
        <v>1185</v>
      </c>
      <c r="H389" s="5">
        <v>103.28</v>
      </c>
      <c r="I389" s="5">
        <v>99.05</v>
      </c>
      <c r="K389" t="s">
        <v>15</v>
      </c>
      <c r="L389">
        <f t="shared" si="27"/>
        <v>4</v>
      </c>
      <c r="M389">
        <v>11</v>
      </c>
      <c r="N389">
        <f t="shared" si="24"/>
        <v>0</v>
      </c>
      <c r="O389" t="str">
        <f xml:space="preserve"> IF(AND(Table1[[#This Row],[Actual_Lead_Time]] &lt;= Table1[[#This Row],[Standard_Lead_Time]], OR(ISBLANK(J389), J389 = 0)), "OTIF", "Non-OTIF")</f>
        <v>OTIF</v>
      </c>
      <c r="P389">
        <f>IF(Table1[[#This Row],[OTIF_Status]] = "OTIF", 1, 0)</f>
        <v>1</v>
      </c>
      <c r="Q389" s="5">
        <f t="shared" si="25"/>
        <v>122386.8</v>
      </c>
      <c r="R389" s="5">
        <f t="shared" si="26"/>
        <v>117374.25</v>
      </c>
      <c r="S389" s="5">
        <f>Table1[[#This Row],[Total_Line_Spend]]-Table1[[#This Row],[Negotiated_Total]]</f>
        <v>5012.5500000000029</v>
      </c>
      <c r="T389" t="str">
        <f xml:space="preserve"> IF(Table1[[#This Row],[Delay_Days]] &gt; 4, "High Risk", IF(Table1[[#This Row],[Delay_Days]] &gt; 0, "Medium Risk", "Low Risk"))</f>
        <v>Low Risk</v>
      </c>
    </row>
    <row r="390" spans="1:20" x14ac:dyDescent="0.25">
      <c r="A390" t="s">
        <v>415</v>
      </c>
      <c r="B390" t="s">
        <v>808</v>
      </c>
      <c r="C390" s="1">
        <v>45231</v>
      </c>
      <c r="D390" s="1">
        <v>45250</v>
      </c>
      <c r="E390" t="s">
        <v>26</v>
      </c>
      <c r="F390" t="s">
        <v>18</v>
      </c>
      <c r="G390">
        <v>559</v>
      </c>
      <c r="H390" s="5">
        <v>67.56</v>
      </c>
      <c r="I390" s="5">
        <v>57.98</v>
      </c>
      <c r="J390">
        <v>15</v>
      </c>
      <c r="K390" t="s">
        <v>15</v>
      </c>
      <c r="L390">
        <f t="shared" si="27"/>
        <v>19</v>
      </c>
      <c r="M390">
        <v>11</v>
      </c>
      <c r="N390">
        <f t="shared" si="24"/>
        <v>8</v>
      </c>
      <c r="O390" t="str">
        <f xml:space="preserve"> IF(AND(Table1[[#This Row],[Actual_Lead_Time]] &lt;= Table1[[#This Row],[Standard_Lead_Time]], OR(ISBLANK(J390), J390 = 0)), "OTIF", "Non-OTIF")</f>
        <v>Non-OTIF</v>
      </c>
      <c r="P390">
        <f>IF(Table1[[#This Row],[OTIF_Status]] = "OTIF", 1, 0)</f>
        <v>0</v>
      </c>
      <c r="Q390" s="5">
        <f t="shared" si="25"/>
        <v>37766.04</v>
      </c>
      <c r="R390" s="5">
        <f t="shared" si="26"/>
        <v>32410.82</v>
      </c>
      <c r="S390" s="5">
        <f>Table1[[#This Row],[Total_Line_Spend]]-Table1[[#This Row],[Negotiated_Total]]</f>
        <v>5355.2200000000012</v>
      </c>
      <c r="T390" t="str">
        <f xml:space="preserve"> IF(Table1[[#This Row],[Delay_Days]] &gt; 4, "High Risk", IF(Table1[[#This Row],[Delay_Days]] &gt; 0, "Medium Risk", "Low Risk"))</f>
        <v>High Risk</v>
      </c>
    </row>
    <row r="391" spans="1:20" x14ac:dyDescent="0.25">
      <c r="A391" t="s">
        <v>416</v>
      </c>
      <c r="B391" t="s">
        <v>808</v>
      </c>
      <c r="C391" s="1">
        <v>45103</v>
      </c>
      <c r="D391" s="1">
        <v>45106</v>
      </c>
      <c r="E391" t="s">
        <v>39</v>
      </c>
      <c r="F391" t="s">
        <v>35</v>
      </c>
      <c r="G391">
        <v>1546</v>
      </c>
      <c r="H391" s="5">
        <v>78.88</v>
      </c>
      <c r="I391" s="5">
        <v>78</v>
      </c>
      <c r="J391">
        <v>38</v>
      </c>
      <c r="K391" t="s">
        <v>15</v>
      </c>
      <c r="L391">
        <f t="shared" si="27"/>
        <v>3</v>
      </c>
      <c r="M391">
        <v>11</v>
      </c>
      <c r="N391">
        <f t="shared" si="24"/>
        <v>0</v>
      </c>
      <c r="O391" t="str">
        <f xml:space="preserve"> IF(AND(Table1[[#This Row],[Actual_Lead_Time]] &lt;= Table1[[#This Row],[Standard_Lead_Time]], OR(ISBLANK(J391), J391 = 0)), "OTIF", "Non-OTIF")</f>
        <v>Non-OTIF</v>
      </c>
      <c r="P391">
        <f>IF(Table1[[#This Row],[OTIF_Status]] = "OTIF", 1, 0)</f>
        <v>0</v>
      </c>
      <c r="Q391" s="5">
        <f t="shared" si="25"/>
        <v>121948.48</v>
      </c>
      <c r="R391" s="5">
        <f t="shared" si="26"/>
        <v>120588</v>
      </c>
      <c r="S391" s="5">
        <f>Table1[[#This Row],[Total_Line_Spend]]-Table1[[#This Row],[Negotiated_Total]]</f>
        <v>1360.4799999999959</v>
      </c>
      <c r="T391" t="str">
        <f xml:space="preserve"> IF(Table1[[#This Row],[Delay_Days]] &gt; 4, "High Risk", IF(Table1[[#This Row],[Delay_Days]] &gt; 0, "Medium Risk", "Low Risk"))</f>
        <v>Low Risk</v>
      </c>
    </row>
    <row r="392" spans="1:20" x14ac:dyDescent="0.25">
      <c r="A392" t="s">
        <v>417</v>
      </c>
      <c r="B392" t="s">
        <v>808</v>
      </c>
      <c r="C392" s="1">
        <v>44570</v>
      </c>
      <c r="D392" s="1">
        <v>44580</v>
      </c>
      <c r="E392" t="s">
        <v>24</v>
      </c>
      <c r="F392" t="s">
        <v>18</v>
      </c>
      <c r="G392">
        <v>148</v>
      </c>
      <c r="H392" s="5">
        <v>93.02</v>
      </c>
      <c r="I392" s="5">
        <v>85.96</v>
      </c>
      <c r="J392">
        <v>4</v>
      </c>
      <c r="K392" t="s">
        <v>15</v>
      </c>
      <c r="L392">
        <f t="shared" si="27"/>
        <v>10</v>
      </c>
      <c r="M392">
        <v>11</v>
      </c>
      <c r="N392">
        <f t="shared" si="24"/>
        <v>0</v>
      </c>
      <c r="O392" t="str">
        <f xml:space="preserve"> IF(AND(Table1[[#This Row],[Actual_Lead_Time]] &lt;= Table1[[#This Row],[Standard_Lead_Time]], OR(ISBLANK(J392), J392 = 0)), "OTIF", "Non-OTIF")</f>
        <v>Non-OTIF</v>
      </c>
      <c r="P392">
        <f>IF(Table1[[#This Row],[OTIF_Status]] = "OTIF", 1, 0)</f>
        <v>0</v>
      </c>
      <c r="Q392" s="5">
        <f t="shared" si="25"/>
        <v>13766.96</v>
      </c>
      <c r="R392" s="5">
        <f t="shared" si="26"/>
        <v>12722.08</v>
      </c>
      <c r="S392" s="5">
        <f>Table1[[#This Row],[Total_Line_Spend]]-Table1[[#This Row],[Negotiated_Total]]</f>
        <v>1044.8799999999992</v>
      </c>
      <c r="T392" t="str">
        <f xml:space="preserve"> IF(Table1[[#This Row],[Delay_Days]] &gt; 4, "High Risk", IF(Table1[[#This Row],[Delay_Days]] &gt; 0, "Medium Risk", "Low Risk"))</f>
        <v>Low Risk</v>
      </c>
    </row>
    <row r="393" spans="1:20" x14ac:dyDescent="0.25">
      <c r="A393" t="s">
        <v>418</v>
      </c>
      <c r="B393" t="s">
        <v>805</v>
      </c>
      <c r="C393" s="1">
        <v>45245</v>
      </c>
      <c r="D393" s="1">
        <v>45253</v>
      </c>
      <c r="E393" t="s">
        <v>13</v>
      </c>
      <c r="F393" t="s">
        <v>18</v>
      </c>
      <c r="G393">
        <v>202</v>
      </c>
      <c r="H393" s="5">
        <v>81.75</v>
      </c>
      <c r="I393" s="5">
        <v>78.260000000000005</v>
      </c>
      <c r="J393">
        <v>37</v>
      </c>
      <c r="K393" t="s">
        <v>27</v>
      </c>
      <c r="L393">
        <f t="shared" si="27"/>
        <v>8</v>
      </c>
      <c r="M393">
        <v>11</v>
      </c>
      <c r="N393">
        <f t="shared" si="24"/>
        <v>0</v>
      </c>
      <c r="O393" t="str">
        <f xml:space="preserve"> IF(AND(Table1[[#This Row],[Actual_Lead_Time]] &lt;= Table1[[#This Row],[Standard_Lead_Time]], OR(ISBLANK(J393), J393 = 0)), "OTIF", "Non-OTIF")</f>
        <v>Non-OTIF</v>
      </c>
      <c r="P393">
        <f>IF(Table1[[#This Row],[OTIF_Status]] = "OTIF", 1, 0)</f>
        <v>0</v>
      </c>
      <c r="Q393" s="5">
        <f t="shared" si="25"/>
        <v>16513.5</v>
      </c>
      <c r="R393" s="5">
        <f t="shared" si="26"/>
        <v>15808.52</v>
      </c>
      <c r="S393" s="5">
        <f>Table1[[#This Row],[Total_Line_Spend]]-Table1[[#This Row],[Negotiated_Total]]</f>
        <v>704.97999999999956</v>
      </c>
      <c r="T393" t="str">
        <f xml:space="preserve"> IF(Table1[[#This Row],[Delay_Days]] &gt; 4, "High Risk", IF(Table1[[#This Row],[Delay_Days]] &gt; 0, "Medium Risk", "Low Risk"))</f>
        <v>Low Risk</v>
      </c>
    </row>
    <row r="394" spans="1:20" x14ac:dyDescent="0.25">
      <c r="A394" t="s">
        <v>419</v>
      </c>
      <c r="B394" t="s">
        <v>806</v>
      </c>
      <c r="C394" s="1">
        <v>45129</v>
      </c>
      <c r="D394" s="1">
        <v>45135</v>
      </c>
      <c r="E394" t="s">
        <v>24</v>
      </c>
      <c r="F394" t="s">
        <v>18</v>
      </c>
      <c r="G394">
        <v>1934</v>
      </c>
      <c r="H394" s="5">
        <v>25.86</v>
      </c>
      <c r="I394" s="5">
        <v>25.6</v>
      </c>
      <c r="J394">
        <v>78</v>
      </c>
      <c r="K394" t="s">
        <v>15</v>
      </c>
      <c r="L394">
        <f t="shared" si="27"/>
        <v>6</v>
      </c>
      <c r="M394">
        <v>11</v>
      </c>
      <c r="N394">
        <f t="shared" si="24"/>
        <v>0</v>
      </c>
      <c r="O394" t="str">
        <f xml:space="preserve"> IF(AND(Table1[[#This Row],[Actual_Lead_Time]] &lt;= Table1[[#This Row],[Standard_Lead_Time]], OR(ISBLANK(J394), J394 = 0)), "OTIF", "Non-OTIF")</f>
        <v>Non-OTIF</v>
      </c>
      <c r="P394">
        <f>IF(Table1[[#This Row],[OTIF_Status]] = "OTIF", 1, 0)</f>
        <v>0</v>
      </c>
      <c r="Q394" s="5">
        <f t="shared" si="25"/>
        <v>50013.24</v>
      </c>
      <c r="R394" s="5">
        <f t="shared" si="26"/>
        <v>49510.400000000001</v>
      </c>
      <c r="S394" s="5">
        <f>Table1[[#This Row],[Total_Line_Spend]]-Table1[[#This Row],[Negotiated_Total]]</f>
        <v>502.83999999999651</v>
      </c>
      <c r="T394" t="str">
        <f xml:space="preserve"> IF(Table1[[#This Row],[Delay_Days]] &gt; 4, "High Risk", IF(Table1[[#This Row],[Delay_Days]] &gt; 0, "Medium Risk", "Low Risk"))</f>
        <v>Low Risk</v>
      </c>
    </row>
    <row r="395" spans="1:20" x14ac:dyDescent="0.25">
      <c r="A395" t="s">
        <v>420</v>
      </c>
      <c r="B395" t="s">
        <v>804</v>
      </c>
      <c r="C395" s="1">
        <v>44868</v>
      </c>
      <c r="D395" s="1">
        <v>44872</v>
      </c>
      <c r="E395" t="s">
        <v>13</v>
      </c>
      <c r="F395" t="s">
        <v>18</v>
      </c>
      <c r="G395">
        <v>963</v>
      </c>
      <c r="H395" s="5">
        <v>64.959999999999994</v>
      </c>
      <c r="I395" s="5">
        <v>64.069999999999993</v>
      </c>
      <c r="J395">
        <v>20</v>
      </c>
      <c r="K395" t="s">
        <v>15</v>
      </c>
      <c r="L395">
        <f t="shared" si="27"/>
        <v>4</v>
      </c>
      <c r="M395">
        <v>11</v>
      </c>
      <c r="N395">
        <f t="shared" si="24"/>
        <v>0</v>
      </c>
      <c r="O395" t="str">
        <f xml:space="preserve"> IF(AND(Table1[[#This Row],[Actual_Lead_Time]] &lt;= Table1[[#This Row],[Standard_Lead_Time]], OR(ISBLANK(J395), J395 = 0)), "OTIF", "Non-OTIF")</f>
        <v>Non-OTIF</v>
      </c>
      <c r="P395">
        <f>IF(Table1[[#This Row],[OTIF_Status]] = "OTIF", 1, 0)</f>
        <v>0</v>
      </c>
      <c r="Q395" s="5">
        <f t="shared" si="25"/>
        <v>62556.479999999996</v>
      </c>
      <c r="R395" s="5">
        <f t="shared" si="26"/>
        <v>61699.409999999996</v>
      </c>
      <c r="S395" s="5">
        <f>Table1[[#This Row],[Total_Line_Spend]]-Table1[[#This Row],[Negotiated_Total]]</f>
        <v>857.06999999999971</v>
      </c>
      <c r="T395" t="str">
        <f xml:space="preserve"> IF(Table1[[#This Row],[Delay_Days]] &gt; 4, "High Risk", IF(Table1[[#This Row],[Delay_Days]] &gt; 0, "Medium Risk", "Low Risk"))</f>
        <v>Low Risk</v>
      </c>
    </row>
    <row r="396" spans="1:20" x14ac:dyDescent="0.25">
      <c r="A396" t="s">
        <v>421</v>
      </c>
      <c r="B396" t="s">
        <v>806</v>
      </c>
      <c r="C396" s="1">
        <v>45241</v>
      </c>
      <c r="D396" s="1">
        <v>45248</v>
      </c>
      <c r="E396" t="s">
        <v>21</v>
      </c>
      <c r="F396" t="s">
        <v>18</v>
      </c>
      <c r="G396">
        <v>1969</v>
      </c>
      <c r="H396" s="5">
        <v>71.709999999999994</v>
      </c>
      <c r="I396" s="5">
        <v>61.96</v>
      </c>
      <c r="K396" t="s">
        <v>15</v>
      </c>
      <c r="L396">
        <f t="shared" si="27"/>
        <v>7</v>
      </c>
      <c r="M396">
        <v>11</v>
      </c>
      <c r="N396">
        <f t="shared" si="24"/>
        <v>0</v>
      </c>
      <c r="O396" t="str">
        <f xml:space="preserve"> IF(AND(Table1[[#This Row],[Actual_Lead_Time]] &lt;= Table1[[#This Row],[Standard_Lead_Time]], OR(ISBLANK(J396), J396 = 0)), "OTIF", "Non-OTIF")</f>
        <v>OTIF</v>
      </c>
      <c r="P396">
        <f>IF(Table1[[#This Row],[OTIF_Status]] = "OTIF", 1, 0)</f>
        <v>1</v>
      </c>
      <c r="Q396" s="5">
        <f t="shared" si="25"/>
        <v>141196.99</v>
      </c>
      <c r="R396" s="5">
        <f t="shared" si="26"/>
        <v>121999.24</v>
      </c>
      <c r="S396" s="5">
        <f>Table1[[#This Row],[Total_Line_Spend]]-Table1[[#This Row],[Negotiated_Total]]</f>
        <v>19197.749999999985</v>
      </c>
      <c r="T396" t="str">
        <f xml:space="preserve"> IF(Table1[[#This Row],[Delay_Days]] &gt; 4, "High Risk", IF(Table1[[#This Row],[Delay_Days]] &gt; 0, "Medium Risk", "Low Risk"))</f>
        <v>Low Risk</v>
      </c>
    </row>
    <row r="397" spans="1:20" x14ac:dyDescent="0.25">
      <c r="A397" t="s">
        <v>422</v>
      </c>
      <c r="B397" t="s">
        <v>805</v>
      </c>
      <c r="C397" s="1">
        <v>44668</v>
      </c>
      <c r="D397" s="1">
        <v>44679</v>
      </c>
      <c r="E397" t="s">
        <v>39</v>
      </c>
      <c r="F397" t="s">
        <v>18</v>
      </c>
      <c r="G397">
        <v>927</v>
      </c>
      <c r="H397" s="5">
        <v>48.89</v>
      </c>
      <c r="I397" s="5">
        <v>46.05</v>
      </c>
      <c r="J397">
        <v>138</v>
      </c>
      <c r="K397" t="s">
        <v>15</v>
      </c>
      <c r="L397">
        <f t="shared" si="27"/>
        <v>11</v>
      </c>
      <c r="M397">
        <v>11</v>
      </c>
      <c r="N397">
        <f t="shared" si="24"/>
        <v>0</v>
      </c>
      <c r="O397" t="str">
        <f xml:space="preserve"> IF(AND(Table1[[#This Row],[Actual_Lead_Time]] &lt;= Table1[[#This Row],[Standard_Lead_Time]], OR(ISBLANK(J397), J397 = 0)), "OTIF", "Non-OTIF")</f>
        <v>Non-OTIF</v>
      </c>
      <c r="P397">
        <f>IF(Table1[[#This Row],[OTIF_Status]] = "OTIF", 1, 0)</f>
        <v>0</v>
      </c>
      <c r="Q397" s="5">
        <f t="shared" si="25"/>
        <v>45321.03</v>
      </c>
      <c r="R397" s="5">
        <f t="shared" si="26"/>
        <v>42688.35</v>
      </c>
      <c r="S397" s="5">
        <f>Table1[[#This Row],[Total_Line_Spend]]-Table1[[#This Row],[Negotiated_Total]]</f>
        <v>2632.6800000000003</v>
      </c>
      <c r="T397" t="str">
        <f xml:space="preserve"> IF(Table1[[#This Row],[Delay_Days]] &gt; 4, "High Risk", IF(Table1[[#This Row],[Delay_Days]] &gt; 0, "Medium Risk", "Low Risk"))</f>
        <v>Low Risk</v>
      </c>
    </row>
    <row r="398" spans="1:20" x14ac:dyDescent="0.25">
      <c r="A398" t="s">
        <v>423</v>
      </c>
      <c r="B398" t="s">
        <v>805</v>
      </c>
      <c r="C398" s="1">
        <v>44699</v>
      </c>
      <c r="D398" s="1">
        <v>44704</v>
      </c>
      <c r="E398" t="s">
        <v>26</v>
      </c>
      <c r="F398" t="s">
        <v>14</v>
      </c>
      <c r="G398">
        <v>387</v>
      </c>
      <c r="H398" s="5">
        <v>77.81</v>
      </c>
      <c r="I398" s="5">
        <v>69.040000000000006</v>
      </c>
      <c r="J398">
        <v>67</v>
      </c>
      <c r="K398" t="s">
        <v>15</v>
      </c>
      <c r="L398">
        <f t="shared" si="27"/>
        <v>5</v>
      </c>
      <c r="M398">
        <v>11</v>
      </c>
      <c r="N398">
        <f t="shared" si="24"/>
        <v>0</v>
      </c>
      <c r="O398" t="str">
        <f xml:space="preserve"> IF(AND(Table1[[#This Row],[Actual_Lead_Time]] &lt;= Table1[[#This Row],[Standard_Lead_Time]], OR(ISBLANK(J398), J398 = 0)), "OTIF", "Non-OTIF")</f>
        <v>Non-OTIF</v>
      </c>
      <c r="P398">
        <f>IF(Table1[[#This Row],[OTIF_Status]] = "OTIF", 1, 0)</f>
        <v>0</v>
      </c>
      <c r="Q398" s="5">
        <f t="shared" si="25"/>
        <v>30112.47</v>
      </c>
      <c r="R398" s="5">
        <f t="shared" si="26"/>
        <v>26718.480000000003</v>
      </c>
      <c r="S398" s="5">
        <f>Table1[[#This Row],[Total_Line_Spend]]-Table1[[#This Row],[Negotiated_Total]]</f>
        <v>3393.989999999998</v>
      </c>
      <c r="T398" t="str">
        <f xml:space="preserve"> IF(Table1[[#This Row],[Delay_Days]] &gt; 4, "High Risk", IF(Table1[[#This Row],[Delay_Days]] &gt; 0, "Medium Risk", "Low Risk"))</f>
        <v>Low Risk</v>
      </c>
    </row>
    <row r="399" spans="1:20" x14ac:dyDescent="0.25">
      <c r="A399" t="s">
        <v>424</v>
      </c>
      <c r="B399" t="s">
        <v>807</v>
      </c>
      <c r="C399" s="1">
        <v>44832</v>
      </c>
      <c r="D399" s="1">
        <v>44837</v>
      </c>
      <c r="E399" t="s">
        <v>39</v>
      </c>
      <c r="F399" t="s">
        <v>18</v>
      </c>
      <c r="G399">
        <v>1779</v>
      </c>
      <c r="H399" s="5">
        <v>97.86</v>
      </c>
      <c r="I399" s="5">
        <v>94.36</v>
      </c>
      <c r="J399">
        <v>176</v>
      </c>
      <c r="K399" t="s">
        <v>15</v>
      </c>
      <c r="L399">
        <f t="shared" si="27"/>
        <v>5</v>
      </c>
      <c r="M399">
        <v>11</v>
      </c>
      <c r="N399">
        <f t="shared" si="24"/>
        <v>0</v>
      </c>
      <c r="O399" t="str">
        <f xml:space="preserve"> IF(AND(Table1[[#This Row],[Actual_Lead_Time]] &lt;= Table1[[#This Row],[Standard_Lead_Time]], OR(ISBLANK(J399), J399 = 0)), "OTIF", "Non-OTIF")</f>
        <v>Non-OTIF</v>
      </c>
      <c r="P399">
        <f>IF(Table1[[#This Row],[OTIF_Status]] = "OTIF", 1, 0)</f>
        <v>0</v>
      </c>
      <c r="Q399" s="5">
        <f t="shared" si="25"/>
        <v>174092.94</v>
      </c>
      <c r="R399" s="5">
        <f t="shared" si="26"/>
        <v>167866.44</v>
      </c>
      <c r="S399" s="5">
        <f>Table1[[#This Row],[Total_Line_Spend]]-Table1[[#This Row],[Negotiated_Total]]</f>
        <v>6226.5</v>
      </c>
      <c r="T399" t="str">
        <f xml:space="preserve"> IF(Table1[[#This Row],[Delay_Days]] &gt; 4, "High Risk", IF(Table1[[#This Row],[Delay_Days]] &gt; 0, "Medium Risk", "Low Risk"))</f>
        <v>Low Risk</v>
      </c>
    </row>
    <row r="400" spans="1:20" x14ac:dyDescent="0.25">
      <c r="A400" t="s">
        <v>425</v>
      </c>
      <c r="B400" t="s">
        <v>806</v>
      </c>
      <c r="C400" s="1">
        <v>44680</v>
      </c>
      <c r="D400" s="1">
        <v>44686</v>
      </c>
      <c r="E400" t="s">
        <v>21</v>
      </c>
      <c r="F400" t="s">
        <v>35</v>
      </c>
      <c r="G400">
        <v>871</v>
      </c>
      <c r="H400" s="5">
        <v>94.7</v>
      </c>
      <c r="I400" s="5">
        <v>92.66</v>
      </c>
      <c r="J400">
        <v>46</v>
      </c>
      <c r="K400" t="s">
        <v>15</v>
      </c>
      <c r="L400">
        <f t="shared" si="27"/>
        <v>6</v>
      </c>
      <c r="M400">
        <v>11</v>
      </c>
      <c r="N400">
        <f t="shared" si="24"/>
        <v>0</v>
      </c>
      <c r="O400" t="str">
        <f xml:space="preserve"> IF(AND(Table1[[#This Row],[Actual_Lead_Time]] &lt;= Table1[[#This Row],[Standard_Lead_Time]], OR(ISBLANK(J400), J400 = 0)), "OTIF", "Non-OTIF")</f>
        <v>Non-OTIF</v>
      </c>
      <c r="P400">
        <f>IF(Table1[[#This Row],[OTIF_Status]] = "OTIF", 1, 0)</f>
        <v>0</v>
      </c>
      <c r="Q400" s="5">
        <f t="shared" si="25"/>
        <v>82483.7</v>
      </c>
      <c r="R400" s="5">
        <f t="shared" si="26"/>
        <v>80706.86</v>
      </c>
      <c r="S400" s="5">
        <f>Table1[[#This Row],[Total_Line_Spend]]-Table1[[#This Row],[Negotiated_Total]]</f>
        <v>1776.8399999999965</v>
      </c>
      <c r="T400" t="str">
        <f xml:space="preserve"> IF(Table1[[#This Row],[Delay_Days]] &gt; 4, "High Risk", IF(Table1[[#This Row],[Delay_Days]] &gt; 0, "Medium Risk", "Low Risk"))</f>
        <v>Low Risk</v>
      </c>
    </row>
    <row r="401" spans="1:20" x14ac:dyDescent="0.25">
      <c r="A401" t="s">
        <v>426</v>
      </c>
      <c r="B401" t="s">
        <v>808</v>
      </c>
      <c r="C401" s="1">
        <v>44671</v>
      </c>
      <c r="D401" s="1">
        <v>44674</v>
      </c>
      <c r="E401" t="s">
        <v>39</v>
      </c>
      <c r="F401" t="s">
        <v>18</v>
      </c>
      <c r="G401">
        <v>1236</v>
      </c>
      <c r="H401" s="5">
        <v>51.33</v>
      </c>
      <c r="I401" s="5">
        <v>44.03</v>
      </c>
      <c r="J401">
        <v>25</v>
      </c>
      <c r="K401" t="s">
        <v>15</v>
      </c>
      <c r="L401">
        <f t="shared" si="27"/>
        <v>3</v>
      </c>
      <c r="M401">
        <v>11</v>
      </c>
      <c r="N401">
        <f t="shared" si="24"/>
        <v>0</v>
      </c>
      <c r="O401" t="str">
        <f xml:space="preserve"> IF(AND(Table1[[#This Row],[Actual_Lead_Time]] &lt;= Table1[[#This Row],[Standard_Lead_Time]], OR(ISBLANK(J401), J401 = 0)), "OTIF", "Non-OTIF")</f>
        <v>Non-OTIF</v>
      </c>
      <c r="P401">
        <f>IF(Table1[[#This Row],[OTIF_Status]] = "OTIF", 1, 0)</f>
        <v>0</v>
      </c>
      <c r="Q401" s="5">
        <f t="shared" si="25"/>
        <v>63443.88</v>
      </c>
      <c r="R401" s="5">
        <f t="shared" si="26"/>
        <v>54421.08</v>
      </c>
      <c r="S401" s="5">
        <f>Table1[[#This Row],[Total_Line_Spend]]-Table1[[#This Row],[Negotiated_Total]]</f>
        <v>9022.7999999999956</v>
      </c>
      <c r="T401" t="str">
        <f xml:space="preserve"> IF(Table1[[#This Row],[Delay_Days]] &gt; 4, "High Risk", IF(Table1[[#This Row],[Delay_Days]] &gt; 0, "Medium Risk", "Low Risk"))</f>
        <v>Low Risk</v>
      </c>
    </row>
    <row r="402" spans="1:20" x14ac:dyDescent="0.25">
      <c r="A402" t="s">
        <v>427</v>
      </c>
      <c r="B402" t="s">
        <v>805</v>
      </c>
      <c r="C402" s="1">
        <v>45128</v>
      </c>
      <c r="D402" s="1">
        <v>45144</v>
      </c>
      <c r="E402" t="s">
        <v>39</v>
      </c>
      <c r="F402" t="s">
        <v>18</v>
      </c>
      <c r="G402">
        <v>1793</v>
      </c>
      <c r="H402" s="5">
        <v>22.01</v>
      </c>
      <c r="I402" s="5">
        <v>21.78</v>
      </c>
      <c r="J402">
        <v>285</v>
      </c>
      <c r="K402" t="s">
        <v>15</v>
      </c>
      <c r="L402">
        <f t="shared" si="27"/>
        <v>16</v>
      </c>
      <c r="M402">
        <v>11</v>
      </c>
      <c r="N402">
        <f t="shared" si="24"/>
        <v>5</v>
      </c>
      <c r="O402" t="str">
        <f xml:space="preserve"> IF(AND(Table1[[#This Row],[Actual_Lead_Time]] &lt;= Table1[[#This Row],[Standard_Lead_Time]], OR(ISBLANK(J402), J402 = 0)), "OTIF", "Non-OTIF")</f>
        <v>Non-OTIF</v>
      </c>
      <c r="P402">
        <f>IF(Table1[[#This Row],[OTIF_Status]] = "OTIF", 1, 0)</f>
        <v>0</v>
      </c>
      <c r="Q402" s="5">
        <f t="shared" si="25"/>
        <v>39463.93</v>
      </c>
      <c r="R402" s="5">
        <f t="shared" si="26"/>
        <v>39051.54</v>
      </c>
      <c r="S402" s="5">
        <f>Table1[[#This Row],[Total_Line_Spend]]-Table1[[#This Row],[Negotiated_Total]]</f>
        <v>412.38999999999942</v>
      </c>
      <c r="T402" t="str">
        <f xml:space="preserve"> IF(Table1[[#This Row],[Delay_Days]] &gt; 4, "High Risk", IF(Table1[[#This Row],[Delay_Days]] &gt; 0, "Medium Risk", "Low Risk"))</f>
        <v>High Risk</v>
      </c>
    </row>
    <row r="403" spans="1:20" x14ac:dyDescent="0.25">
      <c r="A403" t="s">
        <v>428</v>
      </c>
      <c r="B403" t="s">
        <v>805</v>
      </c>
      <c r="C403" s="1">
        <v>44721</v>
      </c>
      <c r="D403" s="1">
        <v>44740</v>
      </c>
      <c r="E403" t="s">
        <v>21</v>
      </c>
      <c r="F403" t="s">
        <v>18</v>
      </c>
      <c r="G403">
        <v>1006</v>
      </c>
      <c r="H403" s="5">
        <v>101.1</v>
      </c>
      <c r="I403" s="5">
        <v>89.04</v>
      </c>
      <c r="J403">
        <v>139</v>
      </c>
      <c r="K403" t="s">
        <v>15</v>
      </c>
      <c r="L403">
        <f t="shared" si="27"/>
        <v>19</v>
      </c>
      <c r="M403">
        <v>11</v>
      </c>
      <c r="N403">
        <f t="shared" si="24"/>
        <v>8</v>
      </c>
      <c r="O403" t="str">
        <f xml:space="preserve"> IF(AND(Table1[[#This Row],[Actual_Lead_Time]] &lt;= Table1[[#This Row],[Standard_Lead_Time]], OR(ISBLANK(J403), J403 = 0)), "OTIF", "Non-OTIF")</f>
        <v>Non-OTIF</v>
      </c>
      <c r="P403">
        <f>IF(Table1[[#This Row],[OTIF_Status]] = "OTIF", 1, 0)</f>
        <v>0</v>
      </c>
      <c r="Q403" s="5">
        <f t="shared" si="25"/>
        <v>101706.59999999999</v>
      </c>
      <c r="R403" s="5">
        <f t="shared" si="26"/>
        <v>89574.24</v>
      </c>
      <c r="S403" s="5">
        <f>Table1[[#This Row],[Total_Line_Spend]]-Table1[[#This Row],[Negotiated_Total]]</f>
        <v>12132.359999999986</v>
      </c>
      <c r="T403" t="str">
        <f xml:space="preserve"> IF(Table1[[#This Row],[Delay_Days]] &gt; 4, "High Risk", IF(Table1[[#This Row],[Delay_Days]] &gt; 0, "Medium Risk", "Low Risk"))</f>
        <v>High Risk</v>
      </c>
    </row>
    <row r="404" spans="1:20" x14ac:dyDescent="0.25">
      <c r="A404" t="s">
        <v>429</v>
      </c>
      <c r="B404" t="s">
        <v>807</v>
      </c>
      <c r="C404" s="1">
        <v>44840</v>
      </c>
      <c r="D404" s="1">
        <v>44855</v>
      </c>
      <c r="E404" t="s">
        <v>39</v>
      </c>
      <c r="F404" t="s">
        <v>14</v>
      </c>
      <c r="G404">
        <v>1754</v>
      </c>
      <c r="H404" s="5">
        <v>89.35</v>
      </c>
      <c r="I404" s="5">
        <v>86.54</v>
      </c>
      <c r="J404">
        <v>161</v>
      </c>
      <c r="K404" t="s">
        <v>27</v>
      </c>
      <c r="L404">
        <f t="shared" si="27"/>
        <v>15</v>
      </c>
      <c r="M404">
        <v>11</v>
      </c>
      <c r="N404">
        <f t="shared" si="24"/>
        <v>4</v>
      </c>
      <c r="O404" t="str">
        <f xml:space="preserve"> IF(AND(Table1[[#This Row],[Actual_Lead_Time]] &lt;= Table1[[#This Row],[Standard_Lead_Time]], OR(ISBLANK(J404), J404 = 0)), "OTIF", "Non-OTIF")</f>
        <v>Non-OTIF</v>
      </c>
      <c r="P404">
        <f>IF(Table1[[#This Row],[OTIF_Status]] = "OTIF", 1, 0)</f>
        <v>0</v>
      </c>
      <c r="Q404" s="5">
        <f t="shared" si="25"/>
        <v>156719.9</v>
      </c>
      <c r="R404" s="5">
        <f t="shared" si="26"/>
        <v>151791.16</v>
      </c>
      <c r="S404" s="5">
        <f>Table1[[#This Row],[Total_Line_Spend]]-Table1[[#This Row],[Negotiated_Total]]</f>
        <v>4928.7399999999907</v>
      </c>
      <c r="T404" t="str">
        <f xml:space="preserve"> IF(Table1[[#This Row],[Delay_Days]] &gt; 4, "High Risk", IF(Table1[[#This Row],[Delay_Days]] &gt; 0, "Medium Risk", "Low Risk"))</f>
        <v>Medium Risk</v>
      </c>
    </row>
    <row r="405" spans="1:20" x14ac:dyDescent="0.25">
      <c r="A405" t="s">
        <v>430</v>
      </c>
      <c r="B405" t="s">
        <v>808</v>
      </c>
      <c r="C405" s="1">
        <v>44850</v>
      </c>
      <c r="D405" s="1">
        <v>44869</v>
      </c>
      <c r="E405" t="s">
        <v>39</v>
      </c>
      <c r="F405" t="s">
        <v>18</v>
      </c>
      <c r="G405">
        <v>210</v>
      </c>
      <c r="H405" s="5">
        <v>22.17</v>
      </c>
      <c r="I405" s="5">
        <v>21.32</v>
      </c>
      <c r="J405">
        <v>10</v>
      </c>
      <c r="K405" t="s">
        <v>15</v>
      </c>
      <c r="L405">
        <f t="shared" si="27"/>
        <v>19</v>
      </c>
      <c r="M405">
        <v>11</v>
      </c>
      <c r="N405">
        <f t="shared" si="24"/>
        <v>8</v>
      </c>
      <c r="O405" t="str">
        <f xml:space="preserve"> IF(AND(Table1[[#This Row],[Actual_Lead_Time]] &lt;= Table1[[#This Row],[Standard_Lead_Time]], OR(ISBLANK(J405), J405 = 0)), "OTIF", "Non-OTIF")</f>
        <v>Non-OTIF</v>
      </c>
      <c r="P405">
        <f>IF(Table1[[#This Row],[OTIF_Status]] = "OTIF", 1, 0)</f>
        <v>0</v>
      </c>
      <c r="Q405" s="5">
        <f t="shared" si="25"/>
        <v>4655.7000000000007</v>
      </c>
      <c r="R405" s="5">
        <f t="shared" si="26"/>
        <v>4477.2</v>
      </c>
      <c r="S405" s="5">
        <f>Table1[[#This Row],[Total_Line_Spend]]-Table1[[#This Row],[Negotiated_Total]]</f>
        <v>178.50000000000091</v>
      </c>
      <c r="T405" t="str">
        <f xml:space="preserve"> IF(Table1[[#This Row],[Delay_Days]] &gt; 4, "High Risk", IF(Table1[[#This Row],[Delay_Days]] &gt; 0, "Medium Risk", "Low Risk"))</f>
        <v>High Risk</v>
      </c>
    </row>
    <row r="406" spans="1:20" x14ac:dyDescent="0.25">
      <c r="A406" t="s">
        <v>431</v>
      </c>
      <c r="B406" t="s">
        <v>805</v>
      </c>
      <c r="C406" s="1">
        <v>45181</v>
      </c>
      <c r="D406" s="1">
        <v>45201</v>
      </c>
      <c r="E406" t="s">
        <v>21</v>
      </c>
      <c r="F406" t="s">
        <v>18</v>
      </c>
      <c r="G406">
        <v>1653</v>
      </c>
      <c r="H406" s="5">
        <v>102.16</v>
      </c>
      <c r="I406" s="5">
        <v>91.91</v>
      </c>
      <c r="J406">
        <v>217</v>
      </c>
      <c r="K406" t="s">
        <v>15</v>
      </c>
      <c r="L406">
        <f t="shared" si="27"/>
        <v>20</v>
      </c>
      <c r="M406">
        <v>11</v>
      </c>
      <c r="N406">
        <f t="shared" si="24"/>
        <v>9</v>
      </c>
      <c r="O406" t="str">
        <f xml:space="preserve"> IF(AND(Table1[[#This Row],[Actual_Lead_Time]] &lt;= Table1[[#This Row],[Standard_Lead_Time]], OR(ISBLANK(J406), J406 = 0)), "OTIF", "Non-OTIF")</f>
        <v>Non-OTIF</v>
      </c>
      <c r="P406">
        <f>IF(Table1[[#This Row],[OTIF_Status]] = "OTIF", 1, 0)</f>
        <v>0</v>
      </c>
      <c r="Q406" s="5">
        <f t="shared" si="25"/>
        <v>168870.47999999998</v>
      </c>
      <c r="R406" s="5">
        <f t="shared" si="26"/>
        <v>151927.22999999998</v>
      </c>
      <c r="S406" s="5">
        <f>Table1[[#This Row],[Total_Line_Spend]]-Table1[[#This Row],[Negotiated_Total]]</f>
        <v>16943.25</v>
      </c>
      <c r="T406" t="str">
        <f xml:space="preserve"> IF(Table1[[#This Row],[Delay_Days]] &gt; 4, "High Risk", IF(Table1[[#This Row],[Delay_Days]] &gt; 0, "Medium Risk", "Low Risk"))</f>
        <v>High Risk</v>
      </c>
    </row>
    <row r="407" spans="1:20" x14ac:dyDescent="0.25">
      <c r="A407" t="s">
        <v>432</v>
      </c>
      <c r="B407" t="s">
        <v>804</v>
      </c>
      <c r="C407" s="1">
        <v>44777</v>
      </c>
      <c r="D407" s="1">
        <v>44788</v>
      </c>
      <c r="E407" t="s">
        <v>21</v>
      </c>
      <c r="F407" t="s">
        <v>33</v>
      </c>
      <c r="G407">
        <v>850</v>
      </c>
      <c r="H407" s="5">
        <v>91.38</v>
      </c>
      <c r="I407" s="5">
        <v>88.41</v>
      </c>
      <c r="J407">
        <v>24</v>
      </c>
      <c r="K407" t="s">
        <v>15</v>
      </c>
      <c r="L407">
        <f t="shared" si="27"/>
        <v>11</v>
      </c>
      <c r="M407">
        <v>11</v>
      </c>
      <c r="N407">
        <f t="shared" si="24"/>
        <v>0</v>
      </c>
      <c r="O407" t="str">
        <f xml:space="preserve"> IF(AND(Table1[[#This Row],[Actual_Lead_Time]] &lt;= Table1[[#This Row],[Standard_Lead_Time]], OR(ISBLANK(J407), J407 = 0)), "OTIF", "Non-OTIF")</f>
        <v>Non-OTIF</v>
      </c>
      <c r="P407">
        <f>IF(Table1[[#This Row],[OTIF_Status]] = "OTIF", 1, 0)</f>
        <v>0</v>
      </c>
      <c r="Q407" s="5">
        <f t="shared" si="25"/>
        <v>77673</v>
      </c>
      <c r="R407" s="5">
        <f t="shared" si="26"/>
        <v>75148.5</v>
      </c>
      <c r="S407" s="5">
        <f>Table1[[#This Row],[Total_Line_Spend]]-Table1[[#This Row],[Negotiated_Total]]</f>
        <v>2524.5</v>
      </c>
      <c r="T407" t="str">
        <f xml:space="preserve"> IF(Table1[[#This Row],[Delay_Days]] &gt; 4, "High Risk", IF(Table1[[#This Row],[Delay_Days]] &gt; 0, "Medium Risk", "Low Risk"))</f>
        <v>Low Risk</v>
      </c>
    </row>
    <row r="408" spans="1:20" x14ac:dyDescent="0.25">
      <c r="A408" t="s">
        <v>433</v>
      </c>
      <c r="B408" t="s">
        <v>808</v>
      </c>
      <c r="C408" s="1">
        <v>44913</v>
      </c>
      <c r="D408" s="1">
        <v>44916</v>
      </c>
      <c r="E408" t="s">
        <v>26</v>
      </c>
      <c r="F408" t="s">
        <v>18</v>
      </c>
      <c r="G408">
        <v>447</v>
      </c>
      <c r="H408" s="5">
        <v>59.81</v>
      </c>
      <c r="I408" s="5">
        <v>57.92</v>
      </c>
      <c r="J408">
        <v>13</v>
      </c>
      <c r="K408" t="s">
        <v>15</v>
      </c>
      <c r="L408">
        <f t="shared" si="27"/>
        <v>3</v>
      </c>
      <c r="M408">
        <v>11</v>
      </c>
      <c r="N408">
        <f t="shared" si="24"/>
        <v>0</v>
      </c>
      <c r="O408" t="str">
        <f xml:space="preserve"> IF(AND(Table1[[#This Row],[Actual_Lead_Time]] &lt;= Table1[[#This Row],[Standard_Lead_Time]], OR(ISBLANK(J408), J408 = 0)), "OTIF", "Non-OTIF")</f>
        <v>Non-OTIF</v>
      </c>
      <c r="P408">
        <f>IF(Table1[[#This Row],[OTIF_Status]] = "OTIF", 1, 0)</f>
        <v>0</v>
      </c>
      <c r="Q408" s="5">
        <f t="shared" si="25"/>
        <v>26735.07</v>
      </c>
      <c r="R408" s="5">
        <f t="shared" si="26"/>
        <v>25890.240000000002</v>
      </c>
      <c r="S408" s="5">
        <f>Table1[[#This Row],[Total_Line_Spend]]-Table1[[#This Row],[Negotiated_Total]]</f>
        <v>844.82999999999811</v>
      </c>
      <c r="T408" t="str">
        <f xml:space="preserve"> IF(Table1[[#This Row],[Delay_Days]] &gt; 4, "High Risk", IF(Table1[[#This Row],[Delay_Days]] &gt; 0, "Medium Risk", "Low Risk"))</f>
        <v>Low Risk</v>
      </c>
    </row>
    <row r="409" spans="1:20" x14ac:dyDescent="0.25">
      <c r="A409" t="s">
        <v>434</v>
      </c>
      <c r="B409" t="s">
        <v>806</v>
      </c>
      <c r="C409" s="1">
        <v>44770</v>
      </c>
      <c r="D409" s="1">
        <v>44780</v>
      </c>
      <c r="E409" t="s">
        <v>13</v>
      </c>
      <c r="F409" t="s">
        <v>18</v>
      </c>
      <c r="G409">
        <v>1350</v>
      </c>
      <c r="H409" s="5">
        <v>65.11</v>
      </c>
      <c r="I409" s="5">
        <v>56.95</v>
      </c>
      <c r="J409">
        <v>71</v>
      </c>
      <c r="K409" t="s">
        <v>15</v>
      </c>
      <c r="L409">
        <f t="shared" si="27"/>
        <v>10</v>
      </c>
      <c r="M409">
        <v>11</v>
      </c>
      <c r="N409">
        <f t="shared" si="24"/>
        <v>0</v>
      </c>
      <c r="O409" t="str">
        <f xml:space="preserve"> IF(AND(Table1[[#This Row],[Actual_Lead_Time]] &lt;= Table1[[#This Row],[Standard_Lead_Time]], OR(ISBLANK(J409), J409 = 0)), "OTIF", "Non-OTIF")</f>
        <v>Non-OTIF</v>
      </c>
      <c r="P409">
        <f>IF(Table1[[#This Row],[OTIF_Status]] = "OTIF", 1, 0)</f>
        <v>0</v>
      </c>
      <c r="Q409" s="5">
        <f t="shared" si="25"/>
        <v>87898.5</v>
      </c>
      <c r="R409" s="5">
        <f t="shared" si="26"/>
        <v>76882.5</v>
      </c>
      <c r="S409" s="5">
        <f>Table1[[#This Row],[Total_Line_Spend]]-Table1[[#This Row],[Negotiated_Total]]</f>
        <v>11016</v>
      </c>
      <c r="T409" t="str">
        <f xml:space="preserve"> IF(Table1[[#This Row],[Delay_Days]] &gt; 4, "High Risk", IF(Table1[[#This Row],[Delay_Days]] &gt; 0, "Medium Risk", "Low Risk"))</f>
        <v>Low Risk</v>
      </c>
    </row>
    <row r="410" spans="1:20" x14ac:dyDescent="0.25">
      <c r="A410" t="s">
        <v>435</v>
      </c>
      <c r="B410" t="s">
        <v>807</v>
      </c>
      <c r="C410" s="1">
        <v>45265</v>
      </c>
      <c r="D410" s="1">
        <v>45284</v>
      </c>
      <c r="E410" t="s">
        <v>13</v>
      </c>
      <c r="F410" t="s">
        <v>18</v>
      </c>
      <c r="G410">
        <v>865</v>
      </c>
      <c r="H410" s="5">
        <v>51.19</v>
      </c>
      <c r="I410" s="5">
        <v>47.76</v>
      </c>
      <c r="J410">
        <v>83</v>
      </c>
      <c r="K410" t="s">
        <v>15</v>
      </c>
      <c r="L410">
        <f t="shared" si="27"/>
        <v>19</v>
      </c>
      <c r="M410">
        <v>11</v>
      </c>
      <c r="N410">
        <f t="shared" si="24"/>
        <v>8</v>
      </c>
      <c r="O410" t="str">
        <f xml:space="preserve"> IF(AND(Table1[[#This Row],[Actual_Lead_Time]] &lt;= Table1[[#This Row],[Standard_Lead_Time]], OR(ISBLANK(J410), J410 = 0)), "OTIF", "Non-OTIF")</f>
        <v>Non-OTIF</v>
      </c>
      <c r="P410">
        <f>IF(Table1[[#This Row],[OTIF_Status]] = "OTIF", 1, 0)</f>
        <v>0</v>
      </c>
      <c r="Q410" s="5">
        <f t="shared" si="25"/>
        <v>44279.35</v>
      </c>
      <c r="R410" s="5">
        <f t="shared" si="26"/>
        <v>41312.400000000001</v>
      </c>
      <c r="S410" s="5">
        <f>Table1[[#This Row],[Total_Line_Spend]]-Table1[[#This Row],[Negotiated_Total]]</f>
        <v>2966.9499999999971</v>
      </c>
      <c r="T410" t="str">
        <f xml:space="preserve"> IF(Table1[[#This Row],[Delay_Days]] &gt; 4, "High Risk", IF(Table1[[#This Row],[Delay_Days]] &gt; 0, "Medium Risk", "Low Risk"))</f>
        <v>High Risk</v>
      </c>
    </row>
    <row r="411" spans="1:20" x14ac:dyDescent="0.25">
      <c r="A411" t="s">
        <v>436</v>
      </c>
      <c r="B411" t="s">
        <v>804</v>
      </c>
      <c r="C411" s="1">
        <v>45211</v>
      </c>
      <c r="D411" s="1">
        <v>45228</v>
      </c>
      <c r="E411" t="s">
        <v>21</v>
      </c>
      <c r="F411" t="s">
        <v>18</v>
      </c>
      <c r="G411">
        <v>1989</v>
      </c>
      <c r="H411" s="5">
        <v>16.5</v>
      </c>
      <c r="I411" s="5">
        <v>15.89</v>
      </c>
      <c r="J411">
        <v>57</v>
      </c>
      <c r="K411" t="s">
        <v>15</v>
      </c>
      <c r="L411">
        <f t="shared" si="27"/>
        <v>17</v>
      </c>
      <c r="M411">
        <v>11</v>
      </c>
      <c r="N411">
        <f t="shared" si="24"/>
        <v>6</v>
      </c>
      <c r="O411" t="str">
        <f xml:space="preserve"> IF(AND(Table1[[#This Row],[Actual_Lead_Time]] &lt;= Table1[[#This Row],[Standard_Lead_Time]], OR(ISBLANK(J411), J411 = 0)), "OTIF", "Non-OTIF")</f>
        <v>Non-OTIF</v>
      </c>
      <c r="P411">
        <f>IF(Table1[[#This Row],[OTIF_Status]] = "OTIF", 1, 0)</f>
        <v>0</v>
      </c>
      <c r="Q411" s="5">
        <f t="shared" si="25"/>
        <v>32818.5</v>
      </c>
      <c r="R411" s="5">
        <f t="shared" si="26"/>
        <v>31605.210000000003</v>
      </c>
      <c r="S411" s="5">
        <f>Table1[[#This Row],[Total_Line_Spend]]-Table1[[#This Row],[Negotiated_Total]]</f>
        <v>1213.2899999999972</v>
      </c>
      <c r="T411" t="str">
        <f xml:space="preserve"> IF(Table1[[#This Row],[Delay_Days]] &gt; 4, "High Risk", IF(Table1[[#This Row],[Delay_Days]] &gt; 0, "Medium Risk", "Low Risk"))</f>
        <v>High Risk</v>
      </c>
    </row>
    <row r="412" spans="1:20" x14ac:dyDescent="0.25">
      <c r="A412" t="s">
        <v>437</v>
      </c>
      <c r="B412" t="s">
        <v>804</v>
      </c>
      <c r="C412" s="1">
        <v>44832</v>
      </c>
      <c r="D412" s="1">
        <v>44847</v>
      </c>
      <c r="E412" t="s">
        <v>13</v>
      </c>
      <c r="F412" t="s">
        <v>18</v>
      </c>
      <c r="G412">
        <v>1577</v>
      </c>
      <c r="H412" s="5">
        <v>41.77</v>
      </c>
      <c r="I412" s="5">
        <v>39.58</v>
      </c>
      <c r="J412">
        <v>32</v>
      </c>
      <c r="K412" t="s">
        <v>15</v>
      </c>
      <c r="L412">
        <f t="shared" si="27"/>
        <v>15</v>
      </c>
      <c r="M412">
        <v>11</v>
      </c>
      <c r="N412">
        <f t="shared" si="24"/>
        <v>4</v>
      </c>
      <c r="O412" t="str">
        <f xml:space="preserve"> IF(AND(Table1[[#This Row],[Actual_Lead_Time]] &lt;= Table1[[#This Row],[Standard_Lead_Time]], OR(ISBLANK(J412), J412 = 0)), "OTIF", "Non-OTIF")</f>
        <v>Non-OTIF</v>
      </c>
      <c r="P412">
        <f>IF(Table1[[#This Row],[OTIF_Status]] = "OTIF", 1, 0)</f>
        <v>0</v>
      </c>
      <c r="Q412" s="5">
        <f t="shared" si="25"/>
        <v>65871.290000000008</v>
      </c>
      <c r="R412" s="5">
        <f t="shared" si="26"/>
        <v>62417.659999999996</v>
      </c>
      <c r="S412" s="5">
        <f>Table1[[#This Row],[Total_Line_Spend]]-Table1[[#This Row],[Negotiated_Total]]</f>
        <v>3453.6300000000119</v>
      </c>
      <c r="T412" t="str">
        <f xml:space="preserve"> IF(Table1[[#This Row],[Delay_Days]] &gt; 4, "High Risk", IF(Table1[[#This Row],[Delay_Days]] &gt; 0, "Medium Risk", "Low Risk"))</f>
        <v>Medium Risk</v>
      </c>
    </row>
    <row r="413" spans="1:20" x14ac:dyDescent="0.25">
      <c r="A413" t="s">
        <v>438</v>
      </c>
      <c r="B413" t="s">
        <v>806</v>
      </c>
      <c r="C413" s="1">
        <v>45079</v>
      </c>
      <c r="D413" s="1">
        <v>45081</v>
      </c>
      <c r="E413" t="s">
        <v>24</v>
      </c>
      <c r="F413" t="s">
        <v>35</v>
      </c>
      <c r="G413">
        <v>1969</v>
      </c>
      <c r="H413" s="5">
        <v>89.25</v>
      </c>
      <c r="I413" s="5">
        <v>87.28</v>
      </c>
      <c r="J413">
        <v>108</v>
      </c>
      <c r="K413" t="s">
        <v>27</v>
      </c>
      <c r="L413">
        <f t="shared" si="27"/>
        <v>2</v>
      </c>
      <c r="M413">
        <v>11</v>
      </c>
      <c r="N413">
        <f t="shared" si="24"/>
        <v>0</v>
      </c>
      <c r="O413" t="str">
        <f xml:space="preserve"> IF(AND(Table1[[#This Row],[Actual_Lead_Time]] &lt;= Table1[[#This Row],[Standard_Lead_Time]], OR(ISBLANK(J413), J413 = 0)), "OTIF", "Non-OTIF")</f>
        <v>Non-OTIF</v>
      </c>
      <c r="P413">
        <f>IF(Table1[[#This Row],[OTIF_Status]] = "OTIF", 1, 0)</f>
        <v>0</v>
      </c>
      <c r="Q413" s="5">
        <f t="shared" si="25"/>
        <v>175733.25</v>
      </c>
      <c r="R413" s="5">
        <f t="shared" si="26"/>
        <v>171854.32</v>
      </c>
      <c r="S413" s="5">
        <f>Table1[[#This Row],[Total_Line_Spend]]-Table1[[#This Row],[Negotiated_Total]]</f>
        <v>3878.929999999993</v>
      </c>
      <c r="T413" t="str">
        <f xml:space="preserve"> IF(Table1[[#This Row],[Delay_Days]] &gt; 4, "High Risk", IF(Table1[[#This Row],[Delay_Days]] &gt; 0, "Medium Risk", "Low Risk"))</f>
        <v>Low Risk</v>
      </c>
    </row>
    <row r="414" spans="1:20" x14ac:dyDescent="0.25">
      <c r="A414" t="s">
        <v>439</v>
      </c>
      <c r="B414" t="s">
        <v>807</v>
      </c>
      <c r="C414" s="1">
        <v>45062</v>
      </c>
      <c r="D414" s="1">
        <v>45072</v>
      </c>
      <c r="E414" t="s">
        <v>24</v>
      </c>
      <c r="F414" t="s">
        <v>33</v>
      </c>
      <c r="G414">
        <v>1465</v>
      </c>
      <c r="H414" s="5">
        <v>11.25</v>
      </c>
      <c r="I414" s="5">
        <v>9.61</v>
      </c>
      <c r="J414">
        <v>151</v>
      </c>
      <c r="K414" t="s">
        <v>15</v>
      </c>
      <c r="L414">
        <f t="shared" si="27"/>
        <v>10</v>
      </c>
      <c r="M414">
        <v>11</v>
      </c>
      <c r="N414">
        <f t="shared" si="24"/>
        <v>0</v>
      </c>
      <c r="O414" t="str">
        <f xml:space="preserve"> IF(AND(Table1[[#This Row],[Actual_Lead_Time]] &lt;= Table1[[#This Row],[Standard_Lead_Time]], OR(ISBLANK(J414), J414 = 0)), "OTIF", "Non-OTIF")</f>
        <v>Non-OTIF</v>
      </c>
      <c r="P414">
        <f>IF(Table1[[#This Row],[OTIF_Status]] = "OTIF", 1, 0)</f>
        <v>0</v>
      </c>
      <c r="Q414" s="5">
        <f t="shared" si="25"/>
        <v>16481.25</v>
      </c>
      <c r="R414" s="5">
        <f t="shared" si="26"/>
        <v>14078.65</v>
      </c>
      <c r="S414" s="5">
        <f>Table1[[#This Row],[Total_Line_Spend]]-Table1[[#This Row],[Negotiated_Total]]</f>
        <v>2402.6000000000004</v>
      </c>
      <c r="T414" t="str">
        <f xml:space="preserve"> IF(Table1[[#This Row],[Delay_Days]] &gt; 4, "High Risk", IF(Table1[[#This Row],[Delay_Days]] &gt; 0, "Medium Risk", "Low Risk"))</f>
        <v>Low Risk</v>
      </c>
    </row>
    <row r="415" spans="1:20" x14ac:dyDescent="0.25">
      <c r="A415" t="s">
        <v>440</v>
      </c>
      <c r="B415" t="s">
        <v>805</v>
      </c>
      <c r="C415" s="1">
        <v>44819</v>
      </c>
      <c r="D415" s="1">
        <v>44822</v>
      </c>
      <c r="E415" t="s">
        <v>24</v>
      </c>
      <c r="F415" t="s">
        <v>35</v>
      </c>
      <c r="G415">
        <v>1208</v>
      </c>
      <c r="H415" s="5">
        <v>41.62</v>
      </c>
      <c r="I415" s="5">
        <v>39.46</v>
      </c>
      <c r="K415" t="s">
        <v>15</v>
      </c>
      <c r="L415">
        <f t="shared" si="27"/>
        <v>3</v>
      </c>
      <c r="M415">
        <v>11</v>
      </c>
      <c r="N415">
        <f t="shared" si="24"/>
        <v>0</v>
      </c>
      <c r="O415" t="str">
        <f xml:space="preserve"> IF(AND(Table1[[#This Row],[Actual_Lead_Time]] &lt;= Table1[[#This Row],[Standard_Lead_Time]], OR(ISBLANK(J415), J415 = 0)), "OTIF", "Non-OTIF")</f>
        <v>OTIF</v>
      </c>
      <c r="P415">
        <f>IF(Table1[[#This Row],[OTIF_Status]] = "OTIF", 1, 0)</f>
        <v>1</v>
      </c>
      <c r="Q415" s="5">
        <f t="shared" si="25"/>
        <v>50276.959999999999</v>
      </c>
      <c r="R415" s="5">
        <f t="shared" si="26"/>
        <v>47667.68</v>
      </c>
      <c r="S415" s="5">
        <f>Table1[[#This Row],[Total_Line_Spend]]-Table1[[#This Row],[Negotiated_Total]]</f>
        <v>2609.2799999999988</v>
      </c>
      <c r="T415" t="str">
        <f xml:space="preserve"> IF(Table1[[#This Row],[Delay_Days]] &gt; 4, "High Risk", IF(Table1[[#This Row],[Delay_Days]] &gt; 0, "Medium Risk", "Low Risk"))</f>
        <v>Low Risk</v>
      </c>
    </row>
    <row r="416" spans="1:20" x14ac:dyDescent="0.25">
      <c r="A416" t="s">
        <v>441</v>
      </c>
      <c r="B416" t="s">
        <v>807</v>
      </c>
      <c r="C416" s="1">
        <v>44614</v>
      </c>
      <c r="D416" s="1">
        <v>44631</v>
      </c>
      <c r="E416" t="s">
        <v>26</v>
      </c>
      <c r="F416" t="s">
        <v>18</v>
      </c>
      <c r="G416">
        <v>1268</v>
      </c>
      <c r="H416" s="5">
        <v>46.06</v>
      </c>
      <c r="I416" s="5">
        <v>45.26</v>
      </c>
      <c r="J416">
        <v>123</v>
      </c>
      <c r="K416" t="s">
        <v>15</v>
      </c>
      <c r="L416">
        <f t="shared" si="27"/>
        <v>17</v>
      </c>
      <c r="M416">
        <v>11</v>
      </c>
      <c r="N416">
        <f t="shared" si="24"/>
        <v>6</v>
      </c>
      <c r="O416" t="str">
        <f xml:space="preserve"> IF(AND(Table1[[#This Row],[Actual_Lead_Time]] &lt;= Table1[[#This Row],[Standard_Lead_Time]], OR(ISBLANK(J416), J416 = 0)), "OTIF", "Non-OTIF")</f>
        <v>Non-OTIF</v>
      </c>
      <c r="P416">
        <f>IF(Table1[[#This Row],[OTIF_Status]] = "OTIF", 1, 0)</f>
        <v>0</v>
      </c>
      <c r="Q416" s="5">
        <f t="shared" si="25"/>
        <v>58404.08</v>
      </c>
      <c r="R416" s="5">
        <f t="shared" si="26"/>
        <v>57389.68</v>
      </c>
      <c r="S416" s="5">
        <f>Table1[[#This Row],[Total_Line_Spend]]-Table1[[#This Row],[Negotiated_Total]]</f>
        <v>1014.4000000000015</v>
      </c>
      <c r="T416" t="str">
        <f xml:space="preserve"> IF(Table1[[#This Row],[Delay_Days]] &gt; 4, "High Risk", IF(Table1[[#This Row],[Delay_Days]] &gt; 0, "Medium Risk", "Low Risk"))</f>
        <v>High Risk</v>
      </c>
    </row>
    <row r="417" spans="1:20" x14ac:dyDescent="0.25">
      <c r="A417" t="s">
        <v>442</v>
      </c>
      <c r="B417" t="s">
        <v>805</v>
      </c>
      <c r="C417" s="1">
        <v>44656</v>
      </c>
      <c r="D417" s="1">
        <v>44675</v>
      </c>
      <c r="E417" t="s">
        <v>13</v>
      </c>
      <c r="F417" t="s">
        <v>18</v>
      </c>
      <c r="G417">
        <v>450</v>
      </c>
      <c r="H417" s="5">
        <v>59.24</v>
      </c>
      <c r="I417" s="5">
        <v>55.03</v>
      </c>
      <c r="J417">
        <v>68</v>
      </c>
      <c r="K417" t="s">
        <v>27</v>
      </c>
      <c r="L417">
        <f t="shared" si="27"/>
        <v>19</v>
      </c>
      <c r="M417">
        <v>11</v>
      </c>
      <c r="N417">
        <f t="shared" si="24"/>
        <v>8</v>
      </c>
      <c r="O417" t="str">
        <f xml:space="preserve"> IF(AND(Table1[[#This Row],[Actual_Lead_Time]] &lt;= Table1[[#This Row],[Standard_Lead_Time]], OR(ISBLANK(J417), J417 = 0)), "OTIF", "Non-OTIF")</f>
        <v>Non-OTIF</v>
      </c>
      <c r="P417">
        <f>IF(Table1[[#This Row],[OTIF_Status]] = "OTIF", 1, 0)</f>
        <v>0</v>
      </c>
      <c r="Q417" s="5">
        <f t="shared" si="25"/>
        <v>26658</v>
      </c>
      <c r="R417" s="5">
        <f t="shared" si="26"/>
        <v>24763.5</v>
      </c>
      <c r="S417" s="5">
        <f>Table1[[#This Row],[Total_Line_Spend]]-Table1[[#This Row],[Negotiated_Total]]</f>
        <v>1894.5</v>
      </c>
      <c r="T417" t="str">
        <f xml:space="preserve"> IF(Table1[[#This Row],[Delay_Days]] &gt; 4, "High Risk", IF(Table1[[#This Row],[Delay_Days]] &gt; 0, "Medium Risk", "Low Risk"))</f>
        <v>High Risk</v>
      </c>
    </row>
    <row r="418" spans="1:20" x14ac:dyDescent="0.25">
      <c r="A418" t="s">
        <v>443</v>
      </c>
      <c r="B418" t="s">
        <v>806</v>
      </c>
      <c r="C418" s="1">
        <v>45211</v>
      </c>
      <c r="D418" s="1">
        <v>45213</v>
      </c>
      <c r="E418" t="s">
        <v>39</v>
      </c>
      <c r="F418" t="s">
        <v>33</v>
      </c>
      <c r="G418">
        <v>689</v>
      </c>
      <c r="H418" s="5">
        <v>102.53</v>
      </c>
      <c r="I418" s="5">
        <v>95.23</v>
      </c>
      <c r="J418">
        <v>38</v>
      </c>
      <c r="K418" t="s">
        <v>15</v>
      </c>
      <c r="L418">
        <f t="shared" si="27"/>
        <v>2</v>
      </c>
      <c r="M418">
        <v>11</v>
      </c>
      <c r="N418">
        <f t="shared" si="24"/>
        <v>0</v>
      </c>
      <c r="O418" t="str">
        <f xml:space="preserve"> IF(AND(Table1[[#This Row],[Actual_Lead_Time]] &lt;= Table1[[#This Row],[Standard_Lead_Time]], OR(ISBLANK(J418), J418 = 0)), "OTIF", "Non-OTIF")</f>
        <v>Non-OTIF</v>
      </c>
      <c r="P418">
        <f>IF(Table1[[#This Row],[OTIF_Status]] = "OTIF", 1, 0)</f>
        <v>0</v>
      </c>
      <c r="Q418" s="5">
        <f t="shared" si="25"/>
        <v>70643.17</v>
      </c>
      <c r="R418" s="5">
        <f t="shared" si="26"/>
        <v>65613.47</v>
      </c>
      <c r="S418" s="5">
        <f>Table1[[#This Row],[Total_Line_Spend]]-Table1[[#This Row],[Negotiated_Total]]</f>
        <v>5029.6999999999971</v>
      </c>
      <c r="T418" t="str">
        <f xml:space="preserve"> IF(Table1[[#This Row],[Delay_Days]] &gt; 4, "High Risk", IF(Table1[[#This Row],[Delay_Days]] &gt; 0, "Medium Risk", "Low Risk"))</f>
        <v>Low Risk</v>
      </c>
    </row>
    <row r="419" spans="1:20" x14ac:dyDescent="0.25">
      <c r="A419" t="s">
        <v>444</v>
      </c>
      <c r="B419" t="s">
        <v>806</v>
      </c>
      <c r="C419" s="1">
        <v>44995</v>
      </c>
      <c r="D419" s="1">
        <v>45014</v>
      </c>
      <c r="E419" t="s">
        <v>21</v>
      </c>
      <c r="F419" t="s">
        <v>18</v>
      </c>
      <c r="G419">
        <v>1106</v>
      </c>
      <c r="H419" s="5">
        <v>44.05</v>
      </c>
      <c r="I419" s="5">
        <v>38.6</v>
      </c>
      <c r="J419">
        <v>51</v>
      </c>
      <c r="K419" t="s">
        <v>15</v>
      </c>
      <c r="L419">
        <f t="shared" si="27"/>
        <v>19</v>
      </c>
      <c r="M419">
        <v>11</v>
      </c>
      <c r="N419">
        <f t="shared" si="24"/>
        <v>8</v>
      </c>
      <c r="O419" t="str">
        <f xml:space="preserve"> IF(AND(Table1[[#This Row],[Actual_Lead_Time]] &lt;= Table1[[#This Row],[Standard_Lead_Time]], OR(ISBLANK(J419), J419 = 0)), "OTIF", "Non-OTIF")</f>
        <v>Non-OTIF</v>
      </c>
      <c r="P419">
        <f>IF(Table1[[#This Row],[OTIF_Status]] = "OTIF", 1, 0)</f>
        <v>0</v>
      </c>
      <c r="Q419" s="5">
        <f t="shared" si="25"/>
        <v>48719.299999999996</v>
      </c>
      <c r="R419" s="5">
        <f t="shared" si="26"/>
        <v>42691.6</v>
      </c>
      <c r="S419" s="5">
        <f>Table1[[#This Row],[Total_Line_Spend]]-Table1[[#This Row],[Negotiated_Total]]</f>
        <v>6027.6999999999971</v>
      </c>
      <c r="T419" t="str">
        <f xml:space="preserve"> IF(Table1[[#This Row],[Delay_Days]] &gt; 4, "High Risk", IF(Table1[[#This Row],[Delay_Days]] &gt; 0, "Medium Risk", "Low Risk"))</f>
        <v>High Risk</v>
      </c>
    </row>
    <row r="420" spans="1:20" x14ac:dyDescent="0.25">
      <c r="A420" t="s">
        <v>445</v>
      </c>
      <c r="B420" t="s">
        <v>804</v>
      </c>
      <c r="C420" s="1">
        <v>44845</v>
      </c>
      <c r="D420" s="1">
        <v>44856</v>
      </c>
      <c r="E420" t="s">
        <v>13</v>
      </c>
      <c r="F420" t="s">
        <v>18</v>
      </c>
      <c r="G420">
        <v>737</v>
      </c>
      <c r="H420" s="5">
        <v>43.08</v>
      </c>
      <c r="I420" s="5">
        <v>42.58</v>
      </c>
      <c r="J420">
        <v>21</v>
      </c>
      <c r="K420" t="s">
        <v>15</v>
      </c>
      <c r="L420">
        <f t="shared" si="27"/>
        <v>11</v>
      </c>
      <c r="M420">
        <v>11</v>
      </c>
      <c r="N420">
        <f t="shared" si="24"/>
        <v>0</v>
      </c>
      <c r="O420" t="str">
        <f xml:space="preserve"> IF(AND(Table1[[#This Row],[Actual_Lead_Time]] &lt;= Table1[[#This Row],[Standard_Lead_Time]], OR(ISBLANK(J420), J420 = 0)), "OTIF", "Non-OTIF")</f>
        <v>Non-OTIF</v>
      </c>
      <c r="P420">
        <f>IF(Table1[[#This Row],[OTIF_Status]] = "OTIF", 1, 0)</f>
        <v>0</v>
      </c>
      <c r="Q420" s="5">
        <f t="shared" si="25"/>
        <v>31749.96</v>
      </c>
      <c r="R420" s="5">
        <f t="shared" si="26"/>
        <v>31381.46</v>
      </c>
      <c r="S420" s="5">
        <f>Table1[[#This Row],[Total_Line_Spend]]-Table1[[#This Row],[Negotiated_Total]]</f>
        <v>368.5</v>
      </c>
      <c r="T420" t="str">
        <f xml:space="preserve"> IF(Table1[[#This Row],[Delay_Days]] &gt; 4, "High Risk", IF(Table1[[#This Row],[Delay_Days]] &gt; 0, "Medium Risk", "Low Risk"))</f>
        <v>Low Risk</v>
      </c>
    </row>
    <row r="421" spans="1:20" x14ac:dyDescent="0.25">
      <c r="A421" t="s">
        <v>446</v>
      </c>
      <c r="B421" t="s">
        <v>804</v>
      </c>
      <c r="C421" s="1">
        <v>44607</v>
      </c>
      <c r="D421" s="1">
        <v>44624</v>
      </c>
      <c r="E421" t="s">
        <v>26</v>
      </c>
      <c r="F421" t="s">
        <v>18</v>
      </c>
      <c r="G421">
        <v>509</v>
      </c>
      <c r="H421" s="5">
        <v>76.760000000000005</v>
      </c>
      <c r="I421" s="5">
        <v>74.72</v>
      </c>
      <c r="J421">
        <v>7</v>
      </c>
      <c r="K421" t="s">
        <v>27</v>
      </c>
      <c r="L421">
        <f t="shared" si="27"/>
        <v>17</v>
      </c>
      <c r="M421">
        <v>11</v>
      </c>
      <c r="N421">
        <f t="shared" si="24"/>
        <v>6</v>
      </c>
      <c r="O421" t="str">
        <f xml:space="preserve"> IF(AND(Table1[[#This Row],[Actual_Lead_Time]] &lt;= Table1[[#This Row],[Standard_Lead_Time]], OR(ISBLANK(J421), J421 = 0)), "OTIF", "Non-OTIF")</f>
        <v>Non-OTIF</v>
      </c>
      <c r="P421">
        <f>IF(Table1[[#This Row],[OTIF_Status]] = "OTIF", 1, 0)</f>
        <v>0</v>
      </c>
      <c r="Q421" s="5">
        <f t="shared" si="25"/>
        <v>39070.840000000004</v>
      </c>
      <c r="R421" s="5">
        <f t="shared" si="26"/>
        <v>38032.479999999996</v>
      </c>
      <c r="S421" s="5">
        <f>Table1[[#This Row],[Total_Line_Spend]]-Table1[[#This Row],[Negotiated_Total]]</f>
        <v>1038.3600000000079</v>
      </c>
      <c r="T421" t="str">
        <f xml:space="preserve"> IF(Table1[[#This Row],[Delay_Days]] &gt; 4, "High Risk", IF(Table1[[#This Row],[Delay_Days]] &gt; 0, "Medium Risk", "Low Risk"))</f>
        <v>High Risk</v>
      </c>
    </row>
    <row r="422" spans="1:20" x14ac:dyDescent="0.25">
      <c r="A422" t="s">
        <v>447</v>
      </c>
      <c r="B422" t="s">
        <v>804</v>
      </c>
      <c r="C422" s="1">
        <v>44565</v>
      </c>
      <c r="D422" s="1">
        <v>44567</v>
      </c>
      <c r="E422" t="s">
        <v>39</v>
      </c>
      <c r="F422" t="s">
        <v>18</v>
      </c>
      <c r="G422">
        <v>1004</v>
      </c>
      <c r="H422" s="5">
        <v>50.7</v>
      </c>
      <c r="I422" s="5">
        <v>46.59</v>
      </c>
      <c r="J422">
        <v>27</v>
      </c>
      <c r="K422" t="s">
        <v>15</v>
      </c>
      <c r="L422">
        <f t="shared" si="27"/>
        <v>2</v>
      </c>
      <c r="M422">
        <v>11</v>
      </c>
      <c r="N422">
        <f t="shared" si="24"/>
        <v>0</v>
      </c>
      <c r="O422" t="str">
        <f xml:space="preserve"> IF(AND(Table1[[#This Row],[Actual_Lead_Time]] &lt;= Table1[[#This Row],[Standard_Lead_Time]], OR(ISBLANK(J422), J422 = 0)), "OTIF", "Non-OTIF")</f>
        <v>Non-OTIF</v>
      </c>
      <c r="P422">
        <f>IF(Table1[[#This Row],[OTIF_Status]] = "OTIF", 1, 0)</f>
        <v>0</v>
      </c>
      <c r="Q422" s="5">
        <f t="shared" si="25"/>
        <v>50902.8</v>
      </c>
      <c r="R422" s="5">
        <f t="shared" si="26"/>
        <v>46776.36</v>
      </c>
      <c r="S422" s="5">
        <f>Table1[[#This Row],[Total_Line_Spend]]-Table1[[#This Row],[Negotiated_Total]]</f>
        <v>4126.4400000000023</v>
      </c>
      <c r="T422" t="str">
        <f xml:space="preserve"> IF(Table1[[#This Row],[Delay_Days]] &gt; 4, "High Risk", IF(Table1[[#This Row],[Delay_Days]] &gt; 0, "Medium Risk", "Low Risk"))</f>
        <v>Low Risk</v>
      </c>
    </row>
    <row r="423" spans="1:20" x14ac:dyDescent="0.25">
      <c r="A423" t="s">
        <v>448</v>
      </c>
      <c r="B423" t="s">
        <v>806</v>
      </c>
      <c r="C423" s="1">
        <v>44903</v>
      </c>
      <c r="D423" s="1">
        <v>44914</v>
      </c>
      <c r="E423" t="s">
        <v>21</v>
      </c>
      <c r="F423" t="s">
        <v>35</v>
      </c>
      <c r="G423">
        <v>1956</v>
      </c>
      <c r="H423" s="5">
        <v>31.88</v>
      </c>
      <c r="I423" s="5">
        <v>28.48</v>
      </c>
      <c r="J423">
        <v>86</v>
      </c>
      <c r="K423" t="s">
        <v>15</v>
      </c>
      <c r="L423">
        <f t="shared" si="27"/>
        <v>11</v>
      </c>
      <c r="M423">
        <v>11</v>
      </c>
      <c r="N423">
        <f t="shared" si="24"/>
        <v>0</v>
      </c>
      <c r="O423" t="str">
        <f xml:space="preserve"> IF(AND(Table1[[#This Row],[Actual_Lead_Time]] &lt;= Table1[[#This Row],[Standard_Lead_Time]], OR(ISBLANK(J423), J423 = 0)), "OTIF", "Non-OTIF")</f>
        <v>Non-OTIF</v>
      </c>
      <c r="P423">
        <f>IF(Table1[[#This Row],[OTIF_Status]] = "OTIF", 1, 0)</f>
        <v>0</v>
      </c>
      <c r="Q423" s="5">
        <f t="shared" si="25"/>
        <v>62357.279999999999</v>
      </c>
      <c r="R423" s="5">
        <f t="shared" si="26"/>
        <v>55706.879999999997</v>
      </c>
      <c r="S423" s="5">
        <f>Table1[[#This Row],[Total_Line_Spend]]-Table1[[#This Row],[Negotiated_Total]]</f>
        <v>6650.4000000000015</v>
      </c>
      <c r="T423" t="str">
        <f xml:space="preserve"> IF(Table1[[#This Row],[Delay_Days]] &gt; 4, "High Risk", IF(Table1[[#This Row],[Delay_Days]] &gt; 0, "Medium Risk", "Low Risk"))</f>
        <v>Low Risk</v>
      </c>
    </row>
    <row r="424" spans="1:20" x14ac:dyDescent="0.25">
      <c r="A424" t="s">
        <v>449</v>
      </c>
      <c r="B424" t="s">
        <v>805</v>
      </c>
      <c r="C424" s="1">
        <v>44695</v>
      </c>
      <c r="D424" s="1">
        <v>44706</v>
      </c>
      <c r="E424" t="s">
        <v>39</v>
      </c>
      <c r="F424" t="s">
        <v>18</v>
      </c>
      <c r="G424">
        <v>519</v>
      </c>
      <c r="H424" s="5">
        <v>51.73</v>
      </c>
      <c r="I424" s="5">
        <v>47.52</v>
      </c>
      <c r="J424">
        <v>81</v>
      </c>
      <c r="K424" t="s">
        <v>27</v>
      </c>
      <c r="L424">
        <f t="shared" si="27"/>
        <v>11</v>
      </c>
      <c r="M424">
        <v>11</v>
      </c>
      <c r="N424">
        <f t="shared" si="24"/>
        <v>0</v>
      </c>
      <c r="O424" t="str">
        <f xml:space="preserve"> IF(AND(Table1[[#This Row],[Actual_Lead_Time]] &lt;= Table1[[#This Row],[Standard_Lead_Time]], OR(ISBLANK(J424), J424 = 0)), "OTIF", "Non-OTIF")</f>
        <v>Non-OTIF</v>
      </c>
      <c r="P424">
        <f>IF(Table1[[#This Row],[OTIF_Status]] = "OTIF", 1, 0)</f>
        <v>0</v>
      </c>
      <c r="Q424" s="5">
        <f t="shared" si="25"/>
        <v>26847.87</v>
      </c>
      <c r="R424" s="5">
        <f t="shared" si="26"/>
        <v>24662.880000000001</v>
      </c>
      <c r="S424" s="5">
        <f>Table1[[#This Row],[Total_Line_Spend]]-Table1[[#This Row],[Negotiated_Total]]</f>
        <v>2184.989999999998</v>
      </c>
      <c r="T424" t="str">
        <f xml:space="preserve"> IF(Table1[[#This Row],[Delay_Days]] &gt; 4, "High Risk", IF(Table1[[#This Row],[Delay_Days]] &gt; 0, "Medium Risk", "Low Risk"))</f>
        <v>Low Risk</v>
      </c>
    </row>
    <row r="425" spans="1:20" x14ac:dyDescent="0.25">
      <c r="A425" t="s">
        <v>450</v>
      </c>
      <c r="B425" t="s">
        <v>806</v>
      </c>
      <c r="C425" s="1">
        <v>45214</v>
      </c>
      <c r="D425" s="1">
        <v>45220</v>
      </c>
      <c r="E425" t="s">
        <v>21</v>
      </c>
      <c r="F425" t="s">
        <v>33</v>
      </c>
      <c r="G425">
        <v>1448</v>
      </c>
      <c r="H425" s="5">
        <v>25.06</v>
      </c>
      <c r="I425" s="5">
        <v>21.62</v>
      </c>
      <c r="J425">
        <v>84</v>
      </c>
      <c r="K425" t="s">
        <v>15</v>
      </c>
      <c r="L425">
        <f t="shared" si="27"/>
        <v>6</v>
      </c>
      <c r="M425">
        <v>11</v>
      </c>
      <c r="N425">
        <f t="shared" si="24"/>
        <v>0</v>
      </c>
      <c r="O425" t="str">
        <f xml:space="preserve"> IF(AND(Table1[[#This Row],[Actual_Lead_Time]] &lt;= Table1[[#This Row],[Standard_Lead_Time]], OR(ISBLANK(J425), J425 = 0)), "OTIF", "Non-OTIF")</f>
        <v>Non-OTIF</v>
      </c>
      <c r="P425">
        <f>IF(Table1[[#This Row],[OTIF_Status]] = "OTIF", 1, 0)</f>
        <v>0</v>
      </c>
      <c r="Q425" s="5">
        <f t="shared" si="25"/>
        <v>36286.879999999997</v>
      </c>
      <c r="R425" s="5">
        <f t="shared" si="26"/>
        <v>31305.760000000002</v>
      </c>
      <c r="S425" s="5">
        <f>Table1[[#This Row],[Total_Line_Spend]]-Table1[[#This Row],[Negotiated_Total]]</f>
        <v>4981.1199999999953</v>
      </c>
      <c r="T425" t="str">
        <f xml:space="preserve"> IF(Table1[[#This Row],[Delay_Days]] &gt; 4, "High Risk", IF(Table1[[#This Row],[Delay_Days]] &gt; 0, "Medium Risk", "Low Risk"))</f>
        <v>Low Risk</v>
      </c>
    </row>
    <row r="426" spans="1:20" x14ac:dyDescent="0.25">
      <c r="A426" t="s">
        <v>451</v>
      </c>
      <c r="B426" t="s">
        <v>806</v>
      </c>
      <c r="C426" s="1">
        <v>44830</v>
      </c>
      <c r="D426" s="1">
        <v>44845</v>
      </c>
      <c r="E426" t="s">
        <v>24</v>
      </c>
      <c r="F426" t="s">
        <v>18</v>
      </c>
      <c r="G426">
        <v>1095</v>
      </c>
      <c r="H426" s="5">
        <v>26.91</v>
      </c>
      <c r="I426" s="5">
        <v>23.75</v>
      </c>
      <c r="J426">
        <v>53</v>
      </c>
      <c r="K426" t="s">
        <v>15</v>
      </c>
      <c r="L426">
        <f t="shared" si="27"/>
        <v>15</v>
      </c>
      <c r="M426">
        <v>11</v>
      </c>
      <c r="N426">
        <f t="shared" si="24"/>
        <v>4</v>
      </c>
      <c r="O426" t="str">
        <f xml:space="preserve"> IF(AND(Table1[[#This Row],[Actual_Lead_Time]] &lt;= Table1[[#This Row],[Standard_Lead_Time]], OR(ISBLANK(J426), J426 = 0)), "OTIF", "Non-OTIF")</f>
        <v>Non-OTIF</v>
      </c>
      <c r="P426">
        <f>IF(Table1[[#This Row],[OTIF_Status]] = "OTIF", 1, 0)</f>
        <v>0</v>
      </c>
      <c r="Q426" s="5">
        <f t="shared" si="25"/>
        <v>29466.45</v>
      </c>
      <c r="R426" s="5">
        <f t="shared" si="26"/>
        <v>26006.25</v>
      </c>
      <c r="S426" s="5">
        <f>Table1[[#This Row],[Total_Line_Spend]]-Table1[[#This Row],[Negotiated_Total]]</f>
        <v>3460.2000000000007</v>
      </c>
      <c r="T426" t="str">
        <f xml:space="preserve"> IF(Table1[[#This Row],[Delay_Days]] &gt; 4, "High Risk", IF(Table1[[#This Row],[Delay_Days]] &gt; 0, "Medium Risk", "Low Risk"))</f>
        <v>Medium Risk</v>
      </c>
    </row>
    <row r="427" spans="1:20" x14ac:dyDescent="0.25">
      <c r="A427" t="s">
        <v>452</v>
      </c>
      <c r="B427" t="s">
        <v>804</v>
      </c>
      <c r="C427" s="1">
        <v>44727</v>
      </c>
      <c r="D427" s="1">
        <v>44738</v>
      </c>
      <c r="E427" t="s">
        <v>21</v>
      </c>
      <c r="F427" t="s">
        <v>18</v>
      </c>
      <c r="G427">
        <v>799</v>
      </c>
      <c r="H427" s="5">
        <v>56.22</v>
      </c>
      <c r="I427" s="5">
        <v>49.51</v>
      </c>
      <c r="J427">
        <v>18</v>
      </c>
      <c r="K427" t="s">
        <v>15</v>
      </c>
      <c r="L427">
        <f t="shared" si="27"/>
        <v>11</v>
      </c>
      <c r="M427">
        <v>11</v>
      </c>
      <c r="N427">
        <f t="shared" si="24"/>
        <v>0</v>
      </c>
      <c r="O427" t="str">
        <f xml:space="preserve"> IF(AND(Table1[[#This Row],[Actual_Lead_Time]] &lt;= Table1[[#This Row],[Standard_Lead_Time]], OR(ISBLANK(J427), J427 = 0)), "OTIF", "Non-OTIF")</f>
        <v>Non-OTIF</v>
      </c>
      <c r="P427">
        <f>IF(Table1[[#This Row],[OTIF_Status]] = "OTIF", 1, 0)</f>
        <v>0</v>
      </c>
      <c r="Q427" s="5">
        <f t="shared" si="25"/>
        <v>44919.78</v>
      </c>
      <c r="R427" s="5">
        <f t="shared" si="26"/>
        <v>39558.49</v>
      </c>
      <c r="S427" s="5">
        <f>Table1[[#This Row],[Total_Line_Spend]]-Table1[[#This Row],[Negotiated_Total]]</f>
        <v>5361.2900000000009</v>
      </c>
      <c r="T427" t="str">
        <f xml:space="preserve"> IF(Table1[[#This Row],[Delay_Days]] &gt; 4, "High Risk", IF(Table1[[#This Row],[Delay_Days]] &gt; 0, "Medium Risk", "Low Risk"))</f>
        <v>Low Risk</v>
      </c>
    </row>
    <row r="428" spans="1:20" x14ac:dyDescent="0.25">
      <c r="A428" t="s">
        <v>453</v>
      </c>
      <c r="B428" t="s">
        <v>807</v>
      </c>
      <c r="C428" s="1">
        <v>45014</v>
      </c>
      <c r="D428" s="1">
        <v>45034</v>
      </c>
      <c r="E428" t="s">
        <v>21</v>
      </c>
      <c r="F428" t="s">
        <v>33</v>
      </c>
      <c r="G428">
        <v>1743</v>
      </c>
      <c r="H428" s="5">
        <v>51.04</v>
      </c>
      <c r="I428" s="5">
        <v>47.15</v>
      </c>
      <c r="J428">
        <v>160</v>
      </c>
      <c r="K428" t="s">
        <v>15</v>
      </c>
      <c r="L428">
        <f t="shared" si="27"/>
        <v>20</v>
      </c>
      <c r="M428">
        <v>11</v>
      </c>
      <c r="N428">
        <f t="shared" si="24"/>
        <v>9</v>
      </c>
      <c r="O428" t="str">
        <f xml:space="preserve"> IF(AND(Table1[[#This Row],[Actual_Lead_Time]] &lt;= Table1[[#This Row],[Standard_Lead_Time]], OR(ISBLANK(J428), J428 = 0)), "OTIF", "Non-OTIF")</f>
        <v>Non-OTIF</v>
      </c>
      <c r="P428">
        <f>IF(Table1[[#This Row],[OTIF_Status]] = "OTIF", 1, 0)</f>
        <v>0</v>
      </c>
      <c r="Q428" s="5">
        <f t="shared" si="25"/>
        <v>88962.72</v>
      </c>
      <c r="R428" s="5">
        <f t="shared" si="26"/>
        <v>82182.45</v>
      </c>
      <c r="S428" s="5">
        <f>Table1[[#This Row],[Total_Line_Spend]]-Table1[[#This Row],[Negotiated_Total]]</f>
        <v>6780.2700000000041</v>
      </c>
      <c r="T428" t="str">
        <f xml:space="preserve"> IF(Table1[[#This Row],[Delay_Days]] &gt; 4, "High Risk", IF(Table1[[#This Row],[Delay_Days]] &gt; 0, "Medium Risk", "Low Risk"))</f>
        <v>High Risk</v>
      </c>
    </row>
    <row r="429" spans="1:20" x14ac:dyDescent="0.25">
      <c r="A429" t="s">
        <v>454</v>
      </c>
      <c r="B429" t="s">
        <v>804</v>
      </c>
      <c r="C429" s="1">
        <v>45126</v>
      </c>
      <c r="D429" s="1">
        <v>45138</v>
      </c>
      <c r="E429" t="s">
        <v>26</v>
      </c>
      <c r="F429" t="s">
        <v>18</v>
      </c>
      <c r="G429">
        <v>87</v>
      </c>
      <c r="H429" s="5">
        <v>100.65</v>
      </c>
      <c r="I429" s="5">
        <v>85.56</v>
      </c>
      <c r="J429">
        <v>1</v>
      </c>
      <c r="K429" t="s">
        <v>15</v>
      </c>
      <c r="L429">
        <f t="shared" si="27"/>
        <v>12</v>
      </c>
      <c r="M429">
        <v>11</v>
      </c>
      <c r="N429">
        <f t="shared" si="24"/>
        <v>1</v>
      </c>
      <c r="O429" t="str">
        <f xml:space="preserve"> IF(AND(Table1[[#This Row],[Actual_Lead_Time]] &lt;= Table1[[#This Row],[Standard_Lead_Time]], OR(ISBLANK(J429), J429 = 0)), "OTIF", "Non-OTIF")</f>
        <v>Non-OTIF</v>
      </c>
      <c r="P429">
        <f>IF(Table1[[#This Row],[OTIF_Status]] = "OTIF", 1, 0)</f>
        <v>0</v>
      </c>
      <c r="Q429" s="5">
        <f t="shared" si="25"/>
        <v>8756.5500000000011</v>
      </c>
      <c r="R429" s="5">
        <f t="shared" si="26"/>
        <v>7443.72</v>
      </c>
      <c r="S429" s="5">
        <f>Table1[[#This Row],[Total_Line_Spend]]-Table1[[#This Row],[Negotiated_Total]]</f>
        <v>1312.8300000000008</v>
      </c>
      <c r="T429" t="str">
        <f xml:space="preserve"> IF(Table1[[#This Row],[Delay_Days]] &gt; 4, "High Risk", IF(Table1[[#This Row],[Delay_Days]] &gt; 0, "Medium Risk", "Low Risk"))</f>
        <v>Medium Risk</v>
      </c>
    </row>
    <row r="430" spans="1:20" x14ac:dyDescent="0.25">
      <c r="A430" t="s">
        <v>455</v>
      </c>
      <c r="B430" t="s">
        <v>807</v>
      </c>
      <c r="C430" s="1">
        <v>45284</v>
      </c>
      <c r="D430" s="1">
        <v>45295</v>
      </c>
      <c r="E430" t="s">
        <v>26</v>
      </c>
      <c r="F430" t="s">
        <v>18</v>
      </c>
      <c r="G430">
        <v>279</v>
      </c>
      <c r="H430" s="5">
        <v>47.52</v>
      </c>
      <c r="I430" s="5">
        <v>46.5</v>
      </c>
      <c r="J430">
        <v>28</v>
      </c>
      <c r="K430" t="s">
        <v>27</v>
      </c>
      <c r="L430">
        <f t="shared" si="27"/>
        <v>11</v>
      </c>
      <c r="M430">
        <v>11</v>
      </c>
      <c r="N430">
        <f t="shared" si="24"/>
        <v>0</v>
      </c>
      <c r="O430" t="str">
        <f xml:space="preserve"> IF(AND(Table1[[#This Row],[Actual_Lead_Time]] &lt;= Table1[[#This Row],[Standard_Lead_Time]], OR(ISBLANK(J430), J430 = 0)), "OTIF", "Non-OTIF")</f>
        <v>Non-OTIF</v>
      </c>
      <c r="P430">
        <f>IF(Table1[[#This Row],[OTIF_Status]] = "OTIF", 1, 0)</f>
        <v>0</v>
      </c>
      <c r="Q430" s="5">
        <f t="shared" si="25"/>
        <v>13258.080000000002</v>
      </c>
      <c r="R430" s="5">
        <f t="shared" si="26"/>
        <v>12973.5</v>
      </c>
      <c r="S430" s="5">
        <f>Table1[[#This Row],[Total_Line_Spend]]-Table1[[#This Row],[Negotiated_Total]]</f>
        <v>284.58000000000175</v>
      </c>
      <c r="T430" t="str">
        <f xml:space="preserve"> IF(Table1[[#This Row],[Delay_Days]] &gt; 4, "High Risk", IF(Table1[[#This Row],[Delay_Days]] &gt; 0, "Medium Risk", "Low Risk"))</f>
        <v>Low Risk</v>
      </c>
    </row>
    <row r="431" spans="1:20" x14ac:dyDescent="0.25">
      <c r="A431" t="s">
        <v>456</v>
      </c>
      <c r="B431" t="s">
        <v>805</v>
      </c>
      <c r="C431" s="1">
        <v>44999</v>
      </c>
      <c r="D431" s="1">
        <v>45010</v>
      </c>
      <c r="E431" t="s">
        <v>26</v>
      </c>
      <c r="F431" t="s">
        <v>18</v>
      </c>
      <c r="G431">
        <v>1438</v>
      </c>
      <c r="H431" s="5">
        <v>66.61</v>
      </c>
      <c r="I431" s="5">
        <v>58.5</v>
      </c>
      <c r="J431">
        <v>237</v>
      </c>
      <c r="K431" t="s">
        <v>15</v>
      </c>
      <c r="L431">
        <f t="shared" si="27"/>
        <v>11</v>
      </c>
      <c r="M431">
        <v>11</v>
      </c>
      <c r="N431">
        <f t="shared" si="24"/>
        <v>0</v>
      </c>
      <c r="O431" t="str">
        <f xml:space="preserve"> IF(AND(Table1[[#This Row],[Actual_Lead_Time]] &lt;= Table1[[#This Row],[Standard_Lead_Time]], OR(ISBLANK(J431), J431 = 0)), "OTIF", "Non-OTIF")</f>
        <v>Non-OTIF</v>
      </c>
      <c r="P431">
        <f>IF(Table1[[#This Row],[OTIF_Status]] = "OTIF", 1, 0)</f>
        <v>0</v>
      </c>
      <c r="Q431" s="5">
        <f t="shared" si="25"/>
        <v>95785.18</v>
      </c>
      <c r="R431" s="5">
        <f t="shared" si="26"/>
        <v>84123</v>
      </c>
      <c r="S431" s="5">
        <f>Table1[[#This Row],[Total_Line_Spend]]-Table1[[#This Row],[Negotiated_Total]]</f>
        <v>11662.179999999993</v>
      </c>
      <c r="T431" t="str">
        <f xml:space="preserve"> IF(Table1[[#This Row],[Delay_Days]] &gt; 4, "High Risk", IF(Table1[[#This Row],[Delay_Days]] &gt; 0, "Medium Risk", "Low Risk"))</f>
        <v>Low Risk</v>
      </c>
    </row>
    <row r="432" spans="1:20" x14ac:dyDescent="0.25">
      <c r="A432" t="s">
        <v>457</v>
      </c>
      <c r="B432" t="s">
        <v>805</v>
      </c>
      <c r="C432" s="1">
        <v>45136</v>
      </c>
      <c r="D432" s="1">
        <v>45138</v>
      </c>
      <c r="E432" t="s">
        <v>13</v>
      </c>
      <c r="F432" t="s">
        <v>33</v>
      </c>
      <c r="G432">
        <v>612</v>
      </c>
      <c r="H432" s="5">
        <v>72.930000000000007</v>
      </c>
      <c r="I432" s="5">
        <v>63.32</v>
      </c>
      <c r="J432">
        <v>99</v>
      </c>
      <c r="K432" t="s">
        <v>15</v>
      </c>
      <c r="L432">
        <f t="shared" si="27"/>
        <v>2</v>
      </c>
      <c r="M432">
        <v>11</v>
      </c>
      <c r="N432">
        <f t="shared" si="24"/>
        <v>0</v>
      </c>
      <c r="O432" t="str">
        <f xml:space="preserve"> IF(AND(Table1[[#This Row],[Actual_Lead_Time]] &lt;= Table1[[#This Row],[Standard_Lead_Time]], OR(ISBLANK(J432), J432 = 0)), "OTIF", "Non-OTIF")</f>
        <v>Non-OTIF</v>
      </c>
      <c r="P432">
        <f>IF(Table1[[#This Row],[OTIF_Status]] = "OTIF", 1, 0)</f>
        <v>0</v>
      </c>
      <c r="Q432" s="5">
        <f t="shared" si="25"/>
        <v>44633.16</v>
      </c>
      <c r="R432" s="5">
        <f t="shared" si="26"/>
        <v>38751.840000000004</v>
      </c>
      <c r="S432" s="5">
        <f>Table1[[#This Row],[Total_Line_Spend]]-Table1[[#This Row],[Negotiated_Total]]</f>
        <v>5881.32</v>
      </c>
      <c r="T432" t="str">
        <f xml:space="preserve"> IF(Table1[[#This Row],[Delay_Days]] &gt; 4, "High Risk", IF(Table1[[#This Row],[Delay_Days]] &gt; 0, "Medium Risk", "Low Risk"))</f>
        <v>Low Risk</v>
      </c>
    </row>
    <row r="433" spans="1:20" x14ac:dyDescent="0.25">
      <c r="A433" t="s">
        <v>458</v>
      </c>
      <c r="B433" t="s">
        <v>808</v>
      </c>
      <c r="C433" s="1">
        <v>44571</v>
      </c>
      <c r="D433" s="1">
        <v>44582</v>
      </c>
      <c r="E433" t="s">
        <v>24</v>
      </c>
      <c r="F433" t="s">
        <v>35</v>
      </c>
      <c r="G433">
        <v>487</v>
      </c>
      <c r="H433" s="5">
        <v>11.18</v>
      </c>
      <c r="I433" s="5">
        <v>10.63</v>
      </c>
      <c r="J433">
        <v>15</v>
      </c>
      <c r="K433" t="s">
        <v>15</v>
      </c>
      <c r="L433">
        <f t="shared" si="27"/>
        <v>11</v>
      </c>
      <c r="M433">
        <v>11</v>
      </c>
      <c r="N433">
        <f t="shared" si="24"/>
        <v>0</v>
      </c>
      <c r="O433" t="str">
        <f xml:space="preserve"> IF(AND(Table1[[#This Row],[Actual_Lead_Time]] &lt;= Table1[[#This Row],[Standard_Lead_Time]], OR(ISBLANK(J433), J433 = 0)), "OTIF", "Non-OTIF")</f>
        <v>Non-OTIF</v>
      </c>
      <c r="P433">
        <f>IF(Table1[[#This Row],[OTIF_Status]] = "OTIF", 1, 0)</f>
        <v>0</v>
      </c>
      <c r="Q433" s="5">
        <f t="shared" si="25"/>
        <v>5444.66</v>
      </c>
      <c r="R433" s="5">
        <f t="shared" si="26"/>
        <v>5176.8100000000004</v>
      </c>
      <c r="S433" s="5">
        <f>Table1[[#This Row],[Total_Line_Spend]]-Table1[[#This Row],[Negotiated_Total]]</f>
        <v>267.84999999999945</v>
      </c>
      <c r="T433" t="str">
        <f xml:space="preserve"> IF(Table1[[#This Row],[Delay_Days]] &gt; 4, "High Risk", IF(Table1[[#This Row],[Delay_Days]] &gt; 0, "Medium Risk", "Low Risk"))</f>
        <v>Low Risk</v>
      </c>
    </row>
    <row r="434" spans="1:20" x14ac:dyDescent="0.25">
      <c r="A434" t="s">
        <v>459</v>
      </c>
      <c r="B434" t="s">
        <v>808</v>
      </c>
      <c r="C434" s="1">
        <v>44676</v>
      </c>
      <c r="D434" s="1">
        <v>44680</v>
      </c>
      <c r="E434" t="s">
        <v>24</v>
      </c>
      <c r="F434" t="s">
        <v>33</v>
      </c>
      <c r="G434">
        <v>1849</v>
      </c>
      <c r="H434" s="5">
        <v>70.760000000000005</v>
      </c>
      <c r="I434" s="5">
        <v>69.25</v>
      </c>
      <c r="J434">
        <v>51</v>
      </c>
      <c r="K434" t="s">
        <v>15</v>
      </c>
      <c r="L434">
        <f t="shared" si="27"/>
        <v>4</v>
      </c>
      <c r="M434">
        <v>11</v>
      </c>
      <c r="N434">
        <f t="shared" si="24"/>
        <v>0</v>
      </c>
      <c r="O434" t="str">
        <f xml:space="preserve"> IF(AND(Table1[[#This Row],[Actual_Lead_Time]] &lt;= Table1[[#This Row],[Standard_Lead_Time]], OR(ISBLANK(J434), J434 = 0)), "OTIF", "Non-OTIF")</f>
        <v>Non-OTIF</v>
      </c>
      <c r="P434">
        <f>IF(Table1[[#This Row],[OTIF_Status]] = "OTIF", 1, 0)</f>
        <v>0</v>
      </c>
      <c r="Q434" s="5">
        <f t="shared" si="25"/>
        <v>130835.24</v>
      </c>
      <c r="R434" s="5">
        <f t="shared" si="26"/>
        <v>128043.25</v>
      </c>
      <c r="S434" s="5">
        <f>Table1[[#This Row],[Total_Line_Spend]]-Table1[[#This Row],[Negotiated_Total]]</f>
        <v>2791.9900000000052</v>
      </c>
      <c r="T434" t="str">
        <f xml:space="preserve"> IF(Table1[[#This Row],[Delay_Days]] &gt; 4, "High Risk", IF(Table1[[#This Row],[Delay_Days]] &gt; 0, "Medium Risk", "Low Risk"))</f>
        <v>Low Risk</v>
      </c>
    </row>
    <row r="435" spans="1:20" x14ac:dyDescent="0.25">
      <c r="A435" t="s">
        <v>460</v>
      </c>
      <c r="B435" t="s">
        <v>808</v>
      </c>
      <c r="C435" s="1">
        <v>44639</v>
      </c>
      <c r="D435" s="1">
        <v>44652</v>
      </c>
      <c r="E435" t="s">
        <v>21</v>
      </c>
      <c r="F435" t="s">
        <v>33</v>
      </c>
      <c r="G435">
        <v>1356</v>
      </c>
      <c r="H435" s="5">
        <v>26.28</v>
      </c>
      <c r="I435" s="5">
        <v>25.44</v>
      </c>
      <c r="J435">
        <v>47</v>
      </c>
      <c r="K435" t="s">
        <v>15</v>
      </c>
      <c r="L435">
        <f t="shared" si="27"/>
        <v>13</v>
      </c>
      <c r="M435">
        <v>11</v>
      </c>
      <c r="N435">
        <f t="shared" si="24"/>
        <v>2</v>
      </c>
      <c r="O435" t="str">
        <f xml:space="preserve"> IF(AND(Table1[[#This Row],[Actual_Lead_Time]] &lt;= Table1[[#This Row],[Standard_Lead_Time]], OR(ISBLANK(J435), J435 = 0)), "OTIF", "Non-OTIF")</f>
        <v>Non-OTIF</v>
      </c>
      <c r="P435">
        <f>IF(Table1[[#This Row],[OTIF_Status]] = "OTIF", 1, 0)</f>
        <v>0</v>
      </c>
      <c r="Q435" s="5">
        <f t="shared" si="25"/>
        <v>35635.68</v>
      </c>
      <c r="R435" s="5">
        <f t="shared" si="26"/>
        <v>34496.639999999999</v>
      </c>
      <c r="S435" s="5">
        <f>Table1[[#This Row],[Total_Line_Spend]]-Table1[[#This Row],[Negotiated_Total]]</f>
        <v>1139.0400000000009</v>
      </c>
      <c r="T435" t="str">
        <f xml:space="preserve"> IF(Table1[[#This Row],[Delay_Days]] &gt; 4, "High Risk", IF(Table1[[#This Row],[Delay_Days]] &gt; 0, "Medium Risk", "Low Risk"))</f>
        <v>Medium Risk</v>
      </c>
    </row>
    <row r="436" spans="1:20" x14ac:dyDescent="0.25">
      <c r="A436" t="s">
        <v>461</v>
      </c>
      <c r="B436" t="s">
        <v>805</v>
      </c>
      <c r="C436" s="1">
        <v>45269</v>
      </c>
      <c r="D436" s="1">
        <v>45289</v>
      </c>
      <c r="E436" t="s">
        <v>26</v>
      </c>
      <c r="F436" t="s">
        <v>18</v>
      </c>
      <c r="G436">
        <v>76</v>
      </c>
      <c r="H436" s="5">
        <v>107.59</v>
      </c>
      <c r="I436" s="5">
        <v>96.33</v>
      </c>
      <c r="J436">
        <v>10</v>
      </c>
      <c r="K436" t="s">
        <v>15</v>
      </c>
      <c r="L436">
        <f t="shared" si="27"/>
        <v>20</v>
      </c>
      <c r="M436">
        <v>11</v>
      </c>
      <c r="N436">
        <f t="shared" si="24"/>
        <v>9</v>
      </c>
      <c r="O436" t="str">
        <f xml:space="preserve"> IF(AND(Table1[[#This Row],[Actual_Lead_Time]] &lt;= Table1[[#This Row],[Standard_Lead_Time]], OR(ISBLANK(J436), J436 = 0)), "OTIF", "Non-OTIF")</f>
        <v>Non-OTIF</v>
      </c>
      <c r="P436">
        <f>IF(Table1[[#This Row],[OTIF_Status]] = "OTIF", 1, 0)</f>
        <v>0</v>
      </c>
      <c r="Q436" s="5">
        <f t="shared" si="25"/>
        <v>8176.84</v>
      </c>
      <c r="R436" s="5">
        <f t="shared" si="26"/>
        <v>7321.08</v>
      </c>
      <c r="S436" s="5">
        <f>Table1[[#This Row],[Total_Line_Spend]]-Table1[[#This Row],[Negotiated_Total]]</f>
        <v>855.76000000000022</v>
      </c>
      <c r="T436" t="str">
        <f xml:space="preserve"> IF(Table1[[#This Row],[Delay_Days]] &gt; 4, "High Risk", IF(Table1[[#This Row],[Delay_Days]] &gt; 0, "Medium Risk", "Low Risk"))</f>
        <v>High Risk</v>
      </c>
    </row>
    <row r="437" spans="1:20" x14ac:dyDescent="0.25">
      <c r="A437" t="s">
        <v>462</v>
      </c>
      <c r="B437" t="s">
        <v>804</v>
      </c>
      <c r="C437" s="1">
        <v>44714</v>
      </c>
      <c r="D437" s="1">
        <v>44725</v>
      </c>
      <c r="E437" t="s">
        <v>24</v>
      </c>
      <c r="F437" t="s">
        <v>33</v>
      </c>
      <c r="G437">
        <v>275</v>
      </c>
      <c r="H437" s="5">
        <v>23.96</v>
      </c>
      <c r="I437" s="5">
        <v>20.440000000000001</v>
      </c>
      <c r="K437" t="s">
        <v>15</v>
      </c>
      <c r="L437">
        <f t="shared" si="27"/>
        <v>11</v>
      </c>
      <c r="M437">
        <v>11</v>
      </c>
      <c r="N437">
        <f t="shared" si="24"/>
        <v>0</v>
      </c>
      <c r="O437" t="str">
        <f xml:space="preserve"> IF(AND(Table1[[#This Row],[Actual_Lead_Time]] &lt;= Table1[[#This Row],[Standard_Lead_Time]], OR(ISBLANK(J437), J437 = 0)), "OTIF", "Non-OTIF")</f>
        <v>OTIF</v>
      </c>
      <c r="P437">
        <f>IF(Table1[[#This Row],[OTIF_Status]] = "OTIF", 1, 0)</f>
        <v>1</v>
      </c>
      <c r="Q437" s="5">
        <f t="shared" si="25"/>
        <v>6589</v>
      </c>
      <c r="R437" s="5">
        <f t="shared" si="26"/>
        <v>5621</v>
      </c>
      <c r="S437" s="5">
        <f>Table1[[#This Row],[Total_Line_Spend]]-Table1[[#This Row],[Negotiated_Total]]</f>
        <v>968</v>
      </c>
      <c r="T437" t="str">
        <f xml:space="preserve"> IF(Table1[[#This Row],[Delay_Days]] &gt; 4, "High Risk", IF(Table1[[#This Row],[Delay_Days]] &gt; 0, "Medium Risk", "Low Risk"))</f>
        <v>Low Risk</v>
      </c>
    </row>
    <row r="438" spans="1:20" x14ac:dyDescent="0.25">
      <c r="A438" t="s">
        <v>463</v>
      </c>
      <c r="B438" t="s">
        <v>804</v>
      </c>
      <c r="C438" s="1">
        <v>45120</v>
      </c>
      <c r="D438" s="1">
        <v>45125</v>
      </c>
      <c r="E438" t="s">
        <v>24</v>
      </c>
      <c r="F438" t="s">
        <v>18</v>
      </c>
      <c r="G438">
        <v>1350</v>
      </c>
      <c r="H438" s="5">
        <v>51.57</v>
      </c>
      <c r="I438" s="5">
        <v>48.07</v>
      </c>
      <c r="K438" t="s">
        <v>15</v>
      </c>
      <c r="L438">
        <f t="shared" si="27"/>
        <v>5</v>
      </c>
      <c r="M438">
        <v>11</v>
      </c>
      <c r="N438">
        <f t="shared" si="24"/>
        <v>0</v>
      </c>
      <c r="O438" t="str">
        <f xml:space="preserve"> IF(AND(Table1[[#This Row],[Actual_Lead_Time]] &lt;= Table1[[#This Row],[Standard_Lead_Time]], OR(ISBLANK(J438), J438 = 0)), "OTIF", "Non-OTIF")</f>
        <v>OTIF</v>
      </c>
      <c r="P438">
        <f>IF(Table1[[#This Row],[OTIF_Status]] = "OTIF", 1, 0)</f>
        <v>1</v>
      </c>
      <c r="Q438" s="5">
        <f t="shared" si="25"/>
        <v>69619.5</v>
      </c>
      <c r="R438" s="5">
        <f t="shared" si="26"/>
        <v>64894.5</v>
      </c>
      <c r="S438" s="5">
        <f>Table1[[#This Row],[Total_Line_Spend]]-Table1[[#This Row],[Negotiated_Total]]</f>
        <v>4725</v>
      </c>
      <c r="T438" t="str">
        <f xml:space="preserve"> IF(Table1[[#This Row],[Delay_Days]] &gt; 4, "High Risk", IF(Table1[[#This Row],[Delay_Days]] &gt; 0, "Medium Risk", "Low Risk"))</f>
        <v>Low Risk</v>
      </c>
    </row>
    <row r="439" spans="1:20" x14ac:dyDescent="0.25">
      <c r="A439" t="s">
        <v>464</v>
      </c>
      <c r="B439" t="s">
        <v>804</v>
      </c>
      <c r="C439" s="1">
        <v>44598</v>
      </c>
      <c r="D439" s="1">
        <v>44609</v>
      </c>
      <c r="E439" t="s">
        <v>21</v>
      </c>
      <c r="F439" t="s">
        <v>18</v>
      </c>
      <c r="G439">
        <v>847</v>
      </c>
      <c r="H439" s="5">
        <v>17.77</v>
      </c>
      <c r="I439" s="5">
        <v>17.39</v>
      </c>
      <c r="K439" t="s">
        <v>15</v>
      </c>
      <c r="L439">
        <f t="shared" si="27"/>
        <v>11</v>
      </c>
      <c r="M439">
        <v>11</v>
      </c>
      <c r="N439">
        <f t="shared" si="24"/>
        <v>0</v>
      </c>
      <c r="O439" t="str">
        <f xml:space="preserve"> IF(AND(Table1[[#This Row],[Actual_Lead_Time]] &lt;= Table1[[#This Row],[Standard_Lead_Time]], OR(ISBLANK(J439), J439 = 0)), "OTIF", "Non-OTIF")</f>
        <v>OTIF</v>
      </c>
      <c r="P439">
        <f>IF(Table1[[#This Row],[OTIF_Status]] = "OTIF", 1, 0)</f>
        <v>1</v>
      </c>
      <c r="Q439" s="5">
        <f t="shared" si="25"/>
        <v>15051.19</v>
      </c>
      <c r="R439" s="5">
        <f t="shared" si="26"/>
        <v>14729.33</v>
      </c>
      <c r="S439" s="5">
        <f>Table1[[#This Row],[Total_Line_Spend]]-Table1[[#This Row],[Negotiated_Total]]</f>
        <v>321.86000000000058</v>
      </c>
      <c r="T439" t="str">
        <f xml:space="preserve"> IF(Table1[[#This Row],[Delay_Days]] &gt; 4, "High Risk", IF(Table1[[#This Row],[Delay_Days]] &gt; 0, "Medium Risk", "Low Risk"))</f>
        <v>Low Risk</v>
      </c>
    </row>
    <row r="440" spans="1:20" x14ac:dyDescent="0.25">
      <c r="A440" t="s">
        <v>465</v>
      </c>
      <c r="B440" t="s">
        <v>806</v>
      </c>
      <c r="C440" s="1">
        <v>44940</v>
      </c>
      <c r="D440" s="1">
        <v>44953</v>
      </c>
      <c r="E440" t="s">
        <v>21</v>
      </c>
      <c r="F440" t="s">
        <v>18</v>
      </c>
      <c r="G440">
        <v>1682</v>
      </c>
      <c r="H440" s="5">
        <v>105.7</v>
      </c>
      <c r="I440" s="5">
        <v>101.3</v>
      </c>
      <c r="J440">
        <v>94</v>
      </c>
      <c r="K440" t="s">
        <v>15</v>
      </c>
      <c r="L440">
        <f t="shared" si="27"/>
        <v>13</v>
      </c>
      <c r="M440">
        <v>11</v>
      </c>
      <c r="N440">
        <f t="shared" si="24"/>
        <v>2</v>
      </c>
      <c r="O440" t="str">
        <f xml:space="preserve"> IF(AND(Table1[[#This Row],[Actual_Lead_Time]] &lt;= Table1[[#This Row],[Standard_Lead_Time]], OR(ISBLANK(J440), J440 = 0)), "OTIF", "Non-OTIF")</f>
        <v>Non-OTIF</v>
      </c>
      <c r="P440">
        <f>IF(Table1[[#This Row],[OTIF_Status]] = "OTIF", 1, 0)</f>
        <v>0</v>
      </c>
      <c r="Q440" s="5">
        <f t="shared" si="25"/>
        <v>177787.4</v>
      </c>
      <c r="R440" s="5">
        <f t="shared" si="26"/>
        <v>170386.6</v>
      </c>
      <c r="S440" s="5">
        <f>Table1[[#This Row],[Total_Line_Spend]]-Table1[[#This Row],[Negotiated_Total]]</f>
        <v>7400.7999999999884</v>
      </c>
      <c r="T440" t="str">
        <f xml:space="preserve"> IF(Table1[[#This Row],[Delay_Days]] &gt; 4, "High Risk", IF(Table1[[#This Row],[Delay_Days]] &gt; 0, "Medium Risk", "Low Risk"))</f>
        <v>Medium Risk</v>
      </c>
    </row>
    <row r="441" spans="1:20" x14ac:dyDescent="0.25">
      <c r="A441" t="s">
        <v>466</v>
      </c>
      <c r="B441" t="s">
        <v>808</v>
      </c>
      <c r="C441" s="1">
        <v>45158</v>
      </c>
      <c r="D441" s="1">
        <v>45161</v>
      </c>
      <c r="E441" t="s">
        <v>39</v>
      </c>
      <c r="F441" t="s">
        <v>18</v>
      </c>
      <c r="G441">
        <v>333</v>
      </c>
      <c r="H441" s="5">
        <v>60.44</v>
      </c>
      <c r="I441" s="5">
        <v>58.54</v>
      </c>
      <c r="J441">
        <v>8</v>
      </c>
      <c r="K441" t="s">
        <v>15</v>
      </c>
      <c r="L441">
        <f t="shared" si="27"/>
        <v>3</v>
      </c>
      <c r="M441">
        <v>11</v>
      </c>
      <c r="N441">
        <f t="shared" si="24"/>
        <v>0</v>
      </c>
      <c r="O441" t="str">
        <f xml:space="preserve"> IF(AND(Table1[[#This Row],[Actual_Lead_Time]] &lt;= Table1[[#This Row],[Standard_Lead_Time]], OR(ISBLANK(J441), J441 = 0)), "OTIF", "Non-OTIF")</f>
        <v>Non-OTIF</v>
      </c>
      <c r="P441">
        <f>IF(Table1[[#This Row],[OTIF_Status]] = "OTIF", 1, 0)</f>
        <v>0</v>
      </c>
      <c r="Q441" s="5">
        <f t="shared" si="25"/>
        <v>20126.52</v>
      </c>
      <c r="R441" s="5">
        <f t="shared" si="26"/>
        <v>19493.82</v>
      </c>
      <c r="S441" s="5">
        <f>Table1[[#This Row],[Total_Line_Spend]]-Table1[[#This Row],[Negotiated_Total]]</f>
        <v>632.70000000000073</v>
      </c>
      <c r="T441" t="str">
        <f xml:space="preserve"> IF(Table1[[#This Row],[Delay_Days]] &gt; 4, "High Risk", IF(Table1[[#This Row],[Delay_Days]] &gt; 0, "Medium Risk", "Low Risk"))</f>
        <v>Low Risk</v>
      </c>
    </row>
    <row r="442" spans="1:20" x14ac:dyDescent="0.25">
      <c r="A442" t="s">
        <v>467</v>
      </c>
      <c r="B442" t="s">
        <v>804</v>
      </c>
      <c r="C442" s="1">
        <v>45127</v>
      </c>
      <c r="D442" s="1">
        <v>45140</v>
      </c>
      <c r="E442" t="s">
        <v>39</v>
      </c>
      <c r="F442" t="s">
        <v>14</v>
      </c>
      <c r="G442">
        <v>928</v>
      </c>
      <c r="H442" s="5">
        <v>69.31</v>
      </c>
      <c r="I442" s="5">
        <v>67.260000000000005</v>
      </c>
      <c r="J442">
        <v>20</v>
      </c>
      <c r="K442" t="s">
        <v>15</v>
      </c>
      <c r="L442">
        <f t="shared" si="27"/>
        <v>13</v>
      </c>
      <c r="M442">
        <v>11</v>
      </c>
      <c r="N442">
        <f t="shared" si="24"/>
        <v>2</v>
      </c>
      <c r="O442" t="str">
        <f xml:space="preserve"> IF(AND(Table1[[#This Row],[Actual_Lead_Time]] &lt;= Table1[[#This Row],[Standard_Lead_Time]], OR(ISBLANK(J442), J442 = 0)), "OTIF", "Non-OTIF")</f>
        <v>Non-OTIF</v>
      </c>
      <c r="P442">
        <f>IF(Table1[[#This Row],[OTIF_Status]] = "OTIF", 1, 0)</f>
        <v>0</v>
      </c>
      <c r="Q442" s="5">
        <f t="shared" si="25"/>
        <v>64319.68</v>
      </c>
      <c r="R442" s="5">
        <f t="shared" si="26"/>
        <v>62417.280000000006</v>
      </c>
      <c r="S442" s="5">
        <f>Table1[[#This Row],[Total_Line_Spend]]-Table1[[#This Row],[Negotiated_Total]]</f>
        <v>1902.3999999999942</v>
      </c>
      <c r="T442" t="str">
        <f xml:space="preserve"> IF(Table1[[#This Row],[Delay_Days]] &gt; 4, "High Risk", IF(Table1[[#This Row],[Delay_Days]] &gt; 0, "Medium Risk", "Low Risk"))</f>
        <v>Medium Risk</v>
      </c>
    </row>
    <row r="443" spans="1:20" x14ac:dyDescent="0.25">
      <c r="A443" t="s">
        <v>468</v>
      </c>
      <c r="B443" t="s">
        <v>808</v>
      </c>
      <c r="C443" s="1">
        <v>44713</v>
      </c>
      <c r="D443" s="1">
        <v>44724</v>
      </c>
      <c r="E443" t="s">
        <v>21</v>
      </c>
      <c r="F443" t="s">
        <v>33</v>
      </c>
      <c r="G443">
        <v>1009</v>
      </c>
      <c r="H443" s="5">
        <v>16.440000000000001</v>
      </c>
      <c r="I443" s="5">
        <v>16.18</v>
      </c>
      <c r="K443" t="s">
        <v>15</v>
      </c>
      <c r="L443">
        <f t="shared" si="27"/>
        <v>11</v>
      </c>
      <c r="M443">
        <v>11</v>
      </c>
      <c r="N443">
        <f t="shared" si="24"/>
        <v>0</v>
      </c>
      <c r="O443" t="str">
        <f xml:space="preserve"> IF(AND(Table1[[#This Row],[Actual_Lead_Time]] &lt;= Table1[[#This Row],[Standard_Lead_Time]], OR(ISBLANK(J443), J443 = 0)), "OTIF", "Non-OTIF")</f>
        <v>OTIF</v>
      </c>
      <c r="P443">
        <f>IF(Table1[[#This Row],[OTIF_Status]] = "OTIF", 1, 0)</f>
        <v>1</v>
      </c>
      <c r="Q443" s="5">
        <f t="shared" si="25"/>
        <v>16587.960000000003</v>
      </c>
      <c r="R443" s="5">
        <f t="shared" si="26"/>
        <v>16325.619999999999</v>
      </c>
      <c r="S443" s="5">
        <f>Table1[[#This Row],[Total_Line_Spend]]-Table1[[#This Row],[Negotiated_Total]]</f>
        <v>262.34000000000378</v>
      </c>
      <c r="T443" t="str">
        <f xml:space="preserve"> IF(Table1[[#This Row],[Delay_Days]] &gt; 4, "High Risk", IF(Table1[[#This Row],[Delay_Days]] &gt; 0, "Medium Risk", "Low Risk"))</f>
        <v>Low Risk</v>
      </c>
    </row>
    <row r="444" spans="1:20" x14ac:dyDescent="0.25">
      <c r="A444" t="s">
        <v>469</v>
      </c>
      <c r="B444" t="s">
        <v>808</v>
      </c>
      <c r="C444" s="1">
        <v>45002</v>
      </c>
      <c r="D444" s="1">
        <v>45019</v>
      </c>
      <c r="E444" t="s">
        <v>39</v>
      </c>
      <c r="F444" t="s">
        <v>35</v>
      </c>
      <c r="G444">
        <v>1554</v>
      </c>
      <c r="H444" s="5">
        <v>82.92</v>
      </c>
      <c r="I444" s="5">
        <v>74.819999999999993</v>
      </c>
      <c r="J444">
        <v>44</v>
      </c>
      <c r="K444" t="s">
        <v>15</v>
      </c>
      <c r="L444">
        <f t="shared" si="27"/>
        <v>17</v>
      </c>
      <c r="M444">
        <v>11</v>
      </c>
      <c r="N444">
        <f t="shared" si="24"/>
        <v>6</v>
      </c>
      <c r="O444" t="str">
        <f xml:space="preserve"> IF(AND(Table1[[#This Row],[Actual_Lead_Time]] &lt;= Table1[[#This Row],[Standard_Lead_Time]], OR(ISBLANK(J444), J444 = 0)), "OTIF", "Non-OTIF")</f>
        <v>Non-OTIF</v>
      </c>
      <c r="P444">
        <f>IF(Table1[[#This Row],[OTIF_Status]] = "OTIF", 1, 0)</f>
        <v>0</v>
      </c>
      <c r="Q444" s="5">
        <f t="shared" si="25"/>
        <v>128857.68000000001</v>
      </c>
      <c r="R444" s="5">
        <f t="shared" si="26"/>
        <v>116270.27999999998</v>
      </c>
      <c r="S444" s="5">
        <f>Table1[[#This Row],[Total_Line_Spend]]-Table1[[#This Row],[Negotiated_Total]]</f>
        <v>12587.400000000023</v>
      </c>
      <c r="T444" t="str">
        <f xml:space="preserve"> IF(Table1[[#This Row],[Delay_Days]] &gt; 4, "High Risk", IF(Table1[[#This Row],[Delay_Days]] &gt; 0, "Medium Risk", "Low Risk"))</f>
        <v>High Risk</v>
      </c>
    </row>
    <row r="445" spans="1:20" x14ac:dyDescent="0.25">
      <c r="A445" t="s">
        <v>470</v>
      </c>
      <c r="B445" t="s">
        <v>806</v>
      </c>
      <c r="C445" s="1">
        <v>44692</v>
      </c>
      <c r="D445" s="1">
        <v>44706</v>
      </c>
      <c r="E445" t="s">
        <v>24</v>
      </c>
      <c r="F445" t="s">
        <v>33</v>
      </c>
      <c r="G445">
        <v>502</v>
      </c>
      <c r="H445" s="5">
        <v>29.47</v>
      </c>
      <c r="I445" s="5">
        <v>28.94</v>
      </c>
      <c r="J445">
        <v>27</v>
      </c>
      <c r="K445" t="s">
        <v>15</v>
      </c>
      <c r="L445">
        <f t="shared" si="27"/>
        <v>14</v>
      </c>
      <c r="M445">
        <v>11</v>
      </c>
      <c r="N445">
        <f t="shared" si="24"/>
        <v>3</v>
      </c>
      <c r="O445" t="str">
        <f xml:space="preserve"> IF(AND(Table1[[#This Row],[Actual_Lead_Time]] &lt;= Table1[[#This Row],[Standard_Lead_Time]], OR(ISBLANK(J445), J445 = 0)), "OTIF", "Non-OTIF")</f>
        <v>Non-OTIF</v>
      </c>
      <c r="P445">
        <f>IF(Table1[[#This Row],[OTIF_Status]] = "OTIF", 1, 0)</f>
        <v>0</v>
      </c>
      <c r="Q445" s="5">
        <f t="shared" si="25"/>
        <v>14793.939999999999</v>
      </c>
      <c r="R445" s="5">
        <f t="shared" si="26"/>
        <v>14527.880000000001</v>
      </c>
      <c r="S445" s="5">
        <f>Table1[[#This Row],[Total_Line_Spend]]-Table1[[#This Row],[Negotiated_Total]]</f>
        <v>266.05999999999767</v>
      </c>
      <c r="T445" t="str">
        <f xml:space="preserve"> IF(Table1[[#This Row],[Delay_Days]] &gt; 4, "High Risk", IF(Table1[[#This Row],[Delay_Days]] &gt; 0, "Medium Risk", "Low Risk"))</f>
        <v>Medium Risk</v>
      </c>
    </row>
    <row r="446" spans="1:20" x14ac:dyDescent="0.25">
      <c r="A446" t="s">
        <v>471</v>
      </c>
      <c r="B446" t="s">
        <v>805</v>
      </c>
      <c r="C446" s="1">
        <v>44604</v>
      </c>
      <c r="D446" s="1">
        <v>44605</v>
      </c>
      <c r="E446" t="s">
        <v>21</v>
      </c>
      <c r="F446" t="s">
        <v>18</v>
      </c>
      <c r="G446">
        <v>1069</v>
      </c>
      <c r="H446" s="5">
        <v>91.28</v>
      </c>
      <c r="I446" s="5">
        <v>82.64</v>
      </c>
      <c r="K446" t="s">
        <v>15</v>
      </c>
      <c r="L446">
        <f t="shared" si="27"/>
        <v>1</v>
      </c>
      <c r="M446">
        <v>11</v>
      </c>
      <c r="N446">
        <f t="shared" si="24"/>
        <v>0</v>
      </c>
      <c r="O446" t="str">
        <f xml:space="preserve"> IF(AND(Table1[[#This Row],[Actual_Lead_Time]] &lt;= Table1[[#This Row],[Standard_Lead_Time]], OR(ISBLANK(J446), J446 = 0)), "OTIF", "Non-OTIF")</f>
        <v>OTIF</v>
      </c>
      <c r="P446">
        <f>IF(Table1[[#This Row],[OTIF_Status]] = "OTIF", 1, 0)</f>
        <v>1</v>
      </c>
      <c r="Q446" s="5">
        <f t="shared" si="25"/>
        <v>97578.32</v>
      </c>
      <c r="R446" s="5">
        <f t="shared" si="26"/>
        <v>88342.16</v>
      </c>
      <c r="S446" s="5">
        <f>Table1[[#This Row],[Total_Line_Spend]]-Table1[[#This Row],[Negotiated_Total]]</f>
        <v>9236.1600000000035</v>
      </c>
      <c r="T446" t="str">
        <f xml:space="preserve"> IF(Table1[[#This Row],[Delay_Days]] &gt; 4, "High Risk", IF(Table1[[#This Row],[Delay_Days]] &gt; 0, "Medium Risk", "Low Risk"))</f>
        <v>Low Risk</v>
      </c>
    </row>
    <row r="447" spans="1:20" x14ac:dyDescent="0.25">
      <c r="A447" t="s">
        <v>472</v>
      </c>
      <c r="B447" t="s">
        <v>804</v>
      </c>
      <c r="C447" s="1">
        <v>44877</v>
      </c>
      <c r="D447" s="1">
        <v>44883</v>
      </c>
      <c r="E447" t="s">
        <v>21</v>
      </c>
      <c r="F447" t="s">
        <v>35</v>
      </c>
      <c r="G447">
        <v>1902</v>
      </c>
      <c r="H447" s="5">
        <v>29.89</v>
      </c>
      <c r="I447" s="5">
        <v>25.83</v>
      </c>
      <c r="J447">
        <v>41</v>
      </c>
      <c r="K447" t="s">
        <v>15</v>
      </c>
      <c r="L447">
        <f t="shared" si="27"/>
        <v>6</v>
      </c>
      <c r="M447">
        <v>11</v>
      </c>
      <c r="N447">
        <f t="shared" si="24"/>
        <v>0</v>
      </c>
      <c r="O447" t="str">
        <f xml:space="preserve"> IF(AND(Table1[[#This Row],[Actual_Lead_Time]] &lt;= Table1[[#This Row],[Standard_Lead_Time]], OR(ISBLANK(J447), J447 = 0)), "OTIF", "Non-OTIF")</f>
        <v>Non-OTIF</v>
      </c>
      <c r="P447">
        <f>IF(Table1[[#This Row],[OTIF_Status]] = "OTIF", 1, 0)</f>
        <v>0</v>
      </c>
      <c r="Q447" s="5">
        <f t="shared" si="25"/>
        <v>56850.78</v>
      </c>
      <c r="R447" s="5">
        <f t="shared" si="26"/>
        <v>49128.659999999996</v>
      </c>
      <c r="S447" s="5">
        <f>Table1[[#This Row],[Total_Line_Spend]]-Table1[[#This Row],[Negotiated_Total]]</f>
        <v>7722.1200000000026</v>
      </c>
      <c r="T447" t="str">
        <f xml:space="preserve"> IF(Table1[[#This Row],[Delay_Days]] &gt; 4, "High Risk", IF(Table1[[#This Row],[Delay_Days]] &gt; 0, "Medium Risk", "Low Risk"))</f>
        <v>Low Risk</v>
      </c>
    </row>
    <row r="448" spans="1:20" x14ac:dyDescent="0.25">
      <c r="A448" t="s">
        <v>473</v>
      </c>
      <c r="B448" t="s">
        <v>806</v>
      </c>
      <c r="C448" s="1">
        <v>44935</v>
      </c>
      <c r="D448" s="1">
        <v>44945</v>
      </c>
      <c r="E448" t="s">
        <v>26</v>
      </c>
      <c r="F448" t="s">
        <v>35</v>
      </c>
      <c r="G448">
        <v>865</v>
      </c>
      <c r="H448" s="5">
        <v>28.79</v>
      </c>
      <c r="I448" s="5">
        <v>25.69</v>
      </c>
      <c r="J448">
        <v>47</v>
      </c>
      <c r="K448" t="s">
        <v>15</v>
      </c>
      <c r="L448">
        <f t="shared" si="27"/>
        <v>10</v>
      </c>
      <c r="M448">
        <v>11</v>
      </c>
      <c r="N448">
        <f t="shared" si="24"/>
        <v>0</v>
      </c>
      <c r="O448" t="str">
        <f xml:space="preserve"> IF(AND(Table1[[#This Row],[Actual_Lead_Time]] &lt;= Table1[[#This Row],[Standard_Lead_Time]], OR(ISBLANK(J448), J448 = 0)), "OTIF", "Non-OTIF")</f>
        <v>Non-OTIF</v>
      </c>
      <c r="P448">
        <f>IF(Table1[[#This Row],[OTIF_Status]] = "OTIF", 1, 0)</f>
        <v>0</v>
      </c>
      <c r="Q448" s="5">
        <f t="shared" si="25"/>
        <v>24903.35</v>
      </c>
      <c r="R448" s="5">
        <f t="shared" si="26"/>
        <v>22221.850000000002</v>
      </c>
      <c r="S448" s="5">
        <f>Table1[[#This Row],[Total_Line_Spend]]-Table1[[#This Row],[Negotiated_Total]]</f>
        <v>2681.4999999999964</v>
      </c>
      <c r="T448" t="str">
        <f xml:space="preserve"> IF(Table1[[#This Row],[Delay_Days]] &gt; 4, "High Risk", IF(Table1[[#This Row],[Delay_Days]] &gt; 0, "Medium Risk", "Low Risk"))</f>
        <v>Low Risk</v>
      </c>
    </row>
    <row r="449" spans="1:20" x14ac:dyDescent="0.25">
      <c r="A449" t="s">
        <v>474</v>
      </c>
      <c r="B449" t="s">
        <v>805</v>
      </c>
      <c r="C449" s="1">
        <v>44602</v>
      </c>
      <c r="D449" s="1">
        <v>44618</v>
      </c>
      <c r="E449" t="s">
        <v>24</v>
      </c>
      <c r="F449" t="s">
        <v>33</v>
      </c>
      <c r="G449">
        <v>708</v>
      </c>
      <c r="H449" s="5">
        <v>13.36</v>
      </c>
      <c r="I449" s="5">
        <v>11.61</v>
      </c>
      <c r="K449" t="s">
        <v>27</v>
      </c>
      <c r="L449">
        <f t="shared" si="27"/>
        <v>16</v>
      </c>
      <c r="M449">
        <v>11</v>
      </c>
      <c r="N449">
        <f t="shared" si="24"/>
        <v>5</v>
      </c>
      <c r="O449" t="str">
        <f xml:space="preserve"> IF(AND(Table1[[#This Row],[Actual_Lead_Time]] &lt;= Table1[[#This Row],[Standard_Lead_Time]], OR(ISBLANK(J449), J449 = 0)), "OTIF", "Non-OTIF")</f>
        <v>Non-OTIF</v>
      </c>
      <c r="P449">
        <f>IF(Table1[[#This Row],[OTIF_Status]] = "OTIF", 1, 0)</f>
        <v>0</v>
      </c>
      <c r="Q449" s="5">
        <f t="shared" si="25"/>
        <v>9458.8799999999992</v>
      </c>
      <c r="R449" s="5">
        <f t="shared" si="26"/>
        <v>8219.8799999999992</v>
      </c>
      <c r="S449" s="5">
        <f>Table1[[#This Row],[Total_Line_Spend]]-Table1[[#This Row],[Negotiated_Total]]</f>
        <v>1239</v>
      </c>
      <c r="T449" t="str">
        <f xml:space="preserve"> IF(Table1[[#This Row],[Delay_Days]] &gt; 4, "High Risk", IF(Table1[[#This Row],[Delay_Days]] &gt; 0, "Medium Risk", "Low Risk"))</f>
        <v>High Risk</v>
      </c>
    </row>
    <row r="450" spans="1:20" x14ac:dyDescent="0.25">
      <c r="A450" t="s">
        <v>475</v>
      </c>
      <c r="B450" t="s">
        <v>805</v>
      </c>
      <c r="C450" s="1">
        <v>44928</v>
      </c>
      <c r="D450" s="1">
        <v>44933</v>
      </c>
      <c r="E450" t="s">
        <v>24</v>
      </c>
      <c r="F450" t="s">
        <v>18</v>
      </c>
      <c r="G450">
        <v>1589</v>
      </c>
      <c r="H450" s="5">
        <v>55.64</v>
      </c>
      <c r="I450" s="5">
        <v>48.52</v>
      </c>
      <c r="K450" t="s">
        <v>15</v>
      </c>
      <c r="L450">
        <f t="shared" si="27"/>
        <v>5</v>
      </c>
      <c r="M450">
        <v>11</v>
      </c>
      <c r="N450">
        <f t="shared" ref="N450:N513" si="28">MAX(0, L450-M450)</f>
        <v>0</v>
      </c>
      <c r="O450" t="str">
        <f xml:space="preserve"> IF(AND(Table1[[#This Row],[Actual_Lead_Time]] &lt;= Table1[[#This Row],[Standard_Lead_Time]], OR(ISBLANK(J450), J450 = 0)), "OTIF", "Non-OTIF")</f>
        <v>OTIF</v>
      </c>
      <c r="P450">
        <f>IF(Table1[[#This Row],[OTIF_Status]] = "OTIF", 1, 0)</f>
        <v>1</v>
      </c>
      <c r="Q450" s="5">
        <f t="shared" ref="Q450:Q513" si="29" xml:space="preserve"> IFERROR(G450 * H450, 0)</f>
        <v>88411.96</v>
      </c>
      <c r="R450" s="5">
        <f t="shared" ref="R450:R513" si="30" xml:space="preserve"> IFERROR(G450 * I450, 0)</f>
        <v>77098.28</v>
      </c>
      <c r="S450" s="5">
        <f>Table1[[#This Row],[Total_Line_Spend]]-Table1[[#This Row],[Negotiated_Total]]</f>
        <v>11313.680000000008</v>
      </c>
      <c r="T450" t="str">
        <f xml:space="preserve"> IF(Table1[[#This Row],[Delay_Days]] &gt; 4, "High Risk", IF(Table1[[#This Row],[Delay_Days]] &gt; 0, "Medium Risk", "Low Risk"))</f>
        <v>Low Risk</v>
      </c>
    </row>
    <row r="451" spans="1:20" x14ac:dyDescent="0.25">
      <c r="A451" t="s">
        <v>476</v>
      </c>
      <c r="B451" t="s">
        <v>804</v>
      </c>
      <c r="C451" s="1">
        <v>44777</v>
      </c>
      <c r="D451" s="1">
        <v>44787</v>
      </c>
      <c r="E451" t="s">
        <v>13</v>
      </c>
      <c r="F451" t="s">
        <v>18</v>
      </c>
      <c r="G451">
        <v>596</v>
      </c>
      <c r="H451" s="5">
        <v>62.96</v>
      </c>
      <c r="I451" s="5">
        <v>61.88</v>
      </c>
      <c r="J451">
        <v>9</v>
      </c>
      <c r="K451" t="s">
        <v>15</v>
      </c>
      <c r="L451">
        <f t="shared" ref="L451:L514" si="31" xml:space="preserve"> INT(D451) - INT(C451)</f>
        <v>10</v>
      </c>
      <c r="M451">
        <v>11</v>
      </c>
      <c r="N451">
        <f t="shared" si="28"/>
        <v>0</v>
      </c>
      <c r="O451" t="str">
        <f xml:space="preserve"> IF(AND(Table1[[#This Row],[Actual_Lead_Time]] &lt;= Table1[[#This Row],[Standard_Lead_Time]], OR(ISBLANK(J451), J451 = 0)), "OTIF", "Non-OTIF")</f>
        <v>Non-OTIF</v>
      </c>
      <c r="P451">
        <f>IF(Table1[[#This Row],[OTIF_Status]] = "OTIF", 1, 0)</f>
        <v>0</v>
      </c>
      <c r="Q451" s="5">
        <f t="shared" si="29"/>
        <v>37524.160000000003</v>
      </c>
      <c r="R451" s="5">
        <f t="shared" si="30"/>
        <v>36880.480000000003</v>
      </c>
      <c r="S451" s="5">
        <f>Table1[[#This Row],[Total_Line_Spend]]-Table1[[#This Row],[Negotiated_Total]]</f>
        <v>643.68000000000029</v>
      </c>
      <c r="T451" t="str">
        <f xml:space="preserve"> IF(Table1[[#This Row],[Delay_Days]] &gt; 4, "High Risk", IF(Table1[[#This Row],[Delay_Days]] &gt; 0, "Medium Risk", "Low Risk"))</f>
        <v>Low Risk</v>
      </c>
    </row>
    <row r="452" spans="1:20" x14ac:dyDescent="0.25">
      <c r="A452" t="s">
        <v>477</v>
      </c>
      <c r="B452" t="s">
        <v>808</v>
      </c>
      <c r="C452" s="1">
        <v>45260</v>
      </c>
      <c r="D452" s="1">
        <v>45264</v>
      </c>
      <c r="E452" t="s">
        <v>13</v>
      </c>
      <c r="F452" t="s">
        <v>18</v>
      </c>
      <c r="G452">
        <v>1265</v>
      </c>
      <c r="H452" s="5">
        <v>17.66</v>
      </c>
      <c r="I452" s="5">
        <v>16.97</v>
      </c>
      <c r="J452">
        <v>34</v>
      </c>
      <c r="K452" t="s">
        <v>15</v>
      </c>
      <c r="L452">
        <f t="shared" si="31"/>
        <v>4</v>
      </c>
      <c r="M452">
        <v>11</v>
      </c>
      <c r="N452">
        <f t="shared" si="28"/>
        <v>0</v>
      </c>
      <c r="O452" t="str">
        <f xml:space="preserve"> IF(AND(Table1[[#This Row],[Actual_Lead_Time]] &lt;= Table1[[#This Row],[Standard_Lead_Time]], OR(ISBLANK(J452), J452 = 0)), "OTIF", "Non-OTIF")</f>
        <v>Non-OTIF</v>
      </c>
      <c r="P452">
        <f>IF(Table1[[#This Row],[OTIF_Status]] = "OTIF", 1, 0)</f>
        <v>0</v>
      </c>
      <c r="Q452" s="5">
        <f t="shared" si="29"/>
        <v>22339.9</v>
      </c>
      <c r="R452" s="5">
        <f t="shared" si="30"/>
        <v>21467.05</v>
      </c>
      <c r="S452" s="5">
        <f>Table1[[#This Row],[Total_Line_Spend]]-Table1[[#This Row],[Negotiated_Total]]</f>
        <v>872.85000000000218</v>
      </c>
      <c r="T452" t="str">
        <f xml:space="preserve"> IF(Table1[[#This Row],[Delay_Days]] &gt; 4, "High Risk", IF(Table1[[#This Row],[Delay_Days]] &gt; 0, "Medium Risk", "Low Risk"))</f>
        <v>Low Risk</v>
      </c>
    </row>
    <row r="453" spans="1:20" x14ac:dyDescent="0.25">
      <c r="A453" t="s">
        <v>478</v>
      </c>
      <c r="B453" t="s">
        <v>807</v>
      </c>
      <c r="C453" s="1">
        <v>44817</v>
      </c>
      <c r="D453" s="1">
        <v>44835</v>
      </c>
      <c r="E453" t="s">
        <v>26</v>
      </c>
      <c r="F453" t="s">
        <v>18</v>
      </c>
      <c r="G453">
        <v>1122</v>
      </c>
      <c r="H453" s="5">
        <v>82.99</v>
      </c>
      <c r="I453" s="5">
        <v>81.7</v>
      </c>
      <c r="J453">
        <v>118</v>
      </c>
      <c r="K453" t="s">
        <v>27</v>
      </c>
      <c r="L453">
        <f t="shared" si="31"/>
        <v>18</v>
      </c>
      <c r="M453">
        <v>11</v>
      </c>
      <c r="N453">
        <f t="shared" si="28"/>
        <v>7</v>
      </c>
      <c r="O453" t="str">
        <f xml:space="preserve"> IF(AND(Table1[[#This Row],[Actual_Lead_Time]] &lt;= Table1[[#This Row],[Standard_Lead_Time]], OR(ISBLANK(J453), J453 = 0)), "OTIF", "Non-OTIF")</f>
        <v>Non-OTIF</v>
      </c>
      <c r="P453">
        <f>IF(Table1[[#This Row],[OTIF_Status]] = "OTIF", 1, 0)</f>
        <v>0</v>
      </c>
      <c r="Q453" s="5">
        <f t="shared" si="29"/>
        <v>93114.78</v>
      </c>
      <c r="R453" s="5">
        <f t="shared" si="30"/>
        <v>91667.400000000009</v>
      </c>
      <c r="S453" s="5">
        <f>Table1[[#This Row],[Total_Line_Spend]]-Table1[[#This Row],[Negotiated_Total]]</f>
        <v>1447.3799999999901</v>
      </c>
      <c r="T453" t="str">
        <f xml:space="preserve"> IF(Table1[[#This Row],[Delay_Days]] &gt; 4, "High Risk", IF(Table1[[#This Row],[Delay_Days]] &gt; 0, "Medium Risk", "Low Risk"))</f>
        <v>High Risk</v>
      </c>
    </row>
    <row r="454" spans="1:20" x14ac:dyDescent="0.25">
      <c r="A454" t="s">
        <v>479</v>
      </c>
      <c r="B454" t="s">
        <v>808</v>
      </c>
      <c r="C454" s="1">
        <v>45244</v>
      </c>
      <c r="D454" s="1">
        <v>45261</v>
      </c>
      <c r="E454" t="s">
        <v>13</v>
      </c>
      <c r="F454" t="s">
        <v>18</v>
      </c>
      <c r="G454">
        <v>1585</v>
      </c>
      <c r="H454" s="5">
        <v>56.38</v>
      </c>
      <c r="I454" s="5">
        <v>53.05</v>
      </c>
      <c r="K454" t="s">
        <v>15</v>
      </c>
      <c r="L454">
        <f t="shared" si="31"/>
        <v>17</v>
      </c>
      <c r="M454">
        <v>11</v>
      </c>
      <c r="N454">
        <f t="shared" si="28"/>
        <v>6</v>
      </c>
      <c r="O454" t="str">
        <f xml:space="preserve"> IF(AND(Table1[[#This Row],[Actual_Lead_Time]] &lt;= Table1[[#This Row],[Standard_Lead_Time]], OR(ISBLANK(J454), J454 = 0)), "OTIF", "Non-OTIF")</f>
        <v>Non-OTIF</v>
      </c>
      <c r="P454">
        <f>IF(Table1[[#This Row],[OTIF_Status]] = "OTIF", 1, 0)</f>
        <v>0</v>
      </c>
      <c r="Q454" s="5">
        <f t="shared" si="29"/>
        <v>89362.3</v>
      </c>
      <c r="R454" s="5">
        <f t="shared" si="30"/>
        <v>84084.25</v>
      </c>
      <c r="S454" s="5">
        <f>Table1[[#This Row],[Total_Line_Spend]]-Table1[[#This Row],[Negotiated_Total]]</f>
        <v>5278.0500000000029</v>
      </c>
      <c r="T454" t="str">
        <f xml:space="preserve"> IF(Table1[[#This Row],[Delay_Days]] &gt; 4, "High Risk", IF(Table1[[#This Row],[Delay_Days]] &gt; 0, "Medium Risk", "Low Risk"))</f>
        <v>High Risk</v>
      </c>
    </row>
    <row r="455" spans="1:20" x14ac:dyDescent="0.25">
      <c r="A455" t="s">
        <v>480</v>
      </c>
      <c r="B455" t="s">
        <v>808</v>
      </c>
      <c r="C455" s="1">
        <v>44667</v>
      </c>
      <c r="D455" s="1">
        <v>44678</v>
      </c>
      <c r="E455" t="s">
        <v>39</v>
      </c>
      <c r="F455" t="s">
        <v>18</v>
      </c>
      <c r="G455">
        <v>66</v>
      </c>
      <c r="H455" s="5">
        <v>58.05</v>
      </c>
      <c r="I455" s="5">
        <v>50.76</v>
      </c>
      <c r="K455" t="s">
        <v>15</v>
      </c>
      <c r="L455">
        <f t="shared" si="31"/>
        <v>11</v>
      </c>
      <c r="M455">
        <v>11</v>
      </c>
      <c r="N455">
        <f t="shared" si="28"/>
        <v>0</v>
      </c>
      <c r="O455" t="str">
        <f xml:space="preserve"> IF(AND(Table1[[#This Row],[Actual_Lead_Time]] &lt;= Table1[[#This Row],[Standard_Lead_Time]], OR(ISBLANK(J455), J455 = 0)), "OTIF", "Non-OTIF")</f>
        <v>OTIF</v>
      </c>
      <c r="P455">
        <f>IF(Table1[[#This Row],[OTIF_Status]] = "OTIF", 1, 0)</f>
        <v>1</v>
      </c>
      <c r="Q455" s="5">
        <f t="shared" si="29"/>
        <v>3831.2999999999997</v>
      </c>
      <c r="R455" s="5">
        <f t="shared" si="30"/>
        <v>3350.16</v>
      </c>
      <c r="S455" s="5">
        <f>Table1[[#This Row],[Total_Line_Spend]]-Table1[[#This Row],[Negotiated_Total]]</f>
        <v>481.13999999999987</v>
      </c>
      <c r="T455" t="str">
        <f xml:space="preserve"> IF(Table1[[#This Row],[Delay_Days]] &gt; 4, "High Risk", IF(Table1[[#This Row],[Delay_Days]] &gt; 0, "Medium Risk", "Low Risk"))</f>
        <v>Low Risk</v>
      </c>
    </row>
    <row r="456" spans="1:20" x14ac:dyDescent="0.25">
      <c r="A456" t="s">
        <v>481</v>
      </c>
      <c r="B456" t="s">
        <v>807</v>
      </c>
      <c r="C456" s="1">
        <v>44924</v>
      </c>
      <c r="D456" s="1">
        <v>44944</v>
      </c>
      <c r="E456" t="s">
        <v>21</v>
      </c>
      <c r="F456" t="s">
        <v>18</v>
      </c>
      <c r="G456">
        <v>1245</v>
      </c>
      <c r="H456" s="5">
        <v>52.4</v>
      </c>
      <c r="I456" s="5">
        <v>51.65</v>
      </c>
      <c r="J456">
        <v>118</v>
      </c>
      <c r="K456" t="s">
        <v>27</v>
      </c>
      <c r="L456">
        <f t="shared" si="31"/>
        <v>20</v>
      </c>
      <c r="M456">
        <v>11</v>
      </c>
      <c r="N456">
        <f t="shared" si="28"/>
        <v>9</v>
      </c>
      <c r="O456" t="str">
        <f xml:space="preserve"> IF(AND(Table1[[#This Row],[Actual_Lead_Time]] &lt;= Table1[[#This Row],[Standard_Lead_Time]], OR(ISBLANK(J456), J456 = 0)), "OTIF", "Non-OTIF")</f>
        <v>Non-OTIF</v>
      </c>
      <c r="P456">
        <f>IF(Table1[[#This Row],[OTIF_Status]] = "OTIF", 1, 0)</f>
        <v>0</v>
      </c>
      <c r="Q456" s="5">
        <f t="shared" si="29"/>
        <v>65238</v>
      </c>
      <c r="R456" s="5">
        <f t="shared" si="30"/>
        <v>64304.25</v>
      </c>
      <c r="S456" s="5">
        <f>Table1[[#This Row],[Total_Line_Spend]]-Table1[[#This Row],[Negotiated_Total]]</f>
        <v>933.75</v>
      </c>
      <c r="T456" t="str">
        <f xml:space="preserve"> IF(Table1[[#This Row],[Delay_Days]] &gt; 4, "High Risk", IF(Table1[[#This Row],[Delay_Days]] &gt; 0, "Medium Risk", "Low Risk"))</f>
        <v>High Risk</v>
      </c>
    </row>
    <row r="457" spans="1:20" x14ac:dyDescent="0.25">
      <c r="A457" t="s">
        <v>482</v>
      </c>
      <c r="B457" t="s">
        <v>805</v>
      </c>
      <c r="C457" s="1">
        <v>45135</v>
      </c>
      <c r="D457" s="1">
        <v>45148</v>
      </c>
      <c r="E457" t="s">
        <v>39</v>
      </c>
      <c r="F457" t="s">
        <v>18</v>
      </c>
      <c r="G457">
        <v>1293</v>
      </c>
      <c r="H457" s="5">
        <v>50.21</v>
      </c>
      <c r="I457" s="5">
        <v>47.55</v>
      </c>
      <c r="K457" t="s">
        <v>27</v>
      </c>
      <c r="L457">
        <f t="shared" si="31"/>
        <v>13</v>
      </c>
      <c r="M457">
        <v>11</v>
      </c>
      <c r="N457">
        <f t="shared" si="28"/>
        <v>2</v>
      </c>
      <c r="O457" t="str">
        <f xml:space="preserve"> IF(AND(Table1[[#This Row],[Actual_Lead_Time]] &lt;= Table1[[#This Row],[Standard_Lead_Time]], OR(ISBLANK(J457), J457 = 0)), "OTIF", "Non-OTIF")</f>
        <v>Non-OTIF</v>
      </c>
      <c r="P457">
        <f>IF(Table1[[#This Row],[OTIF_Status]] = "OTIF", 1, 0)</f>
        <v>0</v>
      </c>
      <c r="Q457" s="5">
        <f t="shared" si="29"/>
        <v>64921.53</v>
      </c>
      <c r="R457" s="5">
        <f t="shared" si="30"/>
        <v>61482.149999999994</v>
      </c>
      <c r="S457" s="5">
        <f>Table1[[#This Row],[Total_Line_Spend]]-Table1[[#This Row],[Negotiated_Total]]</f>
        <v>3439.3800000000047</v>
      </c>
      <c r="T457" t="str">
        <f xml:space="preserve"> IF(Table1[[#This Row],[Delay_Days]] &gt; 4, "High Risk", IF(Table1[[#This Row],[Delay_Days]] &gt; 0, "Medium Risk", "Low Risk"))</f>
        <v>Medium Risk</v>
      </c>
    </row>
    <row r="458" spans="1:20" x14ac:dyDescent="0.25">
      <c r="A458" t="s">
        <v>483</v>
      </c>
      <c r="B458" t="s">
        <v>807</v>
      </c>
      <c r="C458" s="1">
        <v>44978</v>
      </c>
      <c r="D458" s="1">
        <v>44984</v>
      </c>
      <c r="E458" t="s">
        <v>24</v>
      </c>
      <c r="F458" t="s">
        <v>18</v>
      </c>
      <c r="G458">
        <v>207</v>
      </c>
      <c r="H458" s="5">
        <v>64.290000000000006</v>
      </c>
      <c r="I458" s="5">
        <v>63.01</v>
      </c>
      <c r="J458">
        <v>25</v>
      </c>
      <c r="K458" t="s">
        <v>15</v>
      </c>
      <c r="L458">
        <f t="shared" si="31"/>
        <v>6</v>
      </c>
      <c r="M458">
        <v>11</v>
      </c>
      <c r="N458">
        <f t="shared" si="28"/>
        <v>0</v>
      </c>
      <c r="O458" t="str">
        <f xml:space="preserve"> IF(AND(Table1[[#This Row],[Actual_Lead_Time]] &lt;= Table1[[#This Row],[Standard_Lead_Time]], OR(ISBLANK(J458), J458 = 0)), "OTIF", "Non-OTIF")</f>
        <v>Non-OTIF</v>
      </c>
      <c r="P458">
        <f>IF(Table1[[#This Row],[OTIF_Status]] = "OTIF", 1, 0)</f>
        <v>0</v>
      </c>
      <c r="Q458" s="5">
        <f t="shared" si="29"/>
        <v>13308.03</v>
      </c>
      <c r="R458" s="5">
        <f t="shared" si="30"/>
        <v>13043.07</v>
      </c>
      <c r="S458" s="5">
        <f>Table1[[#This Row],[Total_Line_Spend]]-Table1[[#This Row],[Negotiated_Total]]</f>
        <v>264.96000000000095</v>
      </c>
      <c r="T458" t="str">
        <f xml:space="preserve"> IF(Table1[[#This Row],[Delay_Days]] &gt; 4, "High Risk", IF(Table1[[#This Row],[Delay_Days]] &gt; 0, "Medium Risk", "Low Risk"))</f>
        <v>Low Risk</v>
      </c>
    </row>
    <row r="459" spans="1:20" x14ac:dyDescent="0.25">
      <c r="A459" t="s">
        <v>484</v>
      </c>
      <c r="B459" t="s">
        <v>807</v>
      </c>
      <c r="C459" s="1">
        <v>45197</v>
      </c>
      <c r="D459" s="1">
        <v>45217</v>
      </c>
      <c r="E459" t="s">
        <v>13</v>
      </c>
      <c r="F459" t="s">
        <v>18</v>
      </c>
      <c r="G459">
        <v>526</v>
      </c>
      <c r="H459" s="5">
        <v>26.37</v>
      </c>
      <c r="I459" s="5">
        <v>25.32</v>
      </c>
      <c r="J459">
        <v>47</v>
      </c>
      <c r="K459" t="s">
        <v>15</v>
      </c>
      <c r="L459">
        <f t="shared" si="31"/>
        <v>20</v>
      </c>
      <c r="M459">
        <v>11</v>
      </c>
      <c r="N459">
        <f t="shared" si="28"/>
        <v>9</v>
      </c>
      <c r="O459" t="str">
        <f xml:space="preserve"> IF(AND(Table1[[#This Row],[Actual_Lead_Time]] &lt;= Table1[[#This Row],[Standard_Lead_Time]], OR(ISBLANK(J459), J459 = 0)), "OTIF", "Non-OTIF")</f>
        <v>Non-OTIF</v>
      </c>
      <c r="P459">
        <f>IF(Table1[[#This Row],[OTIF_Status]] = "OTIF", 1, 0)</f>
        <v>0</v>
      </c>
      <c r="Q459" s="5">
        <f t="shared" si="29"/>
        <v>13870.62</v>
      </c>
      <c r="R459" s="5">
        <f t="shared" si="30"/>
        <v>13318.32</v>
      </c>
      <c r="S459" s="5">
        <f>Table1[[#This Row],[Total_Line_Spend]]-Table1[[#This Row],[Negotiated_Total]]</f>
        <v>552.30000000000109</v>
      </c>
      <c r="T459" t="str">
        <f xml:space="preserve"> IF(Table1[[#This Row],[Delay_Days]] &gt; 4, "High Risk", IF(Table1[[#This Row],[Delay_Days]] &gt; 0, "Medium Risk", "Low Risk"))</f>
        <v>High Risk</v>
      </c>
    </row>
    <row r="460" spans="1:20" x14ac:dyDescent="0.25">
      <c r="A460" t="s">
        <v>485</v>
      </c>
      <c r="B460" t="s">
        <v>806</v>
      </c>
      <c r="C460" s="1">
        <v>44720</v>
      </c>
      <c r="D460" s="1">
        <v>44726</v>
      </c>
      <c r="E460" t="s">
        <v>39</v>
      </c>
      <c r="F460" t="s">
        <v>18</v>
      </c>
      <c r="G460">
        <v>1119</v>
      </c>
      <c r="H460" s="5">
        <v>27.03</v>
      </c>
      <c r="I460" s="5">
        <v>23.82</v>
      </c>
      <c r="K460" t="s">
        <v>15</v>
      </c>
      <c r="L460">
        <f t="shared" si="31"/>
        <v>6</v>
      </c>
      <c r="M460">
        <v>11</v>
      </c>
      <c r="N460">
        <f t="shared" si="28"/>
        <v>0</v>
      </c>
      <c r="O460" t="str">
        <f xml:space="preserve"> IF(AND(Table1[[#This Row],[Actual_Lead_Time]] &lt;= Table1[[#This Row],[Standard_Lead_Time]], OR(ISBLANK(J460), J460 = 0)), "OTIF", "Non-OTIF")</f>
        <v>OTIF</v>
      </c>
      <c r="P460">
        <f>IF(Table1[[#This Row],[OTIF_Status]] = "OTIF", 1, 0)</f>
        <v>1</v>
      </c>
      <c r="Q460" s="5">
        <f t="shared" si="29"/>
        <v>30246.57</v>
      </c>
      <c r="R460" s="5">
        <f t="shared" si="30"/>
        <v>26654.58</v>
      </c>
      <c r="S460" s="5">
        <f>Table1[[#This Row],[Total_Line_Spend]]-Table1[[#This Row],[Negotiated_Total]]</f>
        <v>3591.989999999998</v>
      </c>
      <c r="T460" t="str">
        <f xml:space="preserve"> IF(Table1[[#This Row],[Delay_Days]] &gt; 4, "High Risk", IF(Table1[[#This Row],[Delay_Days]] &gt; 0, "Medium Risk", "Low Risk"))</f>
        <v>Low Risk</v>
      </c>
    </row>
    <row r="461" spans="1:20" x14ac:dyDescent="0.25">
      <c r="A461" t="s">
        <v>486</v>
      </c>
      <c r="B461" t="s">
        <v>806</v>
      </c>
      <c r="C461" s="1">
        <v>44804</v>
      </c>
      <c r="D461" s="1">
        <v>44806</v>
      </c>
      <c r="E461" t="s">
        <v>24</v>
      </c>
      <c r="F461" t="s">
        <v>18</v>
      </c>
      <c r="G461">
        <v>1446</v>
      </c>
      <c r="H461" s="5">
        <v>90.63</v>
      </c>
      <c r="I461" s="5">
        <v>84.51</v>
      </c>
      <c r="J461">
        <v>77</v>
      </c>
      <c r="K461" t="s">
        <v>15</v>
      </c>
      <c r="L461">
        <f t="shared" si="31"/>
        <v>2</v>
      </c>
      <c r="M461">
        <v>11</v>
      </c>
      <c r="N461">
        <f t="shared" si="28"/>
        <v>0</v>
      </c>
      <c r="O461" t="str">
        <f xml:space="preserve"> IF(AND(Table1[[#This Row],[Actual_Lead_Time]] &lt;= Table1[[#This Row],[Standard_Lead_Time]], OR(ISBLANK(J461), J461 = 0)), "OTIF", "Non-OTIF")</f>
        <v>Non-OTIF</v>
      </c>
      <c r="P461">
        <f>IF(Table1[[#This Row],[OTIF_Status]] = "OTIF", 1, 0)</f>
        <v>0</v>
      </c>
      <c r="Q461" s="5">
        <f t="shared" si="29"/>
        <v>131050.98</v>
      </c>
      <c r="R461" s="5">
        <f t="shared" si="30"/>
        <v>122201.46</v>
      </c>
      <c r="S461" s="5">
        <f>Table1[[#This Row],[Total_Line_Spend]]-Table1[[#This Row],[Negotiated_Total]]</f>
        <v>8849.5199999999895</v>
      </c>
      <c r="T461" t="str">
        <f xml:space="preserve"> IF(Table1[[#This Row],[Delay_Days]] &gt; 4, "High Risk", IF(Table1[[#This Row],[Delay_Days]] &gt; 0, "Medium Risk", "Low Risk"))</f>
        <v>Low Risk</v>
      </c>
    </row>
    <row r="462" spans="1:20" x14ac:dyDescent="0.25">
      <c r="A462" t="s">
        <v>487</v>
      </c>
      <c r="B462" t="s">
        <v>806</v>
      </c>
      <c r="C462" s="1">
        <v>44728</v>
      </c>
      <c r="D462" s="1">
        <v>44736</v>
      </c>
      <c r="E462" t="s">
        <v>13</v>
      </c>
      <c r="F462" t="s">
        <v>18</v>
      </c>
      <c r="G462">
        <v>567</v>
      </c>
      <c r="H462" s="5">
        <v>97.53</v>
      </c>
      <c r="I462" s="5">
        <v>85.29</v>
      </c>
      <c r="J462">
        <v>21</v>
      </c>
      <c r="K462" t="s">
        <v>15</v>
      </c>
      <c r="L462">
        <f t="shared" si="31"/>
        <v>8</v>
      </c>
      <c r="M462">
        <v>11</v>
      </c>
      <c r="N462">
        <f t="shared" si="28"/>
        <v>0</v>
      </c>
      <c r="O462" t="str">
        <f xml:space="preserve"> IF(AND(Table1[[#This Row],[Actual_Lead_Time]] &lt;= Table1[[#This Row],[Standard_Lead_Time]], OR(ISBLANK(J462), J462 = 0)), "OTIF", "Non-OTIF")</f>
        <v>Non-OTIF</v>
      </c>
      <c r="P462">
        <f>IF(Table1[[#This Row],[OTIF_Status]] = "OTIF", 1, 0)</f>
        <v>0</v>
      </c>
      <c r="Q462" s="5">
        <f t="shared" si="29"/>
        <v>55299.51</v>
      </c>
      <c r="R462" s="5">
        <f t="shared" si="30"/>
        <v>48359.43</v>
      </c>
      <c r="S462" s="5">
        <f>Table1[[#This Row],[Total_Line_Spend]]-Table1[[#This Row],[Negotiated_Total]]</f>
        <v>6940.0800000000017</v>
      </c>
      <c r="T462" t="str">
        <f xml:space="preserve"> IF(Table1[[#This Row],[Delay_Days]] &gt; 4, "High Risk", IF(Table1[[#This Row],[Delay_Days]] &gt; 0, "Medium Risk", "Low Risk"))</f>
        <v>Low Risk</v>
      </c>
    </row>
    <row r="463" spans="1:20" x14ac:dyDescent="0.25">
      <c r="A463" t="s">
        <v>488</v>
      </c>
      <c r="B463" t="s">
        <v>805</v>
      </c>
      <c r="C463" s="1">
        <v>44743</v>
      </c>
      <c r="D463" s="1">
        <v>44754</v>
      </c>
      <c r="E463" t="s">
        <v>21</v>
      </c>
      <c r="F463" t="s">
        <v>18</v>
      </c>
      <c r="G463">
        <v>148</v>
      </c>
      <c r="H463" s="5">
        <v>44.91</v>
      </c>
      <c r="I463" s="5">
        <v>40.1</v>
      </c>
      <c r="K463" t="s">
        <v>27</v>
      </c>
      <c r="L463">
        <f t="shared" si="31"/>
        <v>11</v>
      </c>
      <c r="M463">
        <v>11</v>
      </c>
      <c r="N463">
        <f t="shared" si="28"/>
        <v>0</v>
      </c>
      <c r="O463" t="str">
        <f xml:space="preserve"> IF(AND(Table1[[#This Row],[Actual_Lead_Time]] &lt;= Table1[[#This Row],[Standard_Lead_Time]], OR(ISBLANK(J463), J463 = 0)), "OTIF", "Non-OTIF")</f>
        <v>OTIF</v>
      </c>
      <c r="P463">
        <f>IF(Table1[[#This Row],[OTIF_Status]] = "OTIF", 1, 0)</f>
        <v>1</v>
      </c>
      <c r="Q463" s="5">
        <f t="shared" si="29"/>
        <v>6646.6799999999994</v>
      </c>
      <c r="R463" s="5">
        <f t="shared" si="30"/>
        <v>5934.8</v>
      </c>
      <c r="S463" s="5">
        <f>Table1[[#This Row],[Total_Line_Spend]]-Table1[[#This Row],[Negotiated_Total]]</f>
        <v>711.8799999999992</v>
      </c>
      <c r="T463" t="str">
        <f xml:space="preserve"> IF(Table1[[#This Row],[Delay_Days]] &gt; 4, "High Risk", IF(Table1[[#This Row],[Delay_Days]] &gt; 0, "Medium Risk", "Low Risk"))</f>
        <v>Low Risk</v>
      </c>
    </row>
    <row r="464" spans="1:20" x14ac:dyDescent="0.25">
      <c r="A464" t="s">
        <v>489</v>
      </c>
      <c r="B464" t="s">
        <v>807</v>
      </c>
      <c r="C464" s="1">
        <v>44984</v>
      </c>
      <c r="D464" s="1">
        <v>44999</v>
      </c>
      <c r="E464" t="s">
        <v>21</v>
      </c>
      <c r="F464" t="s">
        <v>35</v>
      </c>
      <c r="G464">
        <v>1965</v>
      </c>
      <c r="H464" s="5">
        <v>36.6</v>
      </c>
      <c r="I464" s="5">
        <v>34.64</v>
      </c>
      <c r="J464">
        <v>195</v>
      </c>
      <c r="K464" t="s">
        <v>15</v>
      </c>
      <c r="L464">
        <f t="shared" si="31"/>
        <v>15</v>
      </c>
      <c r="M464">
        <v>11</v>
      </c>
      <c r="N464">
        <f t="shared" si="28"/>
        <v>4</v>
      </c>
      <c r="O464" t="str">
        <f xml:space="preserve"> IF(AND(Table1[[#This Row],[Actual_Lead_Time]] &lt;= Table1[[#This Row],[Standard_Lead_Time]], OR(ISBLANK(J464), J464 = 0)), "OTIF", "Non-OTIF")</f>
        <v>Non-OTIF</v>
      </c>
      <c r="P464">
        <f>IF(Table1[[#This Row],[OTIF_Status]] = "OTIF", 1, 0)</f>
        <v>0</v>
      </c>
      <c r="Q464" s="5">
        <f t="shared" si="29"/>
        <v>71919</v>
      </c>
      <c r="R464" s="5">
        <f t="shared" si="30"/>
        <v>68067.600000000006</v>
      </c>
      <c r="S464" s="5">
        <f>Table1[[#This Row],[Total_Line_Spend]]-Table1[[#This Row],[Negotiated_Total]]</f>
        <v>3851.3999999999942</v>
      </c>
      <c r="T464" t="str">
        <f xml:space="preserve"> IF(Table1[[#This Row],[Delay_Days]] &gt; 4, "High Risk", IF(Table1[[#This Row],[Delay_Days]] &gt; 0, "Medium Risk", "Low Risk"))</f>
        <v>Medium Risk</v>
      </c>
    </row>
    <row r="465" spans="1:20" x14ac:dyDescent="0.25">
      <c r="A465" t="s">
        <v>490</v>
      </c>
      <c r="B465" t="s">
        <v>804</v>
      </c>
      <c r="C465" s="1">
        <v>44587</v>
      </c>
      <c r="D465" s="1">
        <v>44595</v>
      </c>
      <c r="E465" t="s">
        <v>13</v>
      </c>
      <c r="F465" t="s">
        <v>35</v>
      </c>
      <c r="G465">
        <v>1818</v>
      </c>
      <c r="H465" s="5">
        <v>67.959999999999994</v>
      </c>
      <c r="I465" s="5">
        <v>58.98</v>
      </c>
      <c r="K465" t="s">
        <v>15</v>
      </c>
      <c r="L465">
        <f t="shared" si="31"/>
        <v>8</v>
      </c>
      <c r="M465">
        <v>11</v>
      </c>
      <c r="N465">
        <f t="shared" si="28"/>
        <v>0</v>
      </c>
      <c r="O465" t="str">
        <f xml:space="preserve"> IF(AND(Table1[[#This Row],[Actual_Lead_Time]] &lt;= Table1[[#This Row],[Standard_Lead_Time]], OR(ISBLANK(J465), J465 = 0)), "OTIF", "Non-OTIF")</f>
        <v>OTIF</v>
      </c>
      <c r="P465">
        <f>IF(Table1[[#This Row],[OTIF_Status]] = "OTIF", 1, 0)</f>
        <v>1</v>
      </c>
      <c r="Q465" s="5">
        <f t="shared" si="29"/>
        <v>123551.27999999998</v>
      </c>
      <c r="R465" s="5">
        <f t="shared" si="30"/>
        <v>107225.64</v>
      </c>
      <c r="S465" s="5">
        <f>Table1[[#This Row],[Total_Line_Spend]]-Table1[[#This Row],[Negotiated_Total]]</f>
        <v>16325.639999999985</v>
      </c>
      <c r="T465" t="str">
        <f xml:space="preserve"> IF(Table1[[#This Row],[Delay_Days]] &gt; 4, "High Risk", IF(Table1[[#This Row],[Delay_Days]] &gt; 0, "Medium Risk", "Low Risk"))</f>
        <v>Low Risk</v>
      </c>
    </row>
    <row r="466" spans="1:20" x14ac:dyDescent="0.25">
      <c r="A466" t="s">
        <v>491</v>
      </c>
      <c r="B466" t="s">
        <v>807</v>
      </c>
      <c r="C466" s="1">
        <v>44745</v>
      </c>
      <c r="D466" s="1">
        <v>44761</v>
      </c>
      <c r="E466" t="s">
        <v>21</v>
      </c>
      <c r="F466" t="s">
        <v>18</v>
      </c>
      <c r="G466">
        <v>1110</v>
      </c>
      <c r="H466" s="5">
        <v>48.19</v>
      </c>
      <c r="I466" s="5">
        <v>45.88</v>
      </c>
      <c r="J466">
        <v>112</v>
      </c>
      <c r="K466" t="s">
        <v>15</v>
      </c>
      <c r="L466">
        <f t="shared" si="31"/>
        <v>16</v>
      </c>
      <c r="M466">
        <v>11</v>
      </c>
      <c r="N466">
        <f t="shared" si="28"/>
        <v>5</v>
      </c>
      <c r="O466" t="str">
        <f xml:space="preserve"> IF(AND(Table1[[#This Row],[Actual_Lead_Time]] &lt;= Table1[[#This Row],[Standard_Lead_Time]], OR(ISBLANK(J466), J466 = 0)), "OTIF", "Non-OTIF")</f>
        <v>Non-OTIF</v>
      </c>
      <c r="P466">
        <f>IF(Table1[[#This Row],[OTIF_Status]] = "OTIF", 1, 0)</f>
        <v>0</v>
      </c>
      <c r="Q466" s="5">
        <f t="shared" si="29"/>
        <v>53490.899999999994</v>
      </c>
      <c r="R466" s="5">
        <f t="shared" si="30"/>
        <v>50926.8</v>
      </c>
      <c r="S466" s="5">
        <f>Table1[[#This Row],[Total_Line_Spend]]-Table1[[#This Row],[Negotiated_Total]]</f>
        <v>2564.0999999999913</v>
      </c>
      <c r="T466" t="str">
        <f xml:space="preserve"> IF(Table1[[#This Row],[Delay_Days]] &gt; 4, "High Risk", IF(Table1[[#This Row],[Delay_Days]] &gt; 0, "Medium Risk", "Low Risk"))</f>
        <v>High Risk</v>
      </c>
    </row>
    <row r="467" spans="1:20" x14ac:dyDescent="0.25">
      <c r="A467" t="s">
        <v>492</v>
      </c>
      <c r="B467" t="s">
        <v>805</v>
      </c>
      <c r="C467" s="1">
        <v>44902</v>
      </c>
      <c r="D467" s="1">
        <v>44913</v>
      </c>
      <c r="E467" t="s">
        <v>26</v>
      </c>
      <c r="F467" t="s">
        <v>18</v>
      </c>
      <c r="G467">
        <v>329</v>
      </c>
      <c r="H467" s="5">
        <v>12.96</v>
      </c>
      <c r="I467" s="5">
        <v>12.74</v>
      </c>
      <c r="J467">
        <v>48</v>
      </c>
      <c r="K467" t="s">
        <v>15</v>
      </c>
      <c r="L467">
        <f t="shared" si="31"/>
        <v>11</v>
      </c>
      <c r="M467">
        <v>11</v>
      </c>
      <c r="N467">
        <f t="shared" si="28"/>
        <v>0</v>
      </c>
      <c r="O467" t="str">
        <f xml:space="preserve"> IF(AND(Table1[[#This Row],[Actual_Lead_Time]] &lt;= Table1[[#This Row],[Standard_Lead_Time]], OR(ISBLANK(J467), J467 = 0)), "OTIF", "Non-OTIF")</f>
        <v>Non-OTIF</v>
      </c>
      <c r="P467">
        <f>IF(Table1[[#This Row],[OTIF_Status]] = "OTIF", 1, 0)</f>
        <v>0</v>
      </c>
      <c r="Q467" s="5">
        <f t="shared" si="29"/>
        <v>4263.84</v>
      </c>
      <c r="R467" s="5">
        <f t="shared" si="30"/>
        <v>4191.46</v>
      </c>
      <c r="S467" s="5">
        <f>Table1[[#This Row],[Total_Line_Spend]]-Table1[[#This Row],[Negotiated_Total]]</f>
        <v>72.380000000000109</v>
      </c>
      <c r="T467" t="str">
        <f xml:space="preserve"> IF(Table1[[#This Row],[Delay_Days]] &gt; 4, "High Risk", IF(Table1[[#This Row],[Delay_Days]] &gt; 0, "Medium Risk", "Low Risk"))</f>
        <v>Low Risk</v>
      </c>
    </row>
    <row r="468" spans="1:20" x14ac:dyDescent="0.25">
      <c r="A468" t="s">
        <v>493</v>
      </c>
      <c r="B468" t="s">
        <v>806</v>
      </c>
      <c r="C468" s="1">
        <v>44983</v>
      </c>
      <c r="D468" s="1">
        <v>45002</v>
      </c>
      <c r="E468" t="s">
        <v>13</v>
      </c>
      <c r="F468" t="s">
        <v>14</v>
      </c>
      <c r="G468">
        <v>1422</v>
      </c>
      <c r="H468" s="5">
        <v>25.62</v>
      </c>
      <c r="I468" s="5">
        <v>25.18</v>
      </c>
      <c r="J468">
        <v>65</v>
      </c>
      <c r="K468" t="s">
        <v>15</v>
      </c>
      <c r="L468">
        <f t="shared" si="31"/>
        <v>19</v>
      </c>
      <c r="M468">
        <v>11</v>
      </c>
      <c r="N468">
        <f t="shared" si="28"/>
        <v>8</v>
      </c>
      <c r="O468" t="str">
        <f xml:space="preserve"> IF(AND(Table1[[#This Row],[Actual_Lead_Time]] &lt;= Table1[[#This Row],[Standard_Lead_Time]], OR(ISBLANK(J468), J468 = 0)), "OTIF", "Non-OTIF")</f>
        <v>Non-OTIF</v>
      </c>
      <c r="P468">
        <f>IF(Table1[[#This Row],[OTIF_Status]] = "OTIF", 1, 0)</f>
        <v>0</v>
      </c>
      <c r="Q468" s="5">
        <f t="shared" si="29"/>
        <v>36431.64</v>
      </c>
      <c r="R468" s="5">
        <f t="shared" si="30"/>
        <v>35805.96</v>
      </c>
      <c r="S468" s="5">
        <f>Table1[[#This Row],[Total_Line_Spend]]-Table1[[#This Row],[Negotiated_Total]]</f>
        <v>625.68000000000029</v>
      </c>
      <c r="T468" t="str">
        <f xml:space="preserve"> IF(Table1[[#This Row],[Delay_Days]] &gt; 4, "High Risk", IF(Table1[[#This Row],[Delay_Days]] &gt; 0, "Medium Risk", "Low Risk"))</f>
        <v>High Risk</v>
      </c>
    </row>
    <row r="469" spans="1:20" x14ac:dyDescent="0.25">
      <c r="A469" t="s">
        <v>494</v>
      </c>
      <c r="B469" t="s">
        <v>805</v>
      </c>
      <c r="C469" s="1">
        <v>45247</v>
      </c>
      <c r="D469" s="1">
        <v>45258</v>
      </c>
      <c r="E469" t="s">
        <v>26</v>
      </c>
      <c r="F469" t="s">
        <v>18</v>
      </c>
      <c r="G469">
        <v>546</v>
      </c>
      <c r="H469" s="5">
        <v>82.63</v>
      </c>
      <c r="I469" s="5">
        <v>74.77</v>
      </c>
      <c r="J469">
        <v>76</v>
      </c>
      <c r="K469" t="s">
        <v>27</v>
      </c>
      <c r="L469">
        <f t="shared" si="31"/>
        <v>11</v>
      </c>
      <c r="M469">
        <v>11</v>
      </c>
      <c r="N469">
        <f t="shared" si="28"/>
        <v>0</v>
      </c>
      <c r="O469" t="str">
        <f xml:space="preserve"> IF(AND(Table1[[#This Row],[Actual_Lead_Time]] &lt;= Table1[[#This Row],[Standard_Lead_Time]], OR(ISBLANK(J469), J469 = 0)), "OTIF", "Non-OTIF")</f>
        <v>Non-OTIF</v>
      </c>
      <c r="P469">
        <f>IF(Table1[[#This Row],[OTIF_Status]] = "OTIF", 1, 0)</f>
        <v>0</v>
      </c>
      <c r="Q469" s="5">
        <f t="shared" si="29"/>
        <v>45115.979999999996</v>
      </c>
      <c r="R469" s="5">
        <f t="shared" si="30"/>
        <v>40824.42</v>
      </c>
      <c r="S469" s="5">
        <f>Table1[[#This Row],[Total_Line_Spend]]-Table1[[#This Row],[Negotiated_Total]]</f>
        <v>4291.5599999999977</v>
      </c>
      <c r="T469" t="str">
        <f xml:space="preserve"> IF(Table1[[#This Row],[Delay_Days]] &gt; 4, "High Risk", IF(Table1[[#This Row],[Delay_Days]] &gt; 0, "Medium Risk", "Low Risk"))</f>
        <v>Low Risk</v>
      </c>
    </row>
    <row r="470" spans="1:20" x14ac:dyDescent="0.25">
      <c r="A470" t="s">
        <v>495</v>
      </c>
      <c r="B470" t="s">
        <v>806</v>
      </c>
      <c r="C470" s="1">
        <v>44816</v>
      </c>
      <c r="D470" s="1">
        <v>44826</v>
      </c>
      <c r="E470" t="s">
        <v>13</v>
      </c>
      <c r="F470" t="s">
        <v>33</v>
      </c>
      <c r="G470">
        <v>351</v>
      </c>
      <c r="H470" s="5">
        <v>72.08</v>
      </c>
      <c r="I470" s="5">
        <v>71.3</v>
      </c>
      <c r="J470">
        <v>20</v>
      </c>
      <c r="K470" t="s">
        <v>15</v>
      </c>
      <c r="L470">
        <f t="shared" si="31"/>
        <v>10</v>
      </c>
      <c r="M470">
        <v>11</v>
      </c>
      <c r="N470">
        <f t="shared" si="28"/>
        <v>0</v>
      </c>
      <c r="O470" t="str">
        <f xml:space="preserve"> IF(AND(Table1[[#This Row],[Actual_Lead_Time]] &lt;= Table1[[#This Row],[Standard_Lead_Time]], OR(ISBLANK(J470), J470 = 0)), "OTIF", "Non-OTIF")</f>
        <v>Non-OTIF</v>
      </c>
      <c r="P470">
        <f>IF(Table1[[#This Row],[OTIF_Status]] = "OTIF", 1, 0)</f>
        <v>0</v>
      </c>
      <c r="Q470" s="5">
        <f t="shared" si="29"/>
        <v>25300.079999999998</v>
      </c>
      <c r="R470" s="5">
        <f t="shared" si="30"/>
        <v>25026.3</v>
      </c>
      <c r="S470" s="5">
        <f>Table1[[#This Row],[Total_Line_Spend]]-Table1[[#This Row],[Negotiated_Total]]</f>
        <v>273.77999999999884</v>
      </c>
      <c r="T470" t="str">
        <f xml:space="preserve"> IF(Table1[[#This Row],[Delay_Days]] &gt; 4, "High Risk", IF(Table1[[#This Row],[Delay_Days]] &gt; 0, "Medium Risk", "Low Risk"))</f>
        <v>Low Risk</v>
      </c>
    </row>
    <row r="471" spans="1:20" x14ac:dyDescent="0.25">
      <c r="A471" t="s">
        <v>496</v>
      </c>
      <c r="B471" t="s">
        <v>805</v>
      </c>
      <c r="C471" s="1">
        <v>44835</v>
      </c>
      <c r="D471" s="1">
        <v>44852</v>
      </c>
      <c r="E471" t="s">
        <v>26</v>
      </c>
      <c r="F471" t="s">
        <v>33</v>
      </c>
      <c r="G471">
        <v>230</v>
      </c>
      <c r="H471" s="5">
        <v>13</v>
      </c>
      <c r="I471" s="5">
        <v>12.81</v>
      </c>
      <c r="K471" t="s">
        <v>27</v>
      </c>
      <c r="L471">
        <f t="shared" si="31"/>
        <v>17</v>
      </c>
      <c r="M471">
        <v>11</v>
      </c>
      <c r="N471">
        <f t="shared" si="28"/>
        <v>6</v>
      </c>
      <c r="O471" t="str">
        <f xml:space="preserve"> IF(AND(Table1[[#This Row],[Actual_Lead_Time]] &lt;= Table1[[#This Row],[Standard_Lead_Time]], OR(ISBLANK(J471), J471 = 0)), "OTIF", "Non-OTIF")</f>
        <v>Non-OTIF</v>
      </c>
      <c r="P471">
        <f>IF(Table1[[#This Row],[OTIF_Status]] = "OTIF", 1, 0)</f>
        <v>0</v>
      </c>
      <c r="Q471" s="5">
        <f t="shared" si="29"/>
        <v>2990</v>
      </c>
      <c r="R471" s="5">
        <f t="shared" si="30"/>
        <v>2946.3</v>
      </c>
      <c r="S471" s="5">
        <f>Table1[[#This Row],[Total_Line_Spend]]-Table1[[#This Row],[Negotiated_Total]]</f>
        <v>43.699999999999818</v>
      </c>
      <c r="T471" t="str">
        <f xml:space="preserve"> IF(Table1[[#This Row],[Delay_Days]] &gt; 4, "High Risk", IF(Table1[[#This Row],[Delay_Days]] &gt; 0, "Medium Risk", "Low Risk"))</f>
        <v>High Risk</v>
      </c>
    </row>
    <row r="472" spans="1:20" x14ac:dyDescent="0.25">
      <c r="A472" t="s">
        <v>497</v>
      </c>
      <c r="B472" t="s">
        <v>804</v>
      </c>
      <c r="C472" s="1">
        <v>44725</v>
      </c>
      <c r="D472" s="1">
        <v>44731</v>
      </c>
      <c r="E472" t="s">
        <v>21</v>
      </c>
      <c r="F472" t="s">
        <v>18</v>
      </c>
      <c r="G472">
        <v>656</v>
      </c>
      <c r="H472" s="5">
        <v>30.73</v>
      </c>
      <c r="I472" s="5">
        <v>26.26</v>
      </c>
      <c r="J472">
        <v>17</v>
      </c>
      <c r="K472" t="s">
        <v>15</v>
      </c>
      <c r="L472">
        <f t="shared" si="31"/>
        <v>6</v>
      </c>
      <c r="M472">
        <v>11</v>
      </c>
      <c r="N472">
        <f t="shared" si="28"/>
        <v>0</v>
      </c>
      <c r="O472" t="str">
        <f xml:space="preserve"> IF(AND(Table1[[#This Row],[Actual_Lead_Time]] &lt;= Table1[[#This Row],[Standard_Lead_Time]], OR(ISBLANK(J472), J472 = 0)), "OTIF", "Non-OTIF")</f>
        <v>Non-OTIF</v>
      </c>
      <c r="P472">
        <f>IF(Table1[[#This Row],[OTIF_Status]] = "OTIF", 1, 0)</f>
        <v>0</v>
      </c>
      <c r="Q472" s="5">
        <f t="shared" si="29"/>
        <v>20158.88</v>
      </c>
      <c r="R472" s="5">
        <f t="shared" si="30"/>
        <v>17226.560000000001</v>
      </c>
      <c r="S472" s="5">
        <f>Table1[[#This Row],[Total_Line_Spend]]-Table1[[#This Row],[Negotiated_Total]]</f>
        <v>2932.3199999999997</v>
      </c>
      <c r="T472" t="str">
        <f xml:space="preserve"> IF(Table1[[#This Row],[Delay_Days]] &gt; 4, "High Risk", IF(Table1[[#This Row],[Delay_Days]] &gt; 0, "Medium Risk", "Low Risk"))</f>
        <v>Low Risk</v>
      </c>
    </row>
    <row r="473" spans="1:20" x14ac:dyDescent="0.25">
      <c r="A473" t="s">
        <v>498</v>
      </c>
      <c r="B473" t="s">
        <v>806</v>
      </c>
      <c r="C473" s="1">
        <v>45280</v>
      </c>
      <c r="D473" s="1">
        <v>45300</v>
      </c>
      <c r="E473" t="s">
        <v>21</v>
      </c>
      <c r="F473" t="s">
        <v>18</v>
      </c>
      <c r="G473">
        <v>1172</v>
      </c>
      <c r="H473" s="5">
        <v>34.340000000000003</v>
      </c>
      <c r="I473" s="5">
        <v>32.090000000000003</v>
      </c>
      <c r="J473">
        <v>69</v>
      </c>
      <c r="K473" t="s">
        <v>15</v>
      </c>
      <c r="L473">
        <f t="shared" si="31"/>
        <v>20</v>
      </c>
      <c r="M473">
        <v>11</v>
      </c>
      <c r="N473">
        <f t="shared" si="28"/>
        <v>9</v>
      </c>
      <c r="O473" t="str">
        <f xml:space="preserve"> IF(AND(Table1[[#This Row],[Actual_Lead_Time]] &lt;= Table1[[#This Row],[Standard_Lead_Time]], OR(ISBLANK(J473), J473 = 0)), "OTIF", "Non-OTIF")</f>
        <v>Non-OTIF</v>
      </c>
      <c r="P473">
        <f>IF(Table1[[#This Row],[OTIF_Status]] = "OTIF", 1, 0)</f>
        <v>0</v>
      </c>
      <c r="Q473" s="5">
        <f t="shared" si="29"/>
        <v>40246.480000000003</v>
      </c>
      <c r="R473" s="5">
        <f t="shared" si="30"/>
        <v>37609.480000000003</v>
      </c>
      <c r="S473" s="5">
        <f>Table1[[#This Row],[Total_Line_Spend]]-Table1[[#This Row],[Negotiated_Total]]</f>
        <v>2637</v>
      </c>
      <c r="T473" t="str">
        <f xml:space="preserve"> IF(Table1[[#This Row],[Delay_Days]] &gt; 4, "High Risk", IF(Table1[[#This Row],[Delay_Days]] &gt; 0, "Medium Risk", "Low Risk"))</f>
        <v>High Risk</v>
      </c>
    </row>
    <row r="474" spans="1:20" x14ac:dyDescent="0.25">
      <c r="A474" t="s">
        <v>499</v>
      </c>
      <c r="B474" t="s">
        <v>806</v>
      </c>
      <c r="C474" s="1">
        <v>44672</v>
      </c>
      <c r="D474" s="1">
        <v>44681</v>
      </c>
      <c r="E474" t="s">
        <v>39</v>
      </c>
      <c r="F474" t="s">
        <v>18</v>
      </c>
      <c r="G474">
        <v>749</v>
      </c>
      <c r="H474" s="5">
        <v>71.53</v>
      </c>
      <c r="I474" s="5">
        <v>70.02</v>
      </c>
      <c r="J474">
        <v>41</v>
      </c>
      <c r="K474" t="s">
        <v>15</v>
      </c>
      <c r="L474">
        <f t="shared" si="31"/>
        <v>9</v>
      </c>
      <c r="M474">
        <v>11</v>
      </c>
      <c r="N474">
        <f t="shared" si="28"/>
        <v>0</v>
      </c>
      <c r="O474" t="str">
        <f xml:space="preserve"> IF(AND(Table1[[#This Row],[Actual_Lead_Time]] &lt;= Table1[[#This Row],[Standard_Lead_Time]], OR(ISBLANK(J474), J474 = 0)), "OTIF", "Non-OTIF")</f>
        <v>Non-OTIF</v>
      </c>
      <c r="P474">
        <f>IF(Table1[[#This Row],[OTIF_Status]] = "OTIF", 1, 0)</f>
        <v>0</v>
      </c>
      <c r="Q474" s="5">
        <f t="shared" si="29"/>
        <v>53575.97</v>
      </c>
      <c r="R474" s="5">
        <f t="shared" si="30"/>
        <v>52444.979999999996</v>
      </c>
      <c r="S474" s="5">
        <f>Table1[[#This Row],[Total_Line_Spend]]-Table1[[#This Row],[Negotiated_Total]]</f>
        <v>1130.9900000000052</v>
      </c>
      <c r="T474" t="str">
        <f xml:space="preserve"> IF(Table1[[#This Row],[Delay_Days]] &gt; 4, "High Risk", IF(Table1[[#This Row],[Delay_Days]] &gt; 0, "Medium Risk", "Low Risk"))</f>
        <v>Low Risk</v>
      </c>
    </row>
    <row r="475" spans="1:20" x14ac:dyDescent="0.25">
      <c r="A475" t="s">
        <v>500</v>
      </c>
      <c r="B475" t="s">
        <v>807</v>
      </c>
      <c r="C475" s="1">
        <v>44953</v>
      </c>
      <c r="D475" s="1">
        <v>44969</v>
      </c>
      <c r="E475" t="s">
        <v>24</v>
      </c>
      <c r="F475" t="s">
        <v>18</v>
      </c>
      <c r="G475">
        <v>1042</v>
      </c>
      <c r="H475" s="5">
        <v>12.48</v>
      </c>
      <c r="I475" s="5">
        <v>12.3</v>
      </c>
      <c r="J475">
        <v>88</v>
      </c>
      <c r="K475" t="s">
        <v>15</v>
      </c>
      <c r="L475">
        <f t="shared" si="31"/>
        <v>16</v>
      </c>
      <c r="M475">
        <v>11</v>
      </c>
      <c r="N475">
        <f t="shared" si="28"/>
        <v>5</v>
      </c>
      <c r="O475" t="str">
        <f xml:space="preserve"> IF(AND(Table1[[#This Row],[Actual_Lead_Time]] &lt;= Table1[[#This Row],[Standard_Lead_Time]], OR(ISBLANK(J475), J475 = 0)), "OTIF", "Non-OTIF")</f>
        <v>Non-OTIF</v>
      </c>
      <c r="P475">
        <f>IF(Table1[[#This Row],[OTIF_Status]] = "OTIF", 1, 0)</f>
        <v>0</v>
      </c>
      <c r="Q475" s="5">
        <f t="shared" si="29"/>
        <v>13004.16</v>
      </c>
      <c r="R475" s="5">
        <f t="shared" si="30"/>
        <v>12816.6</v>
      </c>
      <c r="S475" s="5">
        <f>Table1[[#This Row],[Total_Line_Spend]]-Table1[[#This Row],[Negotiated_Total]]</f>
        <v>187.55999999999949</v>
      </c>
      <c r="T475" t="str">
        <f xml:space="preserve"> IF(Table1[[#This Row],[Delay_Days]] &gt; 4, "High Risk", IF(Table1[[#This Row],[Delay_Days]] &gt; 0, "Medium Risk", "Low Risk"))</f>
        <v>High Risk</v>
      </c>
    </row>
    <row r="476" spans="1:20" x14ac:dyDescent="0.25">
      <c r="A476" t="s">
        <v>501</v>
      </c>
      <c r="B476" t="s">
        <v>805</v>
      </c>
      <c r="C476" s="1">
        <v>44601</v>
      </c>
      <c r="D476" s="1">
        <v>44619</v>
      </c>
      <c r="E476" t="s">
        <v>26</v>
      </c>
      <c r="F476" t="s">
        <v>18</v>
      </c>
      <c r="G476">
        <v>1189</v>
      </c>
      <c r="H476" s="5">
        <v>19.47</v>
      </c>
      <c r="I476" s="5">
        <v>17.149999999999999</v>
      </c>
      <c r="K476" t="s">
        <v>27</v>
      </c>
      <c r="L476">
        <f t="shared" si="31"/>
        <v>18</v>
      </c>
      <c r="M476">
        <v>11</v>
      </c>
      <c r="N476">
        <f t="shared" si="28"/>
        <v>7</v>
      </c>
      <c r="O476" t="str">
        <f xml:space="preserve"> IF(AND(Table1[[#This Row],[Actual_Lead_Time]] &lt;= Table1[[#This Row],[Standard_Lead_Time]], OR(ISBLANK(J476), J476 = 0)), "OTIF", "Non-OTIF")</f>
        <v>Non-OTIF</v>
      </c>
      <c r="P476">
        <f>IF(Table1[[#This Row],[OTIF_Status]] = "OTIF", 1, 0)</f>
        <v>0</v>
      </c>
      <c r="Q476" s="5">
        <f t="shared" si="29"/>
        <v>23149.829999999998</v>
      </c>
      <c r="R476" s="5">
        <f t="shared" si="30"/>
        <v>20391.349999999999</v>
      </c>
      <c r="S476" s="5">
        <f>Table1[[#This Row],[Total_Line_Spend]]-Table1[[#This Row],[Negotiated_Total]]</f>
        <v>2758.4799999999996</v>
      </c>
      <c r="T476" t="str">
        <f xml:space="preserve"> IF(Table1[[#This Row],[Delay_Days]] &gt; 4, "High Risk", IF(Table1[[#This Row],[Delay_Days]] &gt; 0, "Medium Risk", "Low Risk"))</f>
        <v>High Risk</v>
      </c>
    </row>
    <row r="477" spans="1:20" x14ac:dyDescent="0.25">
      <c r="A477" t="s">
        <v>502</v>
      </c>
      <c r="B477" t="s">
        <v>808</v>
      </c>
      <c r="C477" s="1">
        <v>45043</v>
      </c>
      <c r="D477" s="1">
        <v>45054</v>
      </c>
      <c r="E477" t="s">
        <v>13</v>
      </c>
      <c r="F477" t="s">
        <v>18</v>
      </c>
      <c r="G477">
        <v>240</v>
      </c>
      <c r="H477" s="5">
        <v>88.14</v>
      </c>
      <c r="I477" s="5">
        <v>81.900000000000006</v>
      </c>
      <c r="J477">
        <v>4</v>
      </c>
      <c r="K477" t="s">
        <v>15</v>
      </c>
      <c r="L477">
        <f t="shared" si="31"/>
        <v>11</v>
      </c>
      <c r="M477">
        <v>11</v>
      </c>
      <c r="N477">
        <f t="shared" si="28"/>
        <v>0</v>
      </c>
      <c r="O477" t="str">
        <f xml:space="preserve"> IF(AND(Table1[[#This Row],[Actual_Lead_Time]] &lt;= Table1[[#This Row],[Standard_Lead_Time]], OR(ISBLANK(J477), J477 = 0)), "OTIF", "Non-OTIF")</f>
        <v>Non-OTIF</v>
      </c>
      <c r="P477">
        <f>IF(Table1[[#This Row],[OTIF_Status]] = "OTIF", 1, 0)</f>
        <v>0</v>
      </c>
      <c r="Q477" s="5">
        <f t="shared" si="29"/>
        <v>21153.599999999999</v>
      </c>
      <c r="R477" s="5">
        <f t="shared" si="30"/>
        <v>19656</v>
      </c>
      <c r="S477" s="5">
        <f>Table1[[#This Row],[Total_Line_Spend]]-Table1[[#This Row],[Negotiated_Total]]</f>
        <v>1497.5999999999985</v>
      </c>
      <c r="T477" t="str">
        <f xml:space="preserve"> IF(Table1[[#This Row],[Delay_Days]] &gt; 4, "High Risk", IF(Table1[[#This Row],[Delay_Days]] &gt; 0, "Medium Risk", "Low Risk"))</f>
        <v>Low Risk</v>
      </c>
    </row>
    <row r="478" spans="1:20" x14ac:dyDescent="0.25">
      <c r="A478" t="s">
        <v>503</v>
      </c>
      <c r="B478" t="s">
        <v>808</v>
      </c>
      <c r="C478" s="1">
        <v>44789</v>
      </c>
      <c r="D478" s="1">
        <v>44806</v>
      </c>
      <c r="E478" t="s">
        <v>21</v>
      </c>
      <c r="F478" t="s">
        <v>18</v>
      </c>
      <c r="G478">
        <v>302</v>
      </c>
      <c r="H478" s="5">
        <v>26.98</v>
      </c>
      <c r="I478" s="5">
        <v>26.47</v>
      </c>
      <c r="J478">
        <v>9</v>
      </c>
      <c r="K478" t="s">
        <v>15</v>
      </c>
      <c r="L478">
        <f t="shared" si="31"/>
        <v>17</v>
      </c>
      <c r="M478">
        <v>11</v>
      </c>
      <c r="N478">
        <f t="shared" si="28"/>
        <v>6</v>
      </c>
      <c r="O478" t="str">
        <f xml:space="preserve"> IF(AND(Table1[[#This Row],[Actual_Lead_Time]] &lt;= Table1[[#This Row],[Standard_Lead_Time]], OR(ISBLANK(J478), J478 = 0)), "OTIF", "Non-OTIF")</f>
        <v>Non-OTIF</v>
      </c>
      <c r="P478">
        <f>IF(Table1[[#This Row],[OTIF_Status]] = "OTIF", 1, 0)</f>
        <v>0</v>
      </c>
      <c r="Q478" s="5">
        <f t="shared" si="29"/>
        <v>8147.96</v>
      </c>
      <c r="R478" s="5">
        <f t="shared" si="30"/>
        <v>7993.94</v>
      </c>
      <c r="S478" s="5">
        <f>Table1[[#This Row],[Total_Line_Spend]]-Table1[[#This Row],[Negotiated_Total]]</f>
        <v>154.02000000000044</v>
      </c>
      <c r="T478" t="str">
        <f xml:space="preserve"> IF(Table1[[#This Row],[Delay_Days]] &gt; 4, "High Risk", IF(Table1[[#This Row],[Delay_Days]] &gt; 0, "Medium Risk", "Low Risk"))</f>
        <v>High Risk</v>
      </c>
    </row>
    <row r="479" spans="1:20" x14ac:dyDescent="0.25">
      <c r="A479" t="s">
        <v>504</v>
      </c>
      <c r="B479" t="s">
        <v>807</v>
      </c>
      <c r="C479" s="1">
        <v>44766</v>
      </c>
      <c r="D479" s="1">
        <v>44776</v>
      </c>
      <c r="E479" t="s">
        <v>21</v>
      </c>
      <c r="F479" t="s">
        <v>35</v>
      </c>
      <c r="G479">
        <v>1030</v>
      </c>
      <c r="H479" s="5">
        <v>70.81</v>
      </c>
      <c r="I479" s="5">
        <v>61.58</v>
      </c>
      <c r="K479" t="s">
        <v>27</v>
      </c>
      <c r="L479">
        <f t="shared" si="31"/>
        <v>10</v>
      </c>
      <c r="M479">
        <v>11</v>
      </c>
      <c r="N479">
        <f t="shared" si="28"/>
        <v>0</v>
      </c>
      <c r="O479" t="str">
        <f xml:space="preserve"> IF(AND(Table1[[#This Row],[Actual_Lead_Time]] &lt;= Table1[[#This Row],[Standard_Lead_Time]], OR(ISBLANK(J479), J479 = 0)), "OTIF", "Non-OTIF")</f>
        <v>OTIF</v>
      </c>
      <c r="P479">
        <f>IF(Table1[[#This Row],[OTIF_Status]] = "OTIF", 1, 0)</f>
        <v>1</v>
      </c>
      <c r="Q479" s="5">
        <f t="shared" si="29"/>
        <v>72934.3</v>
      </c>
      <c r="R479" s="5">
        <f t="shared" si="30"/>
        <v>63427.4</v>
      </c>
      <c r="S479" s="5">
        <f>Table1[[#This Row],[Total_Line_Spend]]-Table1[[#This Row],[Negotiated_Total]]</f>
        <v>9506.9000000000015</v>
      </c>
      <c r="T479" t="str">
        <f xml:space="preserve"> IF(Table1[[#This Row],[Delay_Days]] &gt; 4, "High Risk", IF(Table1[[#This Row],[Delay_Days]] &gt; 0, "Medium Risk", "Low Risk"))</f>
        <v>Low Risk</v>
      </c>
    </row>
    <row r="480" spans="1:20" x14ac:dyDescent="0.25">
      <c r="A480" t="s">
        <v>505</v>
      </c>
      <c r="B480" t="s">
        <v>805</v>
      </c>
      <c r="C480" s="1">
        <v>45033</v>
      </c>
      <c r="D480" s="1">
        <v>45039</v>
      </c>
      <c r="E480" t="s">
        <v>13</v>
      </c>
      <c r="F480" t="s">
        <v>18</v>
      </c>
      <c r="G480">
        <v>977</v>
      </c>
      <c r="H480" s="5">
        <v>33.79</v>
      </c>
      <c r="I480" s="5">
        <v>32.25</v>
      </c>
      <c r="J480">
        <v>137</v>
      </c>
      <c r="K480" t="s">
        <v>15</v>
      </c>
      <c r="L480">
        <f t="shared" si="31"/>
        <v>6</v>
      </c>
      <c r="M480">
        <v>11</v>
      </c>
      <c r="N480">
        <f t="shared" si="28"/>
        <v>0</v>
      </c>
      <c r="O480" t="str">
        <f xml:space="preserve"> IF(AND(Table1[[#This Row],[Actual_Lead_Time]] &lt;= Table1[[#This Row],[Standard_Lead_Time]], OR(ISBLANK(J480), J480 = 0)), "OTIF", "Non-OTIF")</f>
        <v>Non-OTIF</v>
      </c>
      <c r="P480">
        <f>IF(Table1[[#This Row],[OTIF_Status]] = "OTIF", 1, 0)</f>
        <v>0</v>
      </c>
      <c r="Q480" s="5">
        <f t="shared" si="29"/>
        <v>33012.83</v>
      </c>
      <c r="R480" s="5">
        <f t="shared" si="30"/>
        <v>31508.25</v>
      </c>
      <c r="S480" s="5">
        <f>Table1[[#This Row],[Total_Line_Spend]]-Table1[[#This Row],[Negotiated_Total]]</f>
        <v>1504.5800000000017</v>
      </c>
      <c r="T480" t="str">
        <f xml:space="preserve"> IF(Table1[[#This Row],[Delay_Days]] &gt; 4, "High Risk", IF(Table1[[#This Row],[Delay_Days]] &gt; 0, "Medium Risk", "Low Risk"))</f>
        <v>Low Risk</v>
      </c>
    </row>
    <row r="481" spans="1:20" x14ac:dyDescent="0.25">
      <c r="A481" t="s">
        <v>506</v>
      </c>
      <c r="B481" t="s">
        <v>804</v>
      </c>
      <c r="C481" s="1">
        <v>44920</v>
      </c>
      <c r="D481" s="1">
        <v>44937</v>
      </c>
      <c r="E481" t="s">
        <v>24</v>
      </c>
      <c r="F481" t="s">
        <v>18</v>
      </c>
      <c r="G481">
        <v>1234</v>
      </c>
      <c r="H481" s="5">
        <v>19.989999999999998</v>
      </c>
      <c r="I481" s="5">
        <v>17.66</v>
      </c>
      <c r="J481">
        <v>25</v>
      </c>
      <c r="K481" t="s">
        <v>15</v>
      </c>
      <c r="L481">
        <f t="shared" si="31"/>
        <v>17</v>
      </c>
      <c r="M481">
        <v>11</v>
      </c>
      <c r="N481">
        <f t="shared" si="28"/>
        <v>6</v>
      </c>
      <c r="O481" t="str">
        <f xml:space="preserve"> IF(AND(Table1[[#This Row],[Actual_Lead_Time]] &lt;= Table1[[#This Row],[Standard_Lead_Time]], OR(ISBLANK(J481), J481 = 0)), "OTIF", "Non-OTIF")</f>
        <v>Non-OTIF</v>
      </c>
      <c r="P481">
        <f>IF(Table1[[#This Row],[OTIF_Status]] = "OTIF", 1, 0)</f>
        <v>0</v>
      </c>
      <c r="Q481" s="5">
        <f t="shared" si="29"/>
        <v>24667.66</v>
      </c>
      <c r="R481" s="5">
        <f t="shared" si="30"/>
        <v>21792.44</v>
      </c>
      <c r="S481" s="5">
        <f>Table1[[#This Row],[Total_Line_Spend]]-Table1[[#This Row],[Negotiated_Total]]</f>
        <v>2875.2200000000012</v>
      </c>
      <c r="T481" t="str">
        <f xml:space="preserve"> IF(Table1[[#This Row],[Delay_Days]] &gt; 4, "High Risk", IF(Table1[[#This Row],[Delay_Days]] &gt; 0, "Medium Risk", "Low Risk"))</f>
        <v>High Risk</v>
      </c>
    </row>
    <row r="482" spans="1:20" x14ac:dyDescent="0.25">
      <c r="A482" t="s">
        <v>507</v>
      </c>
      <c r="B482" t="s">
        <v>807</v>
      </c>
      <c r="C482" s="1">
        <v>44874</v>
      </c>
      <c r="D482" s="1">
        <v>44888</v>
      </c>
      <c r="E482" t="s">
        <v>13</v>
      </c>
      <c r="F482" t="s">
        <v>18</v>
      </c>
      <c r="G482">
        <v>1329</v>
      </c>
      <c r="H482" s="5">
        <v>33.479999999999997</v>
      </c>
      <c r="I482" s="5">
        <v>33.06</v>
      </c>
      <c r="J482">
        <v>146</v>
      </c>
      <c r="K482" t="s">
        <v>15</v>
      </c>
      <c r="L482">
        <f t="shared" si="31"/>
        <v>14</v>
      </c>
      <c r="M482">
        <v>11</v>
      </c>
      <c r="N482">
        <f t="shared" si="28"/>
        <v>3</v>
      </c>
      <c r="O482" t="str">
        <f xml:space="preserve"> IF(AND(Table1[[#This Row],[Actual_Lead_Time]] &lt;= Table1[[#This Row],[Standard_Lead_Time]], OR(ISBLANK(J482), J482 = 0)), "OTIF", "Non-OTIF")</f>
        <v>Non-OTIF</v>
      </c>
      <c r="P482">
        <f>IF(Table1[[#This Row],[OTIF_Status]] = "OTIF", 1, 0)</f>
        <v>0</v>
      </c>
      <c r="Q482" s="5">
        <f t="shared" si="29"/>
        <v>44494.92</v>
      </c>
      <c r="R482" s="5">
        <f t="shared" si="30"/>
        <v>43936.740000000005</v>
      </c>
      <c r="S482" s="5">
        <f>Table1[[#This Row],[Total_Line_Spend]]-Table1[[#This Row],[Negotiated_Total]]</f>
        <v>558.17999999999302</v>
      </c>
      <c r="T482" t="str">
        <f xml:space="preserve"> IF(Table1[[#This Row],[Delay_Days]] &gt; 4, "High Risk", IF(Table1[[#This Row],[Delay_Days]] &gt; 0, "Medium Risk", "Low Risk"))</f>
        <v>Medium Risk</v>
      </c>
    </row>
    <row r="483" spans="1:20" x14ac:dyDescent="0.25">
      <c r="A483" t="s">
        <v>508</v>
      </c>
      <c r="B483" t="s">
        <v>806</v>
      </c>
      <c r="C483" s="1">
        <v>44795</v>
      </c>
      <c r="D483" s="1">
        <v>44803</v>
      </c>
      <c r="E483" t="s">
        <v>26</v>
      </c>
      <c r="F483" t="s">
        <v>18</v>
      </c>
      <c r="G483">
        <v>1396</v>
      </c>
      <c r="H483" s="5">
        <v>77.63</v>
      </c>
      <c r="I483" s="5">
        <v>67.81</v>
      </c>
      <c r="J483">
        <v>58</v>
      </c>
      <c r="K483" t="s">
        <v>15</v>
      </c>
      <c r="L483">
        <f t="shared" si="31"/>
        <v>8</v>
      </c>
      <c r="M483">
        <v>11</v>
      </c>
      <c r="N483">
        <f t="shared" si="28"/>
        <v>0</v>
      </c>
      <c r="O483" t="str">
        <f xml:space="preserve"> IF(AND(Table1[[#This Row],[Actual_Lead_Time]] &lt;= Table1[[#This Row],[Standard_Lead_Time]], OR(ISBLANK(J483), J483 = 0)), "OTIF", "Non-OTIF")</f>
        <v>Non-OTIF</v>
      </c>
      <c r="P483">
        <f>IF(Table1[[#This Row],[OTIF_Status]] = "OTIF", 1, 0)</f>
        <v>0</v>
      </c>
      <c r="Q483" s="5">
        <f t="shared" si="29"/>
        <v>108371.48</v>
      </c>
      <c r="R483" s="5">
        <f t="shared" si="30"/>
        <v>94662.760000000009</v>
      </c>
      <c r="S483" s="5">
        <f>Table1[[#This Row],[Total_Line_Spend]]-Table1[[#This Row],[Negotiated_Total]]</f>
        <v>13708.719999999987</v>
      </c>
      <c r="T483" t="str">
        <f xml:space="preserve"> IF(Table1[[#This Row],[Delay_Days]] &gt; 4, "High Risk", IF(Table1[[#This Row],[Delay_Days]] &gt; 0, "Medium Risk", "Low Risk"))</f>
        <v>Low Risk</v>
      </c>
    </row>
    <row r="484" spans="1:20" x14ac:dyDescent="0.25">
      <c r="A484" t="s">
        <v>509</v>
      </c>
      <c r="B484" t="s">
        <v>804</v>
      </c>
      <c r="C484" s="1">
        <v>44790</v>
      </c>
      <c r="D484" s="1">
        <v>44802</v>
      </c>
      <c r="E484" t="s">
        <v>26</v>
      </c>
      <c r="F484" t="s">
        <v>18</v>
      </c>
      <c r="G484">
        <v>177</v>
      </c>
      <c r="H484" s="5">
        <v>90.06</v>
      </c>
      <c r="I484" s="5">
        <v>87.71</v>
      </c>
      <c r="J484">
        <v>7</v>
      </c>
      <c r="K484" t="s">
        <v>15</v>
      </c>
      <c r="L484">
        <f t="shared" si="31"/>
        <v>12</v>
      </c>
      <c r="M484">
        <v>11</v>
      </c>
      <c r="N484">
        <f t="shared" si="28"/>
        <v>1</v>
      </c>
      <c r="O484" t="str">
        <f xml:space="preserve"> IF(AND(Table1[[#This Row],[Actual_Lead_Time]] &lt;= Table1[[#This Row],[Standard_Lead_Time]], OR(ISBLANK(J484), J484 = 0)), "OTIF", "Non-OTIF")</f>
        <v>Non-OTIF</v>
      </c>
      <c r="P484">
        <f>IF(Table1[[#This Row],[OTIF_Status]] = "OTIF", 1, 0)</f>
        <v>0</v>
      </c>
      <c r="Q484" s="5">
        <f t="shared" si="29"/>
        <v>15940.62</v>
      </c>
      <c r="R484" s="5">
        <f t="shared" si="30"/>
        <v>15524.669999999998</v>
      </c>
      <c r="S484" s="5">
        <f>Table1[[#This Row],[Total_Line_Spend]]-Table1[[#This Row],[Negotiated_Total]]</f>
        <v>415.95000000000255</v>
      </c>
      <c r="T484" t="str">
        <f xml:space="preserve"> IF(Table1[[#This Row],[Delay_Days]] &gt; 4, "High Risk", IF(Table1[[#This Row],[Delay_Days]] &gt; 0, "Medium Risk", "Low Risk"))</f>
        <v>Medium Risk</v>
      </c>
    </row>
    <row r="485" spans="1:20" x14ac:dyDescent="0.25">
      <c r="A485" t="s">
        <v>510</v>
      </c>
      <c r="B485" t="s">
        <v>805</v>
      </c>
      <c r="C485" s="1">
        <v>44586</v>
      </c>
      <c r="D485" s="1">
        <v>44597</v>
      </c>
      <c r="E485" t="s">
        <v>39</v>
      </c>
      <c r="F485" t="s">
        <v>18</v>
      </c>
      <c r="G485">
        <v>67</v>
      </c>
      <c r="H485" s="5">
        <v>84.72</v>
      </c>
      <c r="I485" s="5">
        <v>73.06</v>
      </c>
      <c r="J485">
        <v>9</v>
      </c>
      <c r="K485" t="s">
        <v>15</v>
      </c>
      <c r="L485">
        <f t="shared" si="31"/>
        <v>11</v>
      </c>
      <c r="M485">
        <v>11</v>
      </c>
      <c r="N485">
        <f t="shared" si="28"/>
        <v>0</v>
      </c>
      <c r="O485" t="str">
        <f xml:space="preserve"> IF(AND(Table1[[#This Row],[Actual_Lead_Time]] &lt;= Table1[[#This Row],[Standard_Lead_Time]], OR(ISBLANK(J485), J485 = 0)), "OTIF", "Non-OTIF")</f>
        <v>Non-OTIF</v>
      </c>
      <c r="P485">
        <f>IF(Table1[[#This Row],[OTIF_Status]] = "OTIF", 1, 0)</f>
        <v>0</v>
      </c>
      <c r="Q485" s="5">
        <f t="shared" si="29"/>
        <v>5676.24</v>
      </c>
      <c r="R485" s="5">
        <f t="shared" si="30"/>
        <v>4895.0200000000004</v>
      </c>
      <c r="S485" s="5">
        <f>Table1[[#This Row],[Total_Line_Spend]]-Table1[[#This Row],[Negotiated_Total]]</f>
        <v>781.21999999999935</v>
      </c>
      <c r="T485" t="str">
        <f xml:space="preserve"> IF(Table1[[#This Row],[Delay_Days]] &gt; 4, "High Risk", IF(Table1[[#This Row],[Delay_Days]] &gt; 0, "Medium Risk", "Low Risk"))</f>
        <v>Low Risk</v>
      </c>
    </row>
    <row r="486" spans="1:20" x14ac:dyDescent="0.25">
      <c r="A486" t="s">
        <v>511</v>
      </c>
      <c r="B486" t="s">
        <v>806</v>
      </c>
      <c r="C486" s="1">
        <v>45237</v>
      </c>
      <c r="D486" s="1">
        <v>45250</v>
      </c>
      <c r="E486" t="s">
        <v>13</v>
      </c>
      <c r="F486" t="s">
        <v>18</v>
      </c>
      <c r="G486">
        <v>1866</v>
      </c>
      <c r="H486" s="5">
        <v>50.78</v>
      </c>
      <c r="I486" s="5">
        <v>48.2</v>
      </c>
      <c r="J486">
        <v>96</v>
      </c>
      <c r="K486" t="s">
        <v>15</v>
      </c>
      <c r="L486">
        <f t="shared" si="31"/>
        <v>13</v>
      </c>
      <c r="M486">
        <v>11</v>
      </c>
      <c r="N486">
        <f t="shared" si="28"/>
        <v>2</v>
      </c>
      <c r="O486" t="str">
        <f xml:space="preserve"> IF(AND(Table1[[#This Row],[Actual_Lead_Time]] &lt;= Table1[[#This Row],[Standard_Lead_Time]], OR(ISBLANK(J486), J486 = 0)), "OTIF", "Non-OTIF")</f>
        <v>Non-OTIF</v>
      </c>
      <c r="P486">
        <f>IF(Table1[[#This Row],[OTIF_Status]] = "OTIF", 1, 0)</f>
        <v>0</v>
      </c>
      <c r="Q486" s="5">
        <f t="shared" si="29"/>
        <v>94755.48</v>
      </c>
      <c r="R486" s="5">
        <f t="shared" si="30"/>
        <v>89941.200000000012</v>
      </c>
      <c r="S486" s="5">
        <f>Table1[[#This Row],[Total_Line_Spend]]-Table1[[#This Row],[Negotiated_Total]]</f>
        <v>4814.2799999999843</v>
      </c>
      <c r="T486" t="str">
        <f xml:space="preserve"> IF(Table1[[#This Row],[Delay_Days]] &gt; 4, "High Risk", IF(Table1[[#This Row],[Delay_Days]] &gt; 0, "Medium Risk", "Low Risk"))</f>
        <v>Medium Risk</v>
      </c>
    </row>
    <row r="487" spans="1:20" x14ac:dyDescent="0.25">
      <c r="A487" t="s">
        <v>512</v>
      </c>
      <c r="B487" t="s">
        <v>808</v>
      </c>
      <c r="C487" s="1">
        <v>44759</v>
      </c>
      <c r="D487" s="1">
        <v>44767</v>
      </c>
      <c r="E487" t="s">
        <v>21</v>
      </c>
      <c r="F487" t="s">
        <v>18</v>
      </c>
      <c r="G487">
        <v>1808</v>
      </c>
      <c r="H487" s="5">
        <v>72.23</v>
      </c>
      <c r="I487" s="5">
        <v>67.86</v>
      </c>
      <c r="J487">
        <v>53</v>
      </c>
      <c r="K487" t="s">
        <v>15</v>
      </c>
      <c r="L487">
        <f t="shared" si="31"/>
        <v>8</v>
      </c>
      <c r="M487">
        <v>11</v>
      </c>
      <c r="N487">
        <f t="shared" si="28"/>
        <v>0</v>
      </c>
      <c r="O487" t="str">
        <f xml:space="preserve"> IF(AND(Table1[[#This Row],[Actual_Lead_Time]] &lt;= Table1[[#This Row],[Standard_Lead_Time]], OR(ISBLANK(J487), J487 = 0)), "OTIF", "Non-OTIF")</f>
        <v>Non-OTIF</v>
      </c>
      <c r="P487">
        <f>IF(Table1[[#This Row],[OTIF_Status]] = "OTIF", 1, 0)</f>
        <v>0</v>
      </c>
      <c r="Q487" s="5">
        <f t="shared" si="29"/>
        <v>130591.84000000001</v>
      </c>
      <c r="R487" s="5">
        <f t="shared" si="30"/>
        <v>122690.88</v>
      </c>
      <c r="S487" s="5">
        <f>Table1[[#This Row],[Total_Line_Spend]]-Table1[[#This Row],[Negotiated_Total]]</f>
        <v>7900.9600000000064</v>
      </c>
      <c r="T487" t="str">
        <f xml:space="preserve"> IF(Table1[[#This Row],[Delay_Days]] &gt; 4, "High Risk", IF(Table1[[#This Row],[Delay_Days]] &gt; 0, "Medium Risk", "Low Risk"))</f>
        <v>Low Risk</v>
      </c>
    </row>
    <row r="488" spans="1:20" x14ac:dyDescent="0.25">
      <c r="A488" t="s">
        <v>513</v>
      </c>
      <c r="B488" t="s">
        <v>805</v>
      </c>
      <c r="C488" s="1">
        <v>44970</v>
      </c>
      <c r="D488" s="1">
        <v>44973</v>
      </c>
      <c r="E488" t="s">
        <v>39</v>
      </c>
      <c r="F488" t="s">
        <v>14</v>
      </c>
      <c r="G488">
        <v>615</v>
      </c>
      <c r="H488" s="5">
        <v>30.3</v>
      </c>
      <c r="I488" s="5">
        <v>29.52</v>
      </c>
      <c r="J488">
        <v>96</v>
      </c>
      <c r="K488" t="s">
        <v>15</v>
      </c>
      <c r="L488">
        <f t="shared" si="31"/>
        <v>3</v>
      </c>
      <c r="M488">
        <v>11</v>
      </c>
      <c r="N488">
        <f t="shared" si="28"/>
        <v>0</v>
      </c>
      <c r="O488" t="str">
        <f xml:space="preserve"> IF(AND(Table1[[#This Row],[Actual_Lead_Time]] &lt;= Table1[[#This Row],[Standard_Lead_Time]], OR(ISBLANK(J488), J488 = 0)), "OTIF", "Non-OTIF")</f>
        <v>Non-OTIF</v>
      </c>
      <c r="P488">
        <f>IF(Table1[[#This Row],[OTIF_Status]] = "OTIF", 1, 0)</f>
        <v>0</v>
      </c>
      <c r="Q488" s="5">
        <f t="shared" si="29"/>
        <v>18634.5</v>
      </c>
      <c r="R488" s="5">
        <f t="shared" si="30"/>
        <v>18154.8</v>
      </c>
      <c r="S488" s="5">
        <f>Table1[[#This Row],[Total_Line_Spend]]-Table1[[#This Row],[Negotiated_Total]]</f>
        <v>479.70000000000073</v>
      </c>
      <c r="T488" t="str">
        <f xml:space="preserve"> IF(Table1[[#This Row],[Delay_Days]] &gt; 4, "High Risk", IF(Table1[[#This Row],[Delay_Days]] &gt; 0, "Medium Risk", "Low Risk"))</f>
        <v>Low Risk</v>
      </c>
    </row>
    <row r="489" spans="1:20" x14ac:dyDescent="0.25">
      <c r="A489" t="s">
        <v>514</v>
      </c>
      <c r="B489" t="s">
        <v>806</v>
      </c>
      <c r="C489" s="1">
        <v>44898</v>
      </c>
      <c r="D489" s="1">
        <v>44899</v>
      </c>
      <c r="E489" t="s">
        <v>13</v>
      </c>
      <c r="F489" t="s">
        <v>35</v>
      </c>
      <c r="G489">
        <v>619</v>
      </c>
      <c r="H489" s="5">
        <v>38.380000000000003</v>
      </c>
      <c r="I489" s="5">
        <v>35.020000000000003</v>
      </c>
      <c r="J489">
        <v>34</v>
      </c>
      <c r="K489" t="s">
        <v>15</v>
      </c>
      <c r="L489">
        <f t="shared" si="31"/>
        <v>1</v>
      </c>
      <c r="M489">
        <v>11</v>
      </c>
      <c r="N489">
        <f t="shared" si="28"/>
        <v>0</v>
      </c>
      <c r="O489" t="str">
        <f xml:space="preserve"> IF(AND(Table1[[#This Row],[Actual_Lead_Time]] &lt;= Table1[[#This Row],[Standard_Lead_Time]], OR(ISBLANK(J489), J489 = 0)), "OTIF", "Non-OTIF")</f>
        <v>Non-OTIF</v>
      </c>
      <c r="P489">
        <f>IF(Table1[[#This Row],[OTIF_Status]] = "OTIF", 1, 0)</f>
        <v>0</v>
      </c>
      <c r="Q489" s="5">
        <f t="shared" si="29"/>
        <v>23757.22</v>
      </c>
      <c r="R489" s="5">
        <f t="shared" si="30"/>
        <v>21677.38</v>
      </c>
      <c r="S489" s="5">
        <f>Table1[[#This Row],[Total_Line_Spend]]-Table1[[#This Row],[Negotiated_Total]]</f>
        <v>2079.84</v>
      </c>
      <c r="T489" t="str">
        <f xml:space="preserve"> IF(Table1[[#This Row],[Delay_Days]] &gt; 4, "High Risk", IF(Table1[[#This Row],[Delay_Days]] &gt; 0, "Medium Risk", "Low Risk"))</f>
        <v>Low Risk</v>
      </c>
    </row>
    <row r="490" spans="1:20" x14ac:dyDescent="0.25">
      <c r="A490" t="s">
        <v>515</v>
      </c>
      <c r="B490" t="s">
        <v>805</v>
      </c>
      <c r="C490" s="1">
        <v>44847</v>
      </c>
      <c r="D490" s="1">
        <v>44851</v>
      </c>
      <c r="E490" t="s">
        <v>13</v>
      </c>
      <c r="F490" t="s">
        <v>18</v>
      </c>
      <c r="G490">
        <v>1396</v>
      </c>
      <c r="H490" s="5">
        <v>94.75</v>
      </c>
      <c r="I490" s="5">
        <v>84.06</v>
      </c>
      <c r="J490">
        <v>210</v>
      </c>
      <c r="K490" t="s">
        <v>15</v>
      </c>
      <c r="L490">
        <f t="shared" si="31"/>
        <v>4</v>
      </c>
      <c r="M490">
        <v>11</v>
      </c>
      <c r="N490">
        <f t="shared" si="28"/>
        <v>0</v>
      </c>
      <c r="O490" t="str">
        <f xml:space="preserve"> IF(AND(Table1[[#This Row],[Actual_Lead_Time]] &lt;= Table1[[#This Row],[Standard_Lead_Time]], OR(ISBLANK(J490), J490 = 0)), "OTIF", "Non-OTIF")</f>
        <v>Non-OTIF</v>
      </c>
      <c r="P490">
        <f>IF(Table1[[#This Row],[OTIF_Status]] = "OTIF", 1, 0)</f>
        <v>0</v>
      </c>
      <c r="Q490" s="5">
        <f t="shared" si="29"/>
        <v>132271</v>
      </c>
      <c r="R490" s="5">
        <f t="shared" si="30"/>
        <v>117347.76000000001</v>
      </c>
      <c r="S490" s="5">
        <f>Table1[[#This Row],[Total_Line_Spend]]-Table1[[#This Row],[Negotiated_Total]]</f>
        <v>14923.239999999991</v>
      </c>
      <c r="T490" t="str">
        <f xml:space="preserve"> IF(Table1[[#This Row],[Delay_Days]] &gt; 4, "High Risk", IF(Table1[[#This Row],[Delay_Days]] &gt; 0, "Medium Risk", "Low Risk"))</f>
        <v>Low Risk</v>
      </c>
    </row>
    <row r="491" spans="1:20" x14ac:dyDescent="0.25">
      <c r="A491" t="s">
        <v>516</v>
      </c>
      <c r="B491" t="s">
        <v>806</v>
      </c>
      <c r="C491" s="1">
        <v>44633</v>
      </c>
      <c r="D491" s="1">
        <v>44644</v>
      </c>
      <c r="E491" t="s">
        <v>21</v>
      </c>
      <c r="F491" t="s">
        <v>18</v>
      </c>
      <c r="G491">
        <v>1945</v>
      </c>
      <c r="H491" s="5">
        <v>11.28</v>
      </c>
      <c r="I491" s="5">
        <v>9.98</v>
      </c>
      <c r="J491">
        <v>94</v>
      </c>
      <c r="K491" t="s">
        <v>15</v>
      </c>
      <c r="L491">
        <f t="shared" si="31"/>
        <v>11</v>
      </c>
      <c r="M491">
        <v>11</v>
      </c>
      <c r="N491">
        <f t="shared" si="28"/>
        <v>0</v>
      </c>
      <c r="O491" t="str">
        <f xml:space="preserve"> IF(AND(Table1[[#This Row],[Actual_Lead_Time]] &lt;= Table1[[#This Row],[Standard_Lead_Time]], OR(ISBLANK(J491), J491 = 0)), "OTIF", "Non-OTIF")</f>
        <v>Non-OTIF</v>
      </c>
      <c r="P491">
        <f>IF(Table1[[#This Row],[OTIF_Status]] = "OTIF", 1, 0)</f>
        <v>0</v>
      </c>
      <c r="Q491" s="5">
        <f t="shared" si="29"/>
        <v>21939.599999999999</v>
      </c>
      <c r="R491" s="5">
        <f t="shared" si="30"/>
        <v>19411.100000000002</v>
      </c>
      <c r="S491" s="5">
        <f>Table1[[#This Row],[Total_Line_Spend]]-Table1[[#This Row],[Negotiated_Total]]</f>
        <v>2528.4999999999964</v>
      </c>
      <c r="T491" t="str">
        <f xml:space="preserve"> IF(Table1[[#This Row],[Delay_Days]] &gt; 4, "High Risk", IF(Table1[[#This Row],[Delay_Days]] &gt; 0, "Medium Risk", "Low Risk"))</f>
        <v>Low Risk</v>
      </c>
    </row>
    <row r="492" spans="1:20" x14ac:dyDescent="0.25">
      <c r="A492" t="s">
        <v>517</v>
      </c>
      <c r="B492" t="s">
        <v>805</v>
      </c>
      <c r="C492" s="1">
        <v>44847</v>
      </c>
      <c r="D492" s="1">
        <v>44852</v>
      </c>
      <c r="E492" t="s">
        <v>24</v>
      </c>
      <c r="F492" t="s">
        <v>18</v>
      </c>
      <c r="G492">
        <v>735</v>
      </c>
      <c r="H492" s="5">
        <v>18.489999999999998</v>
      </c>
      <c r="I492" s="5">
        <v>15.89</v>
      </c>
      <c r="J492">
        <v>113</v>
      </c>
      <c r="K492" t="s">
        <v>27</v>
      </c>
      <c r="L492">
        <f t="shared" si="31"/>
        <v>5</v>
      </c>
      <c r="M492">
        <v>11</v>
      </c>
      <c r="N492">
        <f t="shared" si="28"/>
        <v>0</v>
      </c>
      <c r="O492" t="str">
        <f xml:space="preserve"> IF(AND(Table1[[#This Row],[Actual_Lead_Time]] &lt;= Table1[[#This Row],[Standard_Lead_Time]], OR(ISBLANK(J492), J492 = 0)), "OTIF", "Non-OTIF")</f>
        <v>Non-OTIF</v>
      </c>
      <c r="P492">
        <f>IF(Table1[[#This Row],[OTIF_Status]] = "OTIF", 1, 0)</f>
        <v>0</v>
      </c>
      <c r="Q492" s="5">
        <f t="shared" si="29"/>
        <v>13590.15</v>
      </c>
      <c r="R492" s="5">
        <f t="shared" si="30"/>
        <v>11679.15</v>
      </c>
      <c r="S492" s="5">
        <f>Table1[[#This Row],[Total_Line_Spend]]-Table1[[#This Row],[Negotiated_Total]]</f>
        <v>1911</v>
      </c>
      <c r="T492" t="str">
        <f xml:space="preserve"> IF(Table1[[#This Row],[Delay_Days]] &gt; 4, "High Risk", IF(Table1[[#This Row],[Delay_Days]] &gt; 0, "Medium Risk", "Low Risk"))</f>
        <v>Low Risk</v>
      </c>
    </row>
    <row r="493" spans="1:20" x14ac:dyDescent="0.25">
      <c r="A493" t="s">
        <v>518</v>
      </c>
      <c r="B493" t="s">
        <v>808</v>
      </c>
      <c r="C493" s="1">
        <v>44921</v>
      </c>
      <c r="D493" s="1">
        <v>44937</v>
      </c>
      <c r="E493" t="s">
        <v>13</v>
      </c>
      <c r="F493" t="s">
        <v>35</v>
      </c>
      <c r="G493">
        <v>1865</v>
      </c>
      <c r="H493" s="5">
        <v>30.29</v>
      </c>
      <c r="I493" s="5">
        <v>26.83</v>
      </c>
      <c r="J493">
        <v>56</v>
      </c>
      <c r="K493" t="s">
        <v>15</v>
      </c>
      <c r="L493">
        <f t="shared" si="31"/>
        <v>16</v>
      </c>
      <c r="M493">
        <v>11</v>
      </c>
      <c r="N493">
        <f t="shared" si="28"/>
        <v>5</v>
      </c>
      <c r="O493" t="str">
        <f xml:space="preserve"> IF(AND(Table1[[#This Row],[Actual_Lead_Time]] &lt;= Table1[[#This Row],[Standard_Lead_Time]], OR(ISBLANK(J493), J493 = 0)), "OTIF", "Non-OTIF")</f>
        <v>Non-OTIF</v>
      </c>
      <c r="P493">
        <f>IF(Table1[[#This Row],[OTIF_Status]] = "OTIF", 1, 0)</f>
        <v>0</v>
      </c>
      <c r="Q493" s="5">
        <f t="shared" si="29"/>
        <v>56490.85</v>
      </c>
      <c r="R493" s="5">
        <f t="shared" si="30"/>
        <v>50037.95</v>
      </c>
      <c r="S493" s="5">
        <f>Table1[[#This Row],[Total_Line_Spend]]-Table1[[#This Row],[Negotiated_Total]]</f>
        <v>6452.9000000000015</v>
      </c>
      <c r="T493" t="str">
        <f xml:space="preserve"> IF(Table1[[#This Row],[Delay_Days]] &gt; 4, "High Risk", IF(Table1[[#This Row],[Delay_Days]] &gt; 0, "Medium Risk", "Low Risk"))</f>
        <v>High Risk</v>
      </c>
    </row>
    <row r="494" spans="1:20" x14ac:dyDescent="0.25">
      <c r="A494" t="s">
        <v>519</v>
      </c>
      <c r="B494" t="s">
        <v>807</v>
      </c>
      <c r="C494" s="1">
        <v>45218</v>
      </c>
      <c r="D494" s="1">
        <v>45223</v>
      </c>
      <c r="E494" t="s">
        <v>39</v>
      </c>
      <c r="F494" t="s">
        <v>14</v>
      </c>
      <c r="G494">
        <v>675</v>
      </c>
      <c r="H494" s="5">
        <v>13.69</v>
      </c>
      <c r="I494" s="5">
        <v>11.84</v>
      </c>
      <c r="J494">
        <v>52</v>
      </c>
      <c r="K494" t="s">
        <v>15</v>
      </c>
      <c r="L494">
        <f t="shared" si="31"/>
        <v>5</v>
      </c>
      <c r="M494">
        <v>11</v>
      </c>
      <c r="N494">
        <f t="shared" si="28"/>
        <v>0</v>
      </c>
      <c r="O494" t="str">
        <f xml:space="preserve"> IF(AND(Table1[[#This Row],[Actual_Lead_Time]] &lt;= Table1[[#This Row],[Standard_Lead_Time]], OR(ISBLANK(J494), J494 = 0)), "OTIF", "Non-OTIF")</f>
        <v>Non-OTIF</v>
      </c>
      <c r="P494">
        <f>IF(Table1[[#This Row],[OTIF_Status]] = "OTIF", 1, 0)</f>
        <v>0</v>
      </c>
      <c r="Q494" s="5">
        <f t="shared" si="29"/>
        <v>9240.75</v>
      </c>
      <c r="R494" s="5">
        <f t="shared" si="30"/>
        <v>7992</v>
      </c>
      <c r="S494" s="5">
        <f>Table1[[#This Row],[Total_Line_Spend]]-Table1[[#This Row],[Negotiated_Total]]</f>
        <v>1248.75</v>
      </c>
      <c r="T494" t="str">
        <f xml:space="preserve"> IF(Table1[[#This Row],[Delay_Days]] &gt; 4, "High Risk", IF(Table1[[#This Row],[Delay_Days]] &gt; 0, "Medium Risk", "Low Risk"))</f>
        <v>Low Risk</v>
      </c>
    </row>
    <row r="495" spans="1:20" x14ac:dyDescent="0.25">
      <c r="A495" t="s">
        <v>520</v>
      </c>
      <c r="B495" t="s">
        <v>806</v>
      </c>
      <c r="C495" s="1">
        <v>45083</v>
      </c>
      <c r="D495" s="1">
        <v>45099</v>
      </c>
      <c r="E495" t="s">
        <v>21</v>
      </c>
      <c r="F495" t="s">
        <v>35</v>
      </c>
      <c r="G495">
        <v>1361</v>
      </c>
      <c r="H495" s="5">
        <v>28.57</v>
      </c>
      <c r="I495" s="5">
        <v>24.29</v>
      </c>
      <c r="J495">
        <v>65</v>
      </c>
      <c r="K495" t="s">
        <v>15</v>
      </c>
      <c r="L495">
        <f t="shared" si="31"/>
        <v>16</v>
      </c>
      <c r="M495">
        <v>11</v>
      </c>
      <c r="N495">
        <f t="shared" si="28"/>
        <v>5</v>
      </c>
      <c r="O495" t="str">
        <f xml:space="preserve"> IF(AND(Table1[[#This Row],[Actual_Lead_Time]] &lt;= Table1[[#This Row],[Standard_Lead_Time]], OR(ISBLANK(J495), J495 = 0)), "OTIF", "Non-OTIF")</f>
        <v>Non-OTIF</v>
      </c>
      <c r="P495">
        <f>IF(Table1[[#This Row],[OTIF_Status]] = "OTIF", 1, 0)</f>
        <v>0</v>
      </c>
      <c r="Q495" s="5">
        <f t="shared" si="29"/>
        <v>38883.769999999997</v>
      </c>
      <c r="R495" s="5">
        <f t="shared" si="30"/>
        <v>33058.69</v>
      </c>
      <c r="S495" s="5">
        <f>Table1[[#This Row],[Total_Line_Spend]]-Table1[[#This Row],[Negotiated_Total]]</f>
        <v>5825.0799999999945</v>
      </c>
      <c r="T495" t="str">
        <f xml:space="preserve"> IF(Table1[[#This Row],[Delay_Days]] &gt; 4, "High Risk", IF(Table1[[#This Row],[Delay_Days]] &gt; 0, "Medium Risk", "Low Risk"))</f>
        <v>High Risk</v>
      </c>
    </row>
    <row r="496" spans="1:20" x14ac:dyDescent="0.25">
      <c r="A496" t="s">
        <v>521</v>
      </c>
      <c r="B496" t="s">
        <v>806</v>
      </c>
      <c r="C496" s="1">
        <v>44971</v>
      </c>
      <c r="D496" s="1">
        <v>44972</v>
      </c>
      <c r="E496" t="s">
        <v>26</v>
      </c>
      <c r="F496" t="s">
        <v>18</v>
      </c>
      <c r="G496">
        <v>903</v>
      </c>
      <c r="H496" s="5">
        <v>66.53</v>
      </c>
      <c r="I496" s="5">
        <v>60.15</v>
      </c>
      <c r="J496">
        <v>29</v>
      </c>
      <c r="K496" t="s">
        <v>15</v>
      </c>
      <c r="L496">
        <f t="shared" si="31"/>
        <v>1</v>
      </c>
      <c r="M496">
        <v>11</v>
      </c>
      <c r="N496">
        <f t="shared" si="28"/>
        <v>0</v>
      </c>
      <c r="O496" t="str">
        <f xml:space="preserve"> IF(AND(Table1[[#This Row],[Actual_Lead_Time]] &lt;= Table1[[#This Row],[Standard_Lead_Time]], OR(ISBLANK(J496), J496 = 0)), "OTIF", "Non-OTIF")</f>
        <v>Non-OTIF</v>
      </c>
      <c r="P496">
        <f>IF(Table1[[#This Row],[OTIF_Status]] = "OTIF", 1, 0)</f>
        <v>0</v>
      </c>
      <c r="Q496" s="5">
        <f t="shared" si="29"/>
        <v>60076.590000000004</v>
      </c>
      <c r="R496" s="5">
        <f t="shared" si="30"/>
        <v>54315.45</v>
      </c>
      <c r="S496" s="5">
        <f>Table1[[#This Row],[Total_Line_Spend]]-Table1[[#This Row],[Negotiated_Total]]</f>
        <v>5761.1400000000067</v>
      </c>
      <c r="T496" t="str">
        <f xml:space="preserve"> IF(Table1[[#This Row],[Delay_Days]] &gt; 4, "High Risk", IF(Table1[[#This Row],[Delay_Days]] &gt; 0, "Medium Risk", "Low Risk"))</f>
        <v>Low Risk</v>
      </c>
    </row>
    <row r="497" spans="1:20" x14ac:dyDescent="0.25">
      <c r="A497" t="s">
        <v>522</v>
      </c>
      <c r="B497" t="s">
        <v>808</v>
      </c>
      <c r="C497" s="1">
        <v>45257</v>
      </c>
      <c r="D497" s="1">
        <v>45268</v>
      </c>
      <c r="E497" t="s">
        <v>24</v>
      </c>
      <c r="F497" t="s">
        <v>14</v>
      </c>
      <c r="G497">
        <v>1736</v>
      </c>
      <c r="H497" s="5">
        <v>53.2</v>
      </c>
      <c r="I497" s="5">
        <v>50.68</v>
      </c>
      <c r="J497">
        <v>48</v>
      </c>
      <c r="K497" t="s">
        <v>15</v>
      </c>
      <c r="L497">
        <f t="shared" si="31"/>
        <v>11</v>
      </c>
      <c r="M497">
        <v>11</v>
      </c>
      <c r="N497">
        <f t="shared" si="28"/>
        <v>0</v>
      </c>
      <c r="O497" t="str">
        <f xml:space="preserve"> IF(AND(Table1[[#This Row],[Actual_Lead_Time]] &lt;= Table1[[#This Row],[Standard_Lead_Time]], OR(ISBLANK(J497), J497 = 0)), "OTIF", "Non-OTIF")</f>
        <v>Non-OTIF</v>
      </c>
      <c r="P497">
        <f>IF(Table1[[#This Row],[OTIF_Status]] = "OTIF", 1, 0)</f>
        <v>0</v>
      </c>
      <c r="Q497" s="5">
        <f t="shared" si="29"/>
        <v>92355.200000000012</v>
      </c>
      <c r="R497" s="5">
        <f t="shared" si="30"/>
        <v>87980.479999999996</v>
      </c>
      <c r="S497" s="5">
        <f>Table1[[#This Row],[Total_Line_Spend]]-Table1[[#This Row],[Negotiated_Total]]</f>
        <v>4374.7200000000157</v>
      </c>
      <c r="T497" t="str">
        <f xml:space="preserve"> IF(Table1[[#This Row],[Delay_Days]] &gt; 4, "High Risk", IF(Table1[[#This Row],[Delay_Days]] &gt; 0, "Medium Risk", "Low Risk"))</f>
        <v>Low Risk</v>
      </c>
    </row>
    <row r="498" spans="1:20" x14ac:dyDescent="0.25">
      <c r="A498" t="s">
        <v>523</v>
      </c>
      <c r="B498" t="s">
        <v>807</v>
      </c>
      <c r="C498" s="1">
        <v>45111</v>
      </c>
      <c r="D498" s="1">
        <v>45118</v>
      </c>
      <c r="E498" t="s">
        <v>21</v>
      </c>
      <c r="F498" t="s">
        <v>18</v>
      </c>
      <c r="G498">
        <v>1011</v>
      </c>
      <c r="H498" s="5">
        <v>98.47</v>
      </c>
      <c r="I498" s="5">
        <v>97.06</v>
      </c>
      <c r="J498">
        <v>91</v>
      </c>
      <c r="K498" t="s">
        <v>15</v>
      </c>
      <c r="L498">
        <f t="shared" si="31"/>
        <v>7</v>
      </c>
      <c r="M498">
        <v>11</v>
      </c>
      <c r="N498">
        <f t="shared" si="28"/>
        <v>0</v>
      </c>
      <c r="O498" t="str">
        <f xml:space="preserve"> IF(AND(Table1[[#This Row],[Actual_Lead_Time]] &lt;= Table1[[#This Row],[Standard_Lead_Time]], OR(ISBLANK(J498), J498 = 0)), "OTIF", "Non-OTIF")</f>
        <v>Non-OTIF</v>
      </c>
      <c r="P498">
        <f>IF(Table1[[#This Row],[OTIF_Status]] = "OTIF", 1, 0)</f>
        <v>0</v>
      </c>
      <c r="Q498" s="5">
        <f t="shared" si="29"/>
        <v>99553.17</v>
      </c>
      <c r="R498" s="5">
        <f t="shared" si="30"/>
        <v>98127.66</v>
      </c>
      <c r="S498" s="5">
        <f>Table1[[#This Row],[Total_Line_Spend]]-Table1[[#This Row],[Negotiated_Total]]</f>
        <v>1425.5099999999948</v>
      </c>
      <c r="T498" t="str">
        <f xml:space="preserve"> IF(Table1[[#This Row],[Delay_Days]] &gt; 4, "High Risk", IF(Table1[[#This Row],[Delay_Days]] &gt; 0, "Medium Risk", "Low Risk"))</f>
        <v>Low Risk</v>
      </c>
    </row>
    <row r="499" spans="1:20" x14ac:dyDescent="0.25">
      <c r="A499" t="s">
        <v>524</v>
      </c>
      <c r="B499" t="s">
        <v>805</v>
      </c>
      <c r="C499" s="1">
        <v>44901</v>
      </c>
      <c r="D499" s="1">
        <v>44919</v>
      </c>
      <c r="E499" t="s">
        <v>39</v>
      </c>
      <c r="F499" t="s">
        <v>18</v>
      </c>
      <c r="G499">
        <v>1712</v>
      </c>
      <c r="H499" s="5">
        <v>88.17</v>
      </c>
      <c r="I499" s="5">
        <v>85.86</v>
      </c>
      <c r="J499">
        <v>246</v>
      </c>
      <c r="K499" t="s">
        <v>15</v>
      </c>
      <c r="L499">
        <f t="shared" si="31"/>
        <v>18</v>
      </c>
      <c r="M499">
        <v>11</v>
      </c>
      <c r="N499">
        <f t="shared" si="28"/>
        <v>7</v>
      </c>
      <c r="O499" t="str">
        <f xml:space="preserve"> IF(AND(Table1[[#This Row],[Actual_Lead_Time]] &lt;= Table1[[#This Row],[Standard_Lead_Time]], OR(ISBLANK(J499), J499 = 0)), "OTIF", "Non-OTIF")</f>
        <v>Non-OTIF</v>
      </c>
      <c r="P499">
        <f>IF(Table1[[#This Row],[OTIF_Status]] = "OTIF", 1, 0)</f>
        <v>0</v>
      </c>
      <c r="Q499" s="5">
        <f t="shared" si="29"/>
        <v>150947.04</v>
      </c>
      <c r="R499" s="5">
        <f t="shared" si="30"/>
        <v>146992.32000000001</v>
      </c>
      <c r="S499" s="5">
        <f>Table1[[#This Row],[Total_Line_Spend]]-Table1[[#This Row],[Negotiated_Total]]</f>
        <v>3954.7200000000012</v>
      </c>
      <c r="T499" t="str">
        <f xml:space="preserve"> IF(Table1[[#This Row],[Delay_Days]] &gt; 4, "High Risk", IF(Table1[[#This Row],[Delay_Days]] &gt; 0, "Medium Risk", "Low Risk"))</f>
        <v>High Risk</v>
      </c>
    </row>
    <row r="500" spans="1:20" x14ac:dyDescent="0.25">
      <c r="A500" t="s">
        <v>525</v>
      </c>
      <c r="B500" t="s">
        <v>806</v>
      </c>
      <c r="C500" s="1">
        <v>44590</v>
      </c>
      <c r="D500" s="1">
        <v>44600</v>
      </c>
      <c r="E500" t="s">
        <v>13</v>
      </c>
      <c r="F500" t="s">
        <v>18</v>
      </c>
      <c r="G500">
        <v>204</v>
      </c>
      <c r="H500" s="5">
        <v>40.76</v>
      </c>
      <c r="I500" s="5">
        <v>37.46</v>
      </c>
      <c r="J500">
        <v>10</v>
      </c>
      <c r="K500" t="s">
        <v>15</v>
      </c>
      <c r="L500">
        <f t="shared" si="31"/>
        <v>10</v>
      </c>
      <c r="M500">
        <v>11</v>
      </c>
      <c r="N500">
        <f t="shared" si="28"/>
        <v>0</v>
      </c>
      <c r="O500" t="str">
        <f xml:space="preserve"> IF(AND(Table1[[#This Row],[Actual_Lead_Time]] &lt;= Table1[[#This Row],[Standard_Lead_Time]], OR(ISBLANK(J500), J500 = 0)), "OTIF", "Non-OTIF")</f>
        <v>Non-OTIF</v>
      </c>
      <c r="P500">
        <f>IF(Table1[[#This Row],[OTIF_Status]] = "OTIF", 1, 0)</f>
        <v>0</v>
      </c>
      <c r="Q500" s="5">
        <f t="shared" si="29"/>
        <v>8315.0399999999991</v>
      </c>
      <c r="R500" s="5">
        <f t="shared" si="30"/>
        <v>7641.84</v>
      </c>
      <c r="S500" s="5">
        <f>Table1[[#This Row],[Total_Line_Spend]]-Table1[[#This Row],[Negotiated_Total]]</f>
        <v>673.19999999999891</v>
      </c>
      <c r="T500" t="str">
        <f xml:space="preserve"> IF(Table1[[#This Row],[Delay_Days]] &gt; 4, "High Risk", IF(Table1[[#This Row],[Delay_Days]] &gt; 0, "Medium Risk", "Low Risk"))</f>
        <v>Low Risk</v>
      </c>
    </row>
    <row r="501" spans="1:20" x14ac:dyDescent="0.25">
      <c r="A501" t="s">
        <v>526</v>
      </c>
      <c r="B501" t="s">
        <v>807</v>
      </c>
      <c r="C501" s="1">
        <v>44680</v>
      </c>
      <c r="D501" s="1">
        <v>44694</v>
      </c>
      <c r="E501" t="s">
        <v>39</v>
      </c>
      <c r="F501" t="s">
        <v>33</v>
      </c>
      <c r="G501">
        <v>539</v>
      </c>
      <c r="H501" s="5">
        <v>33.85</v>
      </c>
      <c r="I501" s="5">
        <v>30.57</v>
      </c>
      <c r="J501">
        <v>34</v>
      </c>
      <c r="K501" t="s">
        <v>27</v>
      </c>
      <c r="L501">
        <f t="shared" si="31"/>
        <v>14</v>
      </c>
      <c r="M501">
        <v>11</v>
      </c>
      <c r="N501">
        <f t="shared" si="28"/>
        <v>3</v>
      </c>
      <c r="O501" t="str">
        <f xml:space="preserve"> IF(AND(Table1[[#This Row],[Actual_Lead_Time]] &lt;= Table1[[#This Row],[Standard_Lead_Time]], OR(ISBLANK(J501), J501 = 0)), "OTIF", "Non-OTIF")</f>
        <v>Non-OTIF</v>
      </c>
      <c r="P501">
        <f>IF(Table1[[#This Row],[OTIF_Status]] = "OTIF", 1, 0)</f>
        <v>0</v>
      </c>
      <c r="Q501" s="5">
        <f t="shared" si="29"/>
        <v>18245.150000000001</v>
      </c>
      <c r="R501" s="5">
        <f t="shared" si="30"/>
        <v>16477.23</v>
      </c>
      <c r="S501" s="5">
        <f>Table1[[#This Row],[Total_Line_Spend]]-Table1[[#This Row],[Negotiated_Total]]</f>
        <v>1767.9200000000019</v>
      </c>
      <c r="T501" t="str">
        <f xml:space="preserve"> IF(Table1[[#This Row],[Delay_Days]] &gt; 4, "High Risk", IF(Table1[[#This Row],[Delay_Days]] &gt; 0, "Medium Risk", "Low Risk"))</f>
        <v>Medium Risk</v>
      </c>
    </row>
    <row r="502" spans="1:20" x14ac:dyDescent="0.25">
      <c r="A502" t="s">
        <v>527</v>
      </c>
      <c r="B502" t="s">
        <v>805</v>
      </c>
      <c r="C502" s="1">
        <v>44829</v>
      </c>
      <c r="D502" s="1">
        <v>44839</v>
      </c>
      <c r="E502" t="s">
        <v>13</v>
      </c>
      <c r="F502" t="s">
        <v>18</v>
      </c>
      <c r="G502">
        <v>1459</v>
      </c>
      <c r="H502" s="5">
        <v>45.94</v>
      </c>
      <c r="I502" s="5">
        <v>42.56</v>
      </c>
      <c r="J502">
        <v>212</v>
      </c>
      <c r="K502" t="s">
        <v>27</v>
      </c>
      <c r="L502">
        <f t="shared" si="31"/>
        <v>10</v>
      </c>
      <c r="M502">
        <v>11</v>
      </c>
      <c r="N502">
        <f t="shared" si="28"/>
        <v>0</v>
      </c>
      <c r="O502" t="str">
        <f xml:space="preserve"> IF(AND(Table1[[#This Row],[Actual_Lead_Time]] &lt;= Table1[[#This Row],[Standard_Lead_Time]], OR(ISBLANK(J502), J502 = 0)), "OTIF", "Non-OTIF")</f>
        <v>Non-OTIF</v>
      </c>
      <c r="P502">
        <f>IF(Table1[[#This Row],[OTIF_Status]] = "OTIF", 1, 0)</f>
        <v>0</v>
      </c>
      <c r="Q502" s="5">
        <f t="shared" si="29"/>
        <v>67026.459999999992</v>
      </c>
      <c r="R502" s="5">
        <f t="shared" si="30"/>
        <v>62095.040000000001</v>
      </c>
      <c r="S502" s="5">
        <f>Table1[[#This Row],[Total_Line_Spend]]-Table1[[#This Row],[Negotiated_Total]]</f>
        <v>4931.419999999991</v>
      </c>
      <c r="T502" t="str">
        <f xml:space="preserve"> IF(Table1[[#This Row],[Delay_Days]] &gt; 4, "High Risk", IF(Table1[[#This Row],[Delay_Days]] &gt; 0, "Medium Risk", "Low Risk"))</f>
        <v>Low Risk</v>
      </c>
    </row>
    <row r="503" spans="1:20" x14ac:dyDescent="0.25">
      <c r="A503" t="s">
        <v>528</v>
      </c>
      <c r="B503" t="s">
        <v>806</v>
      </c>
      <c r="C503" s="1">
        <v>44744</v>
      </c>
      <c r="D503" s="1">
        <v>44748</v>
      </c>
      <c r="E503" t="s">
        <v>21</v>
      </c>
      <c r="F503" t="s">
        <v>18</v>
      </c>
      <c r="G503">
        <v>834</v>
      </c>
      <c r="H503" s="5">
        <v>65.02</v>
      </c>
      <c r="I503" s="5">
        <v>56.19</v>
      </c>
      <c r="K503" t="s">
        <v>15</v>
      </c>
      <c r="L503">
        <f t="shared" si="31"/>
        <v>4</v>
      </c>
      <c r="M503">
        <v>11</v>
      </c>
      <c r="N503">
        <f t="shared" si="28"/>
        <v>0</v>
      </c>
      <c r="O503" t="str">
        <f xml:space="preserve"> IF(AND(Table1[[#This Row],[Actual_Lead_Time]] &lt;= Table1[[#This Row],[Standard_Lead_Time]], OR(ISBLANK(J503), J503 = 0)), "OTIF", "Non-OTIF")</f>
        <v>OTIF</v>
      </c>
      <c r="P503">
        <f>IF(Table1[[#This Row],[OTIF_Status]] = "OTIF", 1, 0)</f>
        <v>1</v>
      </c>
      <c r="Q503" s="5">
        <f t="shared" si="29"/>
        <v>54226.68</v>
      </c>
      <c r="R503" s="5">
        <f t="shared" si="30"/>
        <v>46862.46</v>
      </c>
      <c r="S503" s="5">
        <f>Table1[[#This Row],[Total_Line_Spend]]-Table1[[#This Row],[Negotiated_Total]]</f>
        <v>7364.2200000000012</v>
      </c>
      <c r="T503" t="str">
        <f xml:space="preserve"> IF(Table1[[#This Row],[Delay_Days]] &gt; 4, "High Risk", IF(Table1[[#This Row],[Delay_Days]] &gt; 0, "Medium Risk", "Low Risk"))</f>
        <v>Low Risk</v>
      </c>
    </row>
    <row r="504" spans="1:20" x14ac:dyDescent="0.25">
      <c r="A504" t="s">
        <v>529</v>
      </c>
      <c r="B504" t="s">
        <v>806</v>
      </c>
      <c r="C504" s="1">
        <v>45156</v>
      </c>
      <c r="D504" s="1">
        <v>45170</v>
      </c>
      <c r="E504" t="s">
        <v>24</v>
      </c>
      <c r="F504" t="s">
        <v>33</v>
      </c>
      <c r="G504">
        <v>1177</v>
      </c>
      <c r="H504" s="5">
        <v>37.369999999999997</v>
      </c>
      <c r="I504" s="5">
        <v>34.270000000000003</v>
      </c>
      <c r="J504">
        <v>60</v>
      </c>
      <c r="K504" t="s">
        <v>15</v>
      </c>
      <c r="L504">
        <f t="shared" si="31"/>
        <v>14</v>
      </c>
      <c r="M504">
        <v>11</v>
      </c>
      <c r="N504">
        <f t="shared" si="28"/>
        <v>3</v>
      </c>
      <c r="O504" t="str">
        <f xml:space="preserve"> IF(AND(Table1[[#This Row],[Actual_Lead_Time]] &lt;= Table1[[#This Row],[Standard_Lead_Time]], OR(ISBLANK(J504), J504 = 0)), "OTIF", "Non-OTIF")</f>
        <v>Non-OTIF</v>
      </c>
      <c r="P504">
        <f>IF(Table1[[#This Row],[OTIF_Status]] = "OTIF", 1, 0)</f>
        <v>0</v>
      </c>
      <c r="Q504" s="5">
        <f t="shared" si="29"/>
        <v>43984.49</v>
      </c>
      <c r="R504" s="5">
        <f t="shared" si="30"/>
        <v>40335.79</v>
      </c>
      <c r="S504" s="5">
        <f>Table1[[#This Row],[Total_Line_Spend]]-Table1[[#This Row],[Negotiated_Total]]</f>
        <v>3648.6999999999971</v>
      </c>
      <c r="T504" t="str">
        <f xml:space="preserve"> IF(Table1[[#This Row],[Delay_Days]] &gt; 4, "High Risk", IF(Table1[[#This Row],[Delay_Days]] &gt; 0, "Medium Risk", "Low Risk"))</f>
        <v>Medium Risk</v>
      </c>
    </row>
    <row r="505" spans="1:20" x14ac:dyDescent="0.25">
      <c r="A505" t="s">
        <v>530</v>
      </c>
      <c r="B505" t="s">
        <v>805</v>
      </c>
      <c r="C505" s="1">
        <v>44833</v>
      </c>
      <c r="D505" s="1">
        <v>44853</v>
      </c>
      <c r="E505" t="s">
        <v>21</v>
      </c>
      <c r="F505" t="s">
        <v>18</v>
      </c>
      <c r="G505">
        <v>1466</v>
      </c>
      <c r="H505" s="5">
        <v>68.819999999999993</v>
      </c>
      <c r="I505" s="5">
        <v>66.819999999999993</v>
      </c>
      <c r="J505">
        <v>211</v>
      </c>
      <c r="K505" t="s">
        <v>15</v>
      </c>
      <c r="L505">
        <f t="shared" si="31"/>
        <v>20</v>
      </c>
      <c r="M505">
        <v>11</v>
      </c>
      <c r="N505">
        <f t="shared" si="28"/>
        <v>9</v>
      </c>
      <c r="O505" t="str">
        <f xml:space="preserve"> IF(AND(Table1[[#This Row],[Actual_Lead_Time]] &lt;= Table1[[#This Row],[Standard_Lead_Time]], OR(ISBLANK(J505), J505 = 0)), "OTIF", "Non-OTIF")</f>
        <v>Non-OTIF</v>
      </c>
      <c r="P505">
        <f>IF(Table1[[#This Row],[OTIF_Status]] = "OTIF", 1, 0)</f>
        <v>0</v>
      </c>
      <c r="Q505" s="5">
        <f t="shared" si="29"/>
        <v>100890.12</v>
      </c>
      <c r="R505" s="5">
        <f t="shared" si="30"/>
        <v>97958.12</v>
      </c>
      <c r="S505" s="5">
        <f>Table1[[#This Row],[Total_Line_Spend]]-Table1[[#This Row],[Negotiated_Total]]</f>
        <v>2932</v>
      </c>
      <c r="T505" t="str">
        <f xml:space="preserve"> IF(Table1[[#This Row],[Delay_Days]] &gt; 4, "High Risk", IF(Table1[[#This Row],[Delay_Days]] &gt; 0, "Medium Risk", "Low Risk"))</f>
        <v>High Risk</v>
      </c>
    </row>
    <row r="506" spans="1:20" x14ac:dyDescent="0.25">
      <c r="A506" t="s">
        <v>531</v>
      </c>
      <c r="B506" t="s">
        <v>808</v>
      </c>
      <c r="C506" s="1">
        <v>44601</v>
      </c>
      <c r="D506" s="1">
        <v>44605</v>
      </c>
      <c r="E506" t="s">
        <v>39</v>
      </c>
      <c r="F506" t="s">
        <v>18</v>
      </c>
      <c r="G506">
        <v>1884</v>
      </c>
      <c r="H506" s="5">
        <v>47.08</v>
      </c>
      <c r="I506" s="5">
        <v>44.31</v>
      </c>
      <c r="J506">
        <v>54</v>
      </c>
      <c r="K506" t="s">
        <v>15</v>
      </c>
      <c r="L506">
        <f t="shared" si="31"/>
        <v>4</v>
      </c>
      <c r="M506">
        <v>11</v>
      </c>
      <c r="N506">
        <f t="shared" si="28"/>
        <v>0</v>
      </c>
      <c r="O506" t="str">
        <f xml:space="preserve"> IF(AND(Table1[[#This Row],[Actual_Lead_Time]] &lt;= Table1[[#This Row],[Standard_Lead_Time]], OR(ISBLANK(J506), J506 = 0)), "OTIF", "Non-OTIF")</f>
        <v>Non-OTIF</v>
      </c>
      <c r="P506">
        <f>IF(Table1[[#This Row],[OTIF_Status]] = "OTIF", 1, 0)</f>
        <v>0</v>
      </c>
      <c r="Q506" s="5">
        <f t="shared" si="29"/>
        <v>88698.72</v>
      </c>
      <c r="R506" s="5">
        <f t="shared" si="30"/>
        <v>83480.040000000008</v>
      </c>
      <c r="S506" s="5">
        <f>Table1[[#This Row],[Total_Line_Spend]]-Table1[[#This Row],[Negotiated_Total]]</f>
        <v>5218.679999999993</v>
      </c>
      <c r="T506" t="str">
        <f xml:space="preserve"> IF(Table1[[#This Row],[Delay_Days]] &gt; 4, "High Risk", IF(Table1[[#This Row],[Delay_Days]] &gt; 0, "Medium Risk", "Low Risk"))</f>
        <v>Low Risk</v>
      </c>
    </row>
    <row r="507" spans="1:20" x14ac:dyDescent="0.25">
      <c r="A507" t="s">
        <v>532</v>
      </c>
      <c r="B507" t="s">
        <v>807</v>
      </c>
      <c r="C507" s="1">
        <v>44673</v>
      </c>
      <c r="D507" s="1">
        <v>44689</v>
      </c>
      <c r="E507" t="s">
        <v>39</v>
      </c>
      <c r="F507" t="s">
        <v>18</v>
      </c>
      <c r="G507">
        <v>295</v>
      </c>
      <c r="H507" s="5">
        <v>60.58</v>
      </c>
      <c r="I507" s="5">
        <v>57.32</v>
      </c>
      <c r="J507">
        <v>31</v>
      </c>
      <c r="K507" t="s">
        <v>15</v>
      </c>
      <c r="L507">
        <f t="shared" si="31"/>
        <v>16</v>
      </c>
      <c r="M507">
        <v>11</v>
      </c>
      <c r="N507">
        <f t="shared" si="28"/>
        <v>5</v>
      </c>
      <c r="O507" t="str">
        <f xml:space="preserve"> IF(AND(Table1[[#This Row],[Actual_Lead_Time]] &lt;= Table1[[#This Row],[Standard_Lead_Time]], OR(ISBLANK(J507), J507 = 0)), "OTIF", "Non-OTIF")</f>
        <v>Non-OTIF</v>
      </c>
      <c r="P507">
        <f>IF(Table1[[#This Row],[OTIF_Status]] = "OTIF", 1, 0)</f>
        <v>0</v>
      </c>
      <c r="Q507" s="5">
        <f t="shared" si="29"/>
        <v>17871.099999999999</v>
      </c>
      <c r="R507" s="5">
        <f t="shared" si="30"/>
        <v>16909.400000000001</v>
      </c>
      <c r="S507" s="5">
        <f>Table1[[#This Row],[Total_Line_Spend]]-Table1[[#This Row],[Negotiated_Total]]</f>
        <v>961.69999999999709</v>
      </c>
      <c r="T507" t="str">
        <f xml:space="preserve"> IF(Table1[[#This Row],[Delay_Days]] &gt; 4, "High Risk", IF(Table1[[#This Row],[Delay_Days]] &gt; 0, "Medium Risk", "Low Risk"))</f>
        <v>High Risk</v>
      </c>
    </row>
    <row r="508" spans="1:20" x14ac:dyDescent="0.25">
      <c r="A508" t="s">
        <v>533</v>
      </c>
      <c r="B508" t="s">
        <v>806</v>
      </c>
      <c r="C508" s="1">
        <v>45172</v>
      </c>
      <c r="D508" s="1">
        <v>45173</v>
      </c>
      <c r="E508" t="s">
        <v>26</v>
      </c>
      <c r="F508" t="s">
        <v>18</v>
      </c>
      <c r="G508">
        <v>1249</v>
      </c>
      <c r="H508" s="5">
        <v>54.18</v>
      </c>
      <c r="I508" s="5">
        <v>47.29</v>
      </c>
      <c r="J508">
        <v>59</v>
      </c>
      <c r="K508" t="s">
        <v>15</v>
      </c>
      <c r="L508">
        <f t="shared" si="31"/>
        <v>1</v>
      </c>
      <c r="M508">
        <v>11</v>
      </c>
      <c r="N508">
        <f t="shared" si="28"/>
        <v>0</v>
      </c>
      <c r="O508" t="str">
        <f xml:space="preserve"> IF(AND(Table1[[#This Row],[Actual_Lead_Time]] &lt;= Table1[[#This Row],[Standard_Lead_Time]], OR(ISBLANK(J508), J508 = 0)), "OTIF", "Non-OTIF")</f>
        <v>Non-OTIF</v>
      </c>
      <c r="P508">
        <f>IF(Table1[[#This Row],[OTIF_Status]] = "OTIF", 1, 0)</f>
        <v>0</v>
      </c>
      <c r="Q508" s="5">
        <f t="shared" si="29"/>
        <v>67670.819999999992</v>
      </c>
      <c r="R508" s="5">
        <f t="shared" si="30"/>
        <v>59065.21</v>
      </c>
      <c r="S508" s="5">
        <f>Table1[[#This Row],[Total_Line_Spend]]-Table1[[#This Row],[Negotiated_Total]]</f>
        <v>8605.6099999999933</v>
      </c>
      <c r="T508" t="str">
        <f xml:space="preserve"> IF(Table1[[#This Row],[Delay_Days]] &gt; 4, "High Risk", IF(Table1[[#This Row],[Delay_Days]] &gt; 0, "Medium Risk", "Low Risk"))</f>
        <v>Low Risk</v>
      </c>
    </row>
    <row r="509" spans="1:20" x14ac:dyDescent="0.25">
      <c r="A509" t="s">
        <v>534</v>
      </c>
      <c r="B509" t="s">
        <v>805</v>
      </c>
      <c r="C509" s="1">
        <v>45006</v>
      </c>
      <c r="D509" s="1">
        <v>45025</v>
      </c>
      <c r="E509" t="s">
        <v>26</v>
      </c>
      <c r="F509" t="s">
        <v>18</v>
      </c>
      <c r="G509">
        <v>1112</v>
      </c>
      <c r="H509" s="5">
        <v>39.06</v>
      </c>
      <c r="I509" s="5">
        <v>33.6</v>
      </c>
      <c r="J509">
        <v>184</v>
      </c>
      <c r="K509" t="s">
        <v>27</v>
      </c>
      <c r="L509">
        <f t="shared" si="31"/>
        <v>19</v>
      </c>
      <c r="M509">
        <v>11</v>
      </c>
      <c r="N509">
        <f t="shared" si="28"/>
        <v>8</v>
      </c>
      <c r="O509" t="str">
        <f xml:space="preserve"> IF(AND(Table1[[#This Row],[Actual_Lead_Time]] &lt;= Table1[[#This Row],[Standard_Lead_Time]], OR(ISBLANK(J509), J509 = 0)), "OTIF", "Non-OTIF")</f>
        <v>Non-OTIF</v>
      </c>
      <c r="P509">
        <f>IF(Table1[[#This Row],[OTIF_Status]] = "OTIF", 1, 0)</f>
        <v>0</v>
      </c>
      <c r="Q509" s="5">
        <f t="shared" si="29"/>
        <v>43434.720000000001</v>
      </c>
      <c r="R509" s="5">
        <f t="shared" si="30"/>
        <v>37363.200000000004</v>
      </c>
      <c r="S509" s="5">
        <f>Table1[[#This Row],[Total_Line_Spend]]-Table1[[#This Row],[Negotiated_Total]]</f>
        <v>6071.5199999999968</v>
      </c>
      <c r="T509" t="str">
        <f xml:space="preserve"> IF(Table1[[#This Row],[Delay_Days]] &gt; 4, "High Risk", IF(Table1[[#This Row],[Delay_Days]] &gt; 0, "Medium Risk", "Low Risk"))</f>
        <v>High Risk</v>
      </c>
    </row>
    <row r="510" spans="1:20" x14ac:dyDescent="0.25">
      <c r="A510" t="s">
        <v>535</v>
      </c>
      <c r="B510" t="s">
        <v>806</v>
      </c>
      <c r="C510" s="1">
        <v>44915</v>
      </c>
      <c r="D510" s="1">
        <v>44920</v>
      </c>
      <c r="E510" t="s">
        <v>13</v>
      </c>
      <c r="F510" t="s">
        <v>18</v>
      </c>
      <c r="G510">
        <v>1550</v>
      </c>
      <c r="H510" s="5">
        <v>100.61</v>
      </c>
      <c r="I510" s="5">
        <v>97.43</v>
      </c>
      <c r="J510">
        <v>66</v>
      </c>
      <c r="K510" t="s">
        <v>15</v>
      </c>
      <c r="L510">
        <f t="shared" si="31"/>
        <v>5</v>
      </c>
      <c r="M510">
        <v>11</v>
      </c>
      <c r="N510">
        <f t="shared" si="28"/>
        <v>0</v>
      </c>
      <c r="O510" t="str">
        <f xml:space="preserve"> IF(AND(Table1[[#This Row],[Actual_Lead_Time]] &lt;= Table1[[#This Row],[Standard_Lead_Time]], OR(ISBLANK(J510), J510 = 0)), "OTIF", "Non-OTIF")</f>
        <v>Non-OTIF</v>
      </c>
      <c r="P510">
        <f>IF(Table1[[#This Row],[OTIF_Status]] = "OTIF", 1, 0)</f>
        <v>0</v>
      </c>
      <c r="Q510" s="5">
        <f t="shared" si="29"/>
        <v>155945.5</v>
      </c>
      <c r="R510" s="5">
        <f t="shared" si="30"/>
        <v>151016.5</v>
      </c>
      <c r="S510" s="5">
        <f>Table1[[#This Row],[Total_Line_Spend]]-Table1[[#This Row],[Negotiated_Total]]</f>
        <v>4929</v>
      </c>
      <c r="T510" t="str">
        <f xml:space="preserve"> IF(Table1[[#This Row],[Delay_Days]] &gt; 4, "High Risk", IF(Table1[[#This Row],[Delay_Days]] &gt; 0, "Medium Risk", "Low Risk"))</f>
        <v>Low Risk</v>
      </c>
    </row>
    <row r="511" spans="1:20" x14ac:dyDescent="0.25">
      <c r="A511" t="s">
        <v>536</v>
      </c>
      <c r="B511" t="s">
        <v>805</v>
      </c>
      <c r="C511" s="1">
        <v>44883</v>
      </c>
      <c r="D511" s="1">
        <v>44884</v>
      </c>
      <c r="E511" t="s">
        <v>39</v>
      </c>
      <c r="F511" t="s">
        <v>18</v>
      </c>
      <c r="G511">
        <v>1755</v>
      </c>
      <c r="H511" s="5">
        <v>82.66</v>
      </c>
      <c r="I511" s="5">
        <v>73.67</v>
      </c>
      <c r="J511">
        <v>258</v>
      </c>
      <c r="K511" t="s">
        <v>27</v>
      </c>
      <c r="L511">
        <f t="shared" si="31"/>
        <v>1</v>
      </c>
      <c r="M511">
        <v>11</v>
      </c>
      <c r="N511">
        <f t="shared" si="28"/>
        <v>0</v>
      </c>
      <c r="O511" t="str">
        <f xml:space="preserve"> IF(AND(Table1[[#This Row],[Actual_Lead_Time]] &lt;= Table1[[#This Row],[Standard_Lead_Time]], OR(ISBLANK(J511), J511 = 0)), "OTIF", "Non-OTIF")</f>
        <v>Non-OTIF</v>
      </c>
      <c r="P511">
        <f>IF(Table1[[#This Row],[OTIF_Status]] = "OTIF", 1, 0)</f>
        <v>0</v>
      </c>
      <c r="Q511" s="5">
        <f t="shared" si="29"/>
        <v>145068.29999999999</v>
      </c>
      <c r="R511" s="5">
        <f t="shared" si="30"/>
        <v>129290.85</v>
      </c>
      <c r="S511" s="5">
        <f>Table1[[#This Row],[Total_Line_Spend]]-Table1[[#This Row],[Negotiated_Total]]</f>
        <v>15777.449999999983</v>
      </c>
      <c r="T511" t="str">
        <f xml:space="preserve"> IF(Table1[[#This Row],[Delay_Days]] &gt; 4, "High Risk", IF(Table1[[#This Row],[Delay_Days]] &gt; 0, "Medium Risk", "Low Risk"))</f>
        <v>Low Risk</v>
      </c>
    </row>
    <row r="512" spans="1:20" x14ac:dyDescent="0.25">
      <c r="A512" t="s">
        <v>537</v>
      </c>
      <c r="B512" t="s">
        <v>806</v>
      </c>
      <c r="C512" s="1">
        <v>45008</v>
      </c>
      <c r="D512" s="1">
        <v>45016</v>
      </c>
      <c r="E512" t="s">
        <v>26</v>
      </c>
      <c r="F512" t="s">
        <v>18</v>
      </c>
      <c r="G512">
        <v>808</v>
      </c>
      <c r="H512" s="5">
        <v>24.19</v>
      </c>
      <c r="I512" s="5">
        <v>21.64</v>
      </c>
      <c r="J512">
        <v>39</v>
      </c>
      <c r="K512" t="s">
        <v>15</v>
      </c>
      <c r="L512">
        <f t="shared" si="31"/>
        <v>8</v>
      </c>
      <c r="M512">
        <v>11</v>
      </c>
      <c r="N512">
        <f t="shared" si="28"/>
        <v>0</v>
      </c>
      <c r="O512" t="str">
        <f xml:space="preserve"> IF(AND(Table1[[#This Row],[Actual_Lead_Time]] &lt;= Table1[[#This Row],[Standard_Lead_Time]], OR(ISBLANK(J512), J512 = 0)), "OTIF", "Non-OTIF")</f>
        <v>Non-OTIF</v>
      </c>
      <c r="P512">
        <f>IF(Table1[[#This Row],[OTIF_Status]] = "OTIF", 1, 0)</f>
        <v>0</v>
      </c>
      <c r="Q512" s="5">
        <f t="shared" si="29"/>
        <v>19545.52</v>
      </c>
      <c r="R512" s="5">
        <f t="shared" si="30"/>
        <v>17485.12</v>
      </c>
      <c r="S512" s="5">
        <f>Table1[[#This Row],[Total_Line_Spend]]-Table1[[#This Row],[Negotiated_Total]]</f>
        <v>2060.4000000000015</v>
      </c>
      <c r="T512" t="str">
        <f xml:space="preserve"> IF(Table1[[#This Row],[Delay_Days]] &gt; 4, "High Risk", IF(Table1[[#This Row],[Delay_Days]] &gt; 0, "Medium Risk", "Low Risk"))</f>
        <v>Low Risk</v>
      </c>
    </row>
    <row r="513" spans="1:20" x14ac:dyDescent="0.25">
      <c r="A513" t="s">
        <v>538</v>
      </c>
      <c r="B513" t="s">
        <v>804</v>
      </c>
      <c r="C513" s="1">
        <v>45182</v>
      </c>
      <c r="D513" s="1">
        <v>45188</v>
      </c>
      <c r="E513" t="s">
        <v>26</v>
      </c>
      <c r="F513" t="s">
        <v>33</v>
      </c>
      <c r="G513">
        <v>587</v>
      </c>
      <c r="H513" s="5">
        <v>96.98</v>
      </c>
      <c r="I513" s="5">
        <v>95.35</v>
      </c>
      <c r="J513">
        <v>14</v>
      </c>
      <c r="K513" t="s">
        <v>15</v>
      </c>
      <c r="L513">
        <f t="shared" si="31"/>
        <v>6</v>
      </c>
      <c r="M513">
        <v>11</v>
      </c>
      <c r="N513">
        <f t="shared" si="28"/>
        <v>0</v>
      </c>
      <c r="O513" t="str">
        <f xml:space="preserve"> IF(AND(Table1[[#This Row],[Actual_Lead_Time]] &lt;= Table1[[#This Row],[Standard_Lead_Time]], OR(ISBLANK(J513), J513 = 0)), "OTIF", "Non-OTIF")</f>
        <v>Non-OTIF</v>
      </c>
      <c r="P513">
        <f>IF(Table1[[#This Row],[OTIF_Status]] = "OTIF", 1, 0)</f>
        <v>0</v>
      </c>
      <c r="Q513" s="5">
        <f t="shared" si="29"/>
        <v>56927.26</v>
      </c>
      <c r="R513" s="5">
        <f t="shared" si="30"/>
        <v>55970.45</v>
      </c>
      <c r="S513" s="5">
        <f>Table1[[#This Row],[Total_Line_Spend]]-Table1[[#This Row],[Negotiated_Total]]</f>
        <v>956.81000000000495</v>
      </c>
      <c r="T513" t="str">
        <f xml:space="preserve"> IF(Table1[[#This Row],[Delay_Days]] &gt; 4, "High Risk", IF(Table1[[#This Row],[Delay_Days]] &gt; 0, "Medium Risk", "Low Risk"))</f>
        <v>Low Risk</v>
      </c>
    </row>
    <row r="514" spans="1:20" x14ac:dyDescent="0.25">
      <c r="A514" t="s">
        <v>539</v>
      </c>
      <c r="B514" t="s">
        <v>808</v>
      </c>
      <c r="C514" s="1">
        <v>45085</v>
      </c>
      <c r="D514" s="1">
        <v>45088</v>
      </c>
      <c r="E514" t="s">
        <v>21</v>
      </c>
      <c r="F514" t="s">
        <v>18</v>
      </c>
      <c r="G514">
        <v>1940</v>
      </c>
      <c r="H514" s="5">
        <v>58.45</v>
      </c>
      <c r="I514" s="5">
        <v>50.29</v>
      </c>
      <c r="J514">
        <v>54</v>
      </c>
      <c r="K514" t="s">
        <v>15</v>
      </c>
      <c r="L514">
        <f t="shared" si="31"/>
        <v>3</v>
      </c>
      <c r="M514">
        <v>11</v>
      </c>
      <c r="N514">
        <f t="shared" ref="N514:N577" si="32">MAX(0, L514-M514)</f>
        <v>0</v>
      </c>
      <c r="O514" t="str">
        <f xml:space="preserve"> IF(AND(Table1[[#This Row],[Actual_Lead_Time]] &lt;= Table1[[#This Row],[Standard_Lead_Time]], OR(ISBLANK(J514), J514 = 0)), "OTIF", "Non-OTIF")</f>
        <v>Non-OTIF</v>
      </c>
      <c r="P514">
        <f>IF(Table1[[#This Row],[OTIF_Status]] = "OTIF", 1, 0)</f>
        <v>0</v>
      </c>
      <c r="Q514" s="5">
        <f t="shared" ref="Q514:Q577" si="33" xml:space="preserve"> IFERROR(G514 * H514, 0)</f>
        <v>113393</v>
      </c>
      <c r="R514" s="5">
        <f t="shared" ref="R514:R577" si="34" xml:space="preserve"> IFERROR(G514 * I514, 0)</f>
        <v>97562.599999999991</v>
      </c>
      <c r="S514" s="5">
        <f>Table1[[#This Row],[Total_Line_Spend]]-Table1[[#This Row],[Negotiated_Total]]</f>
        <v>15830.400000000009</v>
      </c>
      <c r="T514" t="str">
        <f xml:space="preserve"> IF(Table1[[#This Row],[Delay_Days]] &gt; 4, "High Risk", IF(Table1[[#This Row],[Delay_Days]] &gt; 0, "Medium Risk", "Low Risk"))</f>
        <v>Low Risk</v>
      </c>
    </row>
    <row r="515" spans="1:20" x14ac:dyDescent="0.25">
      <c r="A515" t="s">
        <v>540</v>
      </c>
      <c r="B515" t="s">
        <v>807</v>
      </c>
      <c r="C515" s="1">
        <v>44680</v>
      </c>
      <c r="D515" s="1">
        <v>44692</v>
      </c>
      <c r="E515" t="s">
        <v>13</v>
      </c>
      <c r="F515" t="s">
        <v>14</v>
      </c>
      <c r="G515">
        <v>1891</v>
      </c>
      <c r="H515" s="5">
        <v>91.87</v>
      </c>
      <c r="I515" s="5">
        <v>80.28</v>
      </c>
      <c r="J515">
        <v>158</v>
      </c>
      <c r="K515" t="s">
        <v>15</v>
      </c>
      <c r="L515">
        <f t="shared" ref="L515:L578" si="35" xml:space="preserve"> INT(D515) - INT(C515)</f>
        <v>12</v>
      </c>
      <c r="M515">
        <v>11</v>
      </c>
      <c r="N515">
        <f t="shared" si="32"/>
        <v>1</v>
      </c>
      <c r="O515" t="str">
        <f xml:space="preserve"> IF(AND(Table1[[#This Row],[Actual_Lead_Time]] &lt;= Table1[[#This Row],[Standard_Lead_Time]], OR(ISBLANK(J515), J515 = 0)), "OTIF", "Non-OTIF")</f>
        <v>Non-OTIF</v>
      </c>
      <c r="P515">
        <f>IF(Table1[[#This Row],[OTIF_Status]] = "OTIF", 1, 0)</f>
        <v>0</v>
      </c>
      <c r="Q515" s="5">
        <f t="shared" si="33"/>
        <v>173726.17</v>
      </c>
      <c r="R515" s="5">
        <f t="shared" si="34"/>
        <v>151809.48000000001</v>
      </c>
      <c r="S515" s="5">
        <f>Table1[[#This Row],[Total_Line_Spend]]-Table1[[#This Row],[Negotiated_Total]]</f>
        <v>21916.690000000002</v>
      </c>
      <c r="T515" t="str">
        <f xml:space="preserve"> IF(Table1[[#This Row],[Delay_Days]] &gt; 4, "High Risk", IF(Table1[[#This Row],[Delay_Days]] &gt; 0, "Medium Risk", "Low Risk"))</f>
        <v>Medium Risk</v>
      </c>
    </row>
    <row r="516" spans="1:20" x14ac:dyDescent="0.25">
      <c r="A516" t="s">
        <v>541</v>
      </c>
      <c r="B516" t="s">
        <v>808</v>
      </c>
      <c r="C516" s="1">
        <v>44956</v>
      </c>
      <c r="D516" s="1">
        <v>44973</v>
      </c>
      <c r="E516" t="s">
        <v>24</v>
      </c>
      <c r="F516" t="s">
        <v>18</v>
      </c>
      <c r="G516">
        <v>970</v>
      </c>
      <c r="H516" s="5">
        <v>86.91</v>
      </c>
      <c r="I516" s="5">
        <v>78.44</v>
      </c>
      <c r="J516">
        <v>18</v>
      </c>
      <c r="K516" t="s">
        <v>15</v>
      </c>
      <c r="L516">
        <f t="shared" si="35"/>
        <v>17</v>
      </c>
      <c r="M516">
        <v>11</v>
      </c>
      <c r="N516">
        <f t="shared" si="32"/>
        <v>6</v>
      </c>
      <c r="O516" t="str">
        <f xml:space="preserve"> IF(AND(Table1[[#This Row],[Actual_Lead_Time]] &lt;= Table1[[#This Row],[Standard_Lead_Time]], OR(ISBLANK(J516), J516 = 0)), "OTIF", "Non-OTIF")</f>
        <v>Non-OTIF</v>
      </c>
      <c r="P516">
        <f>IF(Table1[[#This Row],[OTIF_Status]] = "OTIF", 1, 0)</f>
        <v>0</v>
      </c>
      <c r="Q516" s="5">
        <f t="shared" si="33"/>
        <v>84302.7</v>
      </c>
      <c r="R516" s="5">
        <f t="shared" si="34"/>
        <v>76086.8</v>
      </c>
      <c r="S516" s="5">
        <f>Table1[[#This Row],[Total_Line_Spend]]-Table1[[#This Row],[Negotiated_Total]]</f>
        <v>8215.8999999999942</v>
      </c>
      <c r="T516" t="str">
        <f xml:space="preserve"> IF(Table1[[#This Row],[Delay_Days]] &gt; 4, "High Risk", IF(Table1[[#This Row],[Delay_Days]] &gt; 0, "Medium Risk", "Low Risk"))</f>
        <v>High Risk</v>
      </c>
    </row>
    <row r="517" spans="1:20" x14ac:dyDescent="0.25">
      <c r="A517" t="s">
        <v>542</v>
      </c>
      <c r="B517" t="s">
        <v>808</v>
      </c>
      <c r="C517" s="1">
        <v>45152</v>
      </c>
      <c r="D517" s="1">
        <v>45169</v>
      </c>
      <c r="E517" t="s">
        <v>21</v>
      </c>
      <c r="F517" t="s">
        <v>18</v>
      </c>
      <c r="G517">
        <v>457</v>
      </c>
      <c r="H517" s="5">
        <v>52.85</v>
      </c>
      <c r="I517" s="5">
        <v>50.34</v>
      </c>
      <c r="J517">
        <v>16</v>
      </c>
      <c r="K517" t="s">
        <v>15</v>
      </c>
      <c r="L517">
        <f t="shared" si="35"/>
        <v>17</v>
      </c>
      <c r="M517">
        <v>11</v>
      </c>
      <c r="N517">
        <f t="shared" si="32"/>
        <v>6</v>
      </c>
      <c r="O517" t="str">
        <f xml:space="preserve"> IF(AND(Table1[[#This Row],[Actual_Lead_Time]] &lt;= Table1[[#This Row],[Standard_Lead_Time]], OR(ISBLANK(J517), J517 = 0)), "OTIF", "Non-OTIF")</f>
        <v>Non-OTIF</v>
      </c>
      <c r="P517">
        <f>IF(Table1[[#This Row],[OTIF_Status]] = "OTIF", 1, 0)</f>
        <v>0</v>
      </c>
      <c r="Q517" s="5">
        <f t="shared" si="33"/>
        <v>24152.45</v>
      </c>
      <c r="R517" s="5">
        <f t="shared" si="34"/>
        <v>23005.38</v>
      </c>
      <c r="S517" s="5">
        <f>Table1[[#This Row],[Total_Line_Spend]]-Table1[[#This Row],[Negotiated_Total]]</f>
        <v>1147.0699999999997</v>
      </c>
      <c r="T517" t="str">
        <f xml:space="preserve"> IF(Table1[[#This Row],[Delay_Days]] &gt; 4, "High Risk", IF(Table1[[#This Row],[Delay_Days]] &gt; 0, "Medium Risk", "Low Risk"))</f>
        <v>High Risk</v>
      </c>
    </row>
    <row r="518" spans="1:20" x14ac:dyDescent="0.25">
      <c r="A518" t="s">
        <v>543</v>
      </c>
      <c r="B518" t="s">
        <v>807</v>
      </c>
      <c r="C518" s="1">
        <v>44756</v>
      </c>
      <c r="D518" s="1">
        <v>44769</v>
      </c>
      <c r="E518" t="s">
        <v>13</v>
      </c>
      <c r="F518" t="s">
        <v>14</v>
      </c>
      <c r="G518">
        <v>574</v>
      </c>
      <c r="H518" s="5">
        <v>12.38</v>
      </c>
      <c r="I518" s="5">
        <v>11.47</v>
      </c>
      <c r="K518" t="s">
        <v>27</v>
      </c>
      <c r="L518">
        <f t="shared" si="35"/>
        <v>13</v>
      </c>
      <c r="M518">
        <v>11</v>
      </c>
      <c r="N518">
        <f t="shared" si="32"/>
        <v>2</v>
      </c>
      <c r="O518" t="str">
        <f xml:space="preserve"> IF(AND(Table1[[#This Row],[Actual_Lead_Time]] &lt;= Table1[[#This Row],[Standard_Lead_Time]], OR(ISBLANK(J518), J518 = 0)), "OTIF", "Non-OTIF")</f>
        <v>Non-OTIF</v>
      </c>
      <c r="P518">
        <f>IF(Table1[[#This Row],[OTIF_Status]] = "OTIF", 1, 0)</f>
        <v>0</v>
      </c>
      <c r="Q518" s="5">
        <f t="shared" si="33"/>
        <v>7106.1200000000008</v>
      </c>
      <c r="R518" s="5">
        <f t="shared" si="34"/>
        <v>6583.7800000000007</v>
      </c>
      <c r="S518" s="5">
        <f>Table1[[#This Row],[Total_Line_Spend]]-Table1[[#This Row],[Negotiated_Total]]</f>
        <v>522.34000000000015</v>
      </c>
      <c r="T518" t="str">
        <f xml:space="preserve"> IF(Table1[[#This Row],[Delay_Days]] &gt; 4, "High Risk", IF(Table1[[#This Row],[Delay_Days]] &gt; 0, "Medium Risk", "Low Risk"))</f>
        <v>Medium Risk</v>
      </c>
    </row>
    <row r="519" spans="1:20" x14ac:dyDescent="0.25">
      <c r="A519" t="s">
        <v>544</v>
      </c>
      <c r="B519" t="s">
        <v>808</v>
      </c>
      <c r="C519" s="1">
        <v>44822</v>
      </c>
      <c r="D519" s="1">
        <v>44824</v>
      </c>
      <c r="E519" t="s">
        <v>13</v>
      </c>
      <c r="F519" t="s">
        <v>18</v>
      </c>
      <c r="G519">
        <v>877</v>
      </c>
      <c r="H519" s="5">
        <v>35.549999999999997</v>
      </c>
      <c r="I519" s="5">
        <v>34.69</v>
      </c>
      <c r="J519">
        <v>24</v>
      </c>
      <c r="K519" t="s">
        <v>15</v>
      </c>
      <c r="L519">
        <f t="shared" si="35"/>
        <v>2</v>
      </c>
      <c r="M519">
        <v>11</v>
      </c>
      <c r="N519">
        <f t="shared" si="32"/>
        <v>0</v>
      </c>
      <c r="O519" t="str">
        <f xml:space="preserve"> IF(AND(Table1[[#This Row],[Actual_Lead_Time]] &lt;= Table1[[#This Row],[Standard_Lead_Time]], OR(ISBLANK(J519), J519 = 0)), "OTIF", "Non-OTIF")</f>
        <v>Non-OTIF</v>
      </c>
      <c r="P519">
        <f>IF(Table1[[#This Row],[OTIF_Status]] = "OTIF", 1, 0)</f>
        <v>0</v>
      </c>
      <c r="Q519" s="5">
        <f t="shared" si="33"/>
        <v>31177.35</v>
      </c>
      <c r="R519" s="5">
        <f t="shared" si="34"/>
        <v>30423.129999999997</v>
      </c>
      <c r="S519" s="5">
        <f>Table1[[#This Row],[Total_Line_Spend]]-Table1[[#This Row],[Negotiated_Total]]</f>
        <v>754.22000000000116</v>
      </c>
      <c r="T519" t="str">
        <f xml:space="preserve"> IF(Table1[[#This Row],[Delay_Days]] &gt; 4, "High Risk", IF(Table1[[#This Row],[Delay_Days]] &gt; 0, "Medium Risk", "Low Risk"))</f>
        <v>Low Risk</v>
      </c>
    </row>
    <row r="520" spans="1:20" x14ac:dyDescent="0.25">
      <c r="A520" t="s">
        <v>545</v>
      </c>
      <c r="B520" t="s">
        <v>804</v>
      </c>
      <c r="C520" s="1">
        <v>44607</v>
      </c>
      <c r="D520" s="1">
        <v>44619</v>
      </c>
      <c r="E520" t="s">
        <v>21</v>
      </c>
      <c r="F520" t="s">
        <v>18</v>
      </c>
      <c r="G520">
        <v>1579</v>
      </c>
      <c r="H520" s="5">
        <v>59.04</v>
      </c>
      <c r="I520" s="5">
        <v>50.95</v>
      </c>
      <c r="J520">
        <v>29</v>
      </c>
      <c r="K520" t="s">
        <v>15</v>
      </c>
      <c r="L520">
        <f t="shared" si="35"/>
        <v>12</v>
      </c>
      <c r="M520">
        <v>11</v>
      </c>
      <c r="N520">
        <f t="shared" si="32"/>
        <v>1</v>
      </c>
      <c r="O520" t="str">
        <f xml:space="preserve"> IF(AND(Table1[[#This Row],[Actual_Lead_Time]] &lt;= Table1[[#This Row],[Standard_Lead_Time]], OR(ISBLANK(J520), J520 = 0)), "OTIF", "Non-OTIF")</f>
        <v>Non-OTIF</v>
      </c>
      <c r="P520">
        <f>IF(Table1[[#This Row],[OTIF_Status]] = "OTIF", 1, 0)</f>
        <v>0</v>
      </c>
      <c r="Q520" s="5">
        <f t="shared" si="33"/>
        <v>93224.16</v>
      </c>
      <c r="R520" s="5">
        <f t="shared" si="34"/>
        <v>80450.05</v>
      </c>
      <c r="S520" s="5">
        <f>Table1[[#This Row],[Total_Line_Spend]]-Table1[[#This Row],[Negotiated_Total]]</f>
        <v>12774.11</v>
      </c>
      <c r="T520" t="str">
        <f xml:space="preserve"> IF(Table1[[#This Row],[Delay_Days]] &gt; 4, "High Risk", IF(Table1[[#This Row],[Delay_Days]] &gt; 0, "Medium Risk", "Low Risk"))</f>
        <v>Medium Risk</v>
      </c>
    </row>
    <row r="521" spans="1:20" x14ac:dyDescent="0.25">
      <c r="A521" t="s">
        <v>546</v>
      </c>
      <c r="B521" t="s">
        <v>805</v>
      </c>
      <c r="C521" s="1">
        <v>45287</v>
      </c>
      <c r="D521" s="1">
        <v>45288</v>
      </c>
      <c r="E521" t="s">
        <v>26</v>
      </c>
      <c r="F521" t="s">
        <v>18</v>
      </c>
      <c r="G521">
        <v>952</v>
      </c>
      <c r="H521" s="5">
        <v>74.72</v>
      </c>
      <c r="I521" s="5">
        <v>69.73</v>
      </c>
      <c r="K521" t="s">
        <v>15</v>
      </c>
      <c r="L521">
        <f t="shared" si="35"/>
        <v>1</v>
      </c>
      <c r="M521">
        <v>11</v>
      </c>
      <c r="N521">
        <f t="shared" si="32"/>
        <v>0</v>
      </c>
      <c r="O521" t="str">
        <f xml:space="preserve"> IF(AND(Table1[[#This Row],[Actual_Lead_Time]] &lt;= Table1[[#This Row],[Standard_Lead_Time]], OR(ISBLANK(J521), J521 = 0)), "OTIF", "Non-OTIF")</f>
        <v>OTIF</v>
      </c>
      <c r="P521">
        <f>IF(Table1[[#This Row],[OTIF_Status]] = "OTIF", 1, 0)</f>
        <v>1</v>
      </c>
      <c r="Q521" s="5">
        <f t="shared" si="33"/>
        <v>71133.440000000002</v>
      </c>
      <c r="R521" s="5">
        <f t="shared" si="34"/>
        <v>66382.960000000006</v>
      </c>
      <c r="S521" s="5">
        <f>Table1[[#This Row],[Total_Line_Spend]]-Table1[[#This Row],[Negotiated_Total]]</f>
        <v>4750.4799999999959</v>
      </c>
      <c r="T521" t="str">
        <f xml:space="preserve"> IF(Table1[[#This Row],[Delay_Days]] &gt; 4, "High Risk", IF(Table1[[#This Row],[Delay_Days]] &gt; 0, "Medium Risk", "Low Risk"))</f>
        <v>Low Risk</v>
      </c>
    </row>
    <row r="522" spans="1:20" x14ac:dyDescent="0.25">
      <c r="A522" t="s">
        <v>547</v>
      </c>
      <c r="B522" t="s">
        <v>807</v>
      </c>
      <c r="C522" s="1">
        <v>45008</v>
      </c>
      <c r="D522" s="1">
        <v>45011</v>
      </c>
      <c r="E522" t="s">
        <v>26</v>
      </c>
      <c r="F522" t="s">
        <v>35</v>
      </c>
      <c r="G522">
        <v>1898</v>
      </c>
      <c r="H522" s="5">
        <v>35.53</v>
      </c>
      <c r="I522" s="5">
        <v>33.25</v>
      </c>
      <c r="J522">
        <v>187</v>
      </c>
      <c r="K522" t="s">
        <v>15</v>
      </c>
      <c r="L522">
        <f t="shared" si="35"/>
        <v>3</v>
      </c>
      <c r="M522">
        <v>11</v>
      </c>
      <c r="N522">
        <f t="shared" si="32"/>
        <v>0</v>
      </c>
      <c r="O522" t="str">
        <f xml:space="preserve"> IF(AND(Table1[[#This Row],[Actual_Lead_Time]] &lt;= Table1[[#This Row],[Standard_Lead_Time]], OR(ISBLANK(J522), J522 = 0)), "OTIF", "Non-OTIF")</f>
        <v>Non-OTIF</v>
      </c>
      <c r="P522">
        <f>IF(Table1[[#This Row],[OTIF_Status]] = "OTIF", 1, 0)</f>
        <v>0</v>
      </c>
      <c r="Q522" s="5">
        <f t="shared" si="33"/>
        <v>67435.94</v>
      </c>
      <c r="R522" s="5">
        <f t="shared" si="34"/>
        <v>63108.5</v>
      </c>
      <c r="S522" s="5">
        <f>Table1[[#This Row],[Total_Line_Spend]]-Table1[[#This Row],[Negotiated_Total]]</f>
        <v>4327.4400000000023</v>
      </c>
      <c r="T522" t="str">
        <f xml:space="preserve"> IF(Table1[[#This Row],[Delay_Days]] &gt; 4, "High Risk", IF(Table1[[#This Row],[Delay_Days]] &gt; 0, "Medium Risk", "Low Risk"))</f>
        <v>Low Risk</v>
      </c>
    </row>
    <row r="523" spans="1:20" x14ac:dyDescent="0.25">
      <c r="A523" t="s">
        <v>548</v>
      </c>
      <c r="B523" t="s">
        <v>805</v>
      </c>
      <c r="C523" s="1">
        <v>44563</v>
      </c>
      <c r="D523" s="1">
        <v>44567</v>
      </c>
      <c r="E523" t="s">
        <v>24</v>
      </c>
      <c r="F523" t="s">
        <v>18</v>
      </c>
      <c r="G523">
        <v>85</v>
      </c>
      <c r="H523" s="5">
        <v>22.54</v>
      </c>
      <c r="I523" s="5">
        <v>20.68</v>
      </c>
      <c r="J523">
        <v>6</v>
      </c>
      <c r="K523" t="s">
        <v>15</v>
      </c>
      <c r="L523">
        <f t="shared" si="35"/>
        <v>4</v>
      </c>
      <c r="M523">
        <v>11</v>
      </c>
      <c r="N523">
        <f t="shared" si="32"/>
        <v>0</v>
      </c>
      <c r="O523" t="str">
        <f xml:space="preserve"> IF(AND(Table1[[#This Row],[Actual_Lead_Time]] &lt;= Table1[[#This Row],[Standard_Lead_Time]], OR(ISBLANK(J523), J523 = 0)), "OTIF", "Non-OTIF")</f>
        <v>Non-OTIF</v>
      </c>
      <c r="P523">
        <f>IF(Table1[[#This Row],[OTIF_Status]] = "OTIF", 1, 0)</f>
        <v>0</v>
      </c>
      <c r="Q523" s="5">
        <f t="shared" si="33"/>
        <v>1915.8999999999999</v>
      </c>
      <c r="R523" s="5">
        <f t="shared" si="34"/>
        <v>1757.8</v>
      </c>
      <c r="S523" s="5">
        <f>Table1[[#This Row],[Total_Line_Spend]]-Table1[[#This Row],[Negotiated_Total]]</f>
        <v>158.09999999999991</v>
      </c>
      <c r="T523" t="str">
        <f xml:space="preserve"> IF(Table1[[#This Row],[Delay_Days]] &gt; 4, "High Risk", IF(Table1[[#This Row],[Delay_Days]] &gt; 0, "Medium Risk", "Low Risk"))</f>
        <v>Low Risk</v>
      </c>
    </row>
    <row r="524" spans="1:20" x14ac:dyDescent="0.25">
      <c r="A524" t="s">
        <v>549</v>
      </c>
      <c r="B524" t="s">
        <v>806</v>
      </c>
      <c r="C524" s="1">
        <v>45094</v>
      </c>
      <c r="D524" s="1">
        <v>45105</v>
      </c>
      <c r="E524" t="s">
        <v>24</v>
      </c>
      <c r="F524" t="s">
        <v>35</v>
      </c>
      <c r="G524">
        <v>734</v>
      </c>
      <c r="H524" s="5">
        <v>92.38</v>
      </c>
      <c r="I524" s="5">
        <v>78.92</v>
      </c>
      <c r="J524">
        <v>34</v>
      </c>
      <c r="K524" t="s">
        <v>27</v>
      </c>
      <c r="L524">
        <f t="shared" si="35"/>
        <v>11</v>
      </c>
      <c r="M524">
        <v>11</v>
      </c>
      <c r="N524">
        <f t="shared" si="32"/>
        <v>0</v>
      </c>
      <c r="O524" t="str">
        <f xml:space="preserve"> IF(AND(Table1[[#This Row],[Actual_Lead_Time]] &lt;= Table1[[#This Row],[Standard_Lead_Time]], OR(ISBLANK(J524), J524 = 0)), "OTIF", "Non-OTIF")</f>
        <v>Non-OTIF</v>
      </c>
      <c r="P524">
        <f>IF(Table1[[#This Row],[OTIF_Status]] = "OTIF", 1, 0)</f>
        <v>0</v>
      </c>
      <c r="Q524" s="5">
        <f t="shared" si="33"/>
        <v>67806.92</v>
      </c>
      <c r="R524" s="5">
        <f t="shared" si="34"/>
        <v>57927.28</v>
      </c>
      <c r="S524" s="5">
        <f>Table1[[#This Row],[Total_Line_Spend]]-Table1[[#This Row],[Negotiated_Total]]</f>
        <v>9879.64</v>
      </c>
      <c r="T524" t="str">
        <f xml:space="preserve"> IF(Table1[[#This Row],[Delay_Days]] &gt; 4, "High Risk", IF(Table1[[#This Row],[Delay_Days]] &gt; 0, "Medium Risk", "Low Risk"))</f>
        <v>Low Risk</v>
      </c>
    </row>
    <row r="525" spans="1:20" x14ac:dyDescent="0.25">
      <c r="A525" t="s">
        <v>550</v>
      </c>
      <c r="B525" t="s">
        <v>804</v>
      </c>
      <c r="C525" s="1">
        <v>45113</v>
      </c>
      <c r="D525" s="1">
        <v>45125</v>
      </c>
      <c r="E525" t="s">
        <v>13</v>
      </c>
      <c r="F525" t="s">
        <v>18</v>
      </c>
      <c r="G525">
        <v>69</v>
      </c>
      <c r="H525" s="5">
        <v>107.47</v>
      </c>
      <c r="I525" s="5">
        <v>105.53</v>
      </c>
      <c r="K525" t="s">
        <v>15</v>
      </c>
      <c r="L525">
        <f t="shared" si="35"/>
        <v>12</v>
      </c>
      <c r="M525">
        <v>11</v>
      </c>
      <c r="N525">
        <f t="shared" si="32"/>
        <v>1</v>
      </c>
      <c r="O525" t="str">
        <f xml:space="preserve"> IF(AND(Table1[[#This Row],[Actual_Lead_Time]] &lt;= Table1[[#This Row],[Standard_Lead_Time]], OR(ISBLANK(J525), J525 = 0)), "OTIF", "Non-OTIF")</f>
        <v>Non-OTIF</v>
      </c>
      <c r="P525">
        <f>IF(Table1[[#This Row],[OTIF_Status]] = "OTIF", 1, 0)</f>
        <v>0</v>
      </c>
      <c r="Q525" s="5">
        <f t="shared" si="33"/>
        <v>7415.43</v>
      </c>
      <c r="R525" s="5">
        <f t="shared" si="34"/>
        <v>7281.57</v>
      </c>
      <c r="S525" s="5">
        <f>Table1[[#This Row],[Total_Line_Spend]]-Table1[[#This Row],[Negotiated_Total]]</f>
        <v>133.86000000000058</v>
      </c>
      <c r="T525" t="str">
        <f xml:space="preserve"> IF(Table1[[#This Row],[Delay_Days]] &gt; 4, "High Risk", IF(Table1[[#This Row],[Delay_Days]] &gt; 0, "Medium Risk", "Low Risk"))</f>
        <v>Medium Risk</v>
      </c>
    </row>
    <row r="526" spans="1:20" x14ac:dyDescent="0.25">
      <c r="A526" t="s">
        <v>551</v>
      </c>
      <c r="B526" t="s">
        <v>805</v>
      </c>
      <c r="C526" s="1">
        <v>45265</v>
      </c>
      <c r="D526" s="1">
        <v>45271</v>
      </c>
      <c r="E526" t="s">
        <v>24</v>
      </c>
      <c r="F526" t="s">
        <v>18</v>
      </c>
      <c r="G526">
        <v>370</v>
      </c>
      <c r="H526" s="5">
        <v>63.9</v>
      </c>
      <c r="I526" s="5">
        <v>55.79</v>
      </c>
      <c r="J526">
        <v>59</v>
      </c>
      <c r="K526" t="s">
        <v>15</v>
      </c>
      <c r="L526">
        <f t="shared" si="35"/>
        <v>6</v>
      </c>
      <c r="M526">
        <v>11</v>
      </c>
      <c r="N526">
        <f t="shared" si="32"/>
        <v>0</v>
      </c>
      <c r="O526" t="str">
        <f xml:space="preserve"> IF(AND(Table1[[#This Row],[Actual_Lead_Time]] &lt;= Table1[[#This Row],[Standard_Lead_Time]], OR(ISBLANK(J526), J526 = 0)), "OTIF", "Non-OTIF")</f>
        <v>Non-OTIF</v>
      </c>
      <c r="P526">
        <f>IF(Table1[[#This Row],[OTIF_Status]] = "OTIF", 1, 0)</f>
        <v>0</v>
      </c>
      <c r="Q526" s="5">
        <f t="shared" si="33"/>
        <v>23643</v>
      </c>
      <c r="R526" s="5">
        <f t="shared" si="34"/>
        <v>20642.3</v>
      </c>
      <c r="S526" s="5">
        <f>Table1[[#This Row],[Total_Line_Spend]]-Table1[[#This Row],[Negotiated_Total]]</f>
        <v>3000.7000000000007</v>
      </c>
      <c r="T526" t="str">
        <f xml:space="preserve"> IF(Table1[[#This Row],[Delay_Days]] &gt; 4, "High Risk", IF(Table1[[#This Row],[Delay_Days]] &gt; 0, "Medium Risk", "Low Risk"))</f>
        <v>Low Risk</v>
      </c>
    </row>
    <row r="527" spans="1:20" x14ac:dyDescent="0.25">
      <c r="A527" t="s">
        <v>552</v>
      </c>
      <c r="B527" t="s">
        <v>805</v>
      </c>
      <c r="C527" s="1">
        <v>45248</v>
      </c>
      <c r="D527" s="1">
        <v>45263</v>
      </c>
      <c r="E527" t="s">
        <v>21</v>
      </c>
      <c r="F527" t="s">
        <v>18</v>
      </c>
      <c r="G527">
        <v>1849</v>
      </c>
      <c r="H527" s="5">
        <v>28.25</v>
      </c>
      <c r="I527" s="5">
        <v>27.53</v>
      </c>
      <c r="J527">
        <v>271</v>
      </c>
      <c r="K527" t="s">
        <v>15</v>
      </c>
      <c r="L527">
        <f t="shared" si="35"/>
        <v>15</v>
      </c>
      <c r="M527">
        <v>11</v>
      </c>
      <c r="N527">
        <f t="shared" si="32"/>
        <v>4</v>
      </c>
      <c r="O527" t="str">
        <f xml:space="preserve"> IF(AND(Table1[[#This Row],[Actual_Lead_Time]] &lt;= Table1[[#This Row],[Standard_Lead_Time]], OR(ISBLANK(J527), J527 = 0)), "OTIF", "Non-OTIF")</f>
        <v>Non-OTIF</v>
      </c>
      <c r="P527">
        <f>IF(Table1[[#This Row],[OTIF_Status]] = "OTIF", 1, 0)</f>
        <v>0</v>
      </c>
      <c r="Q527" s="5">
        <f t="shared" si="33"/>
        <v>52234.25</v>
      </c>
      <c r="R527" s="5">
        <f t="shared" si="34"/>
        <v>50902.97</v>
      </c>
      <c r="S527" s="5">
        <f>Table1[[#This Row],[Total_Line_Spend]]-Table1[[#This Row],[Negotiated_Total]]</f>
        <v>1331.2799999999988</v>
      </c>
      <c r="T527" t="str">
        <f xml:space="preserve"> IF(Table1[[#This Row],[Delay_Days]] &gt; 4, "High Risk", IF(Table1[[#This Row],[Delay_Days]] &gt; 0, "Medium Risk", "Low Risk"))</f>
        <v>Medium Risk</v>
      </c>
    </row>
    <row r="528" spans="1:20" x14ac:dyDescent="0.25">
      <c r="A528" t="s">
        <v>553</v>
      </c>
      <c r="B528" t="s">
        <v>807</v>
      </c>
      <c r="C528" s="1">
        <v>44763</v>
      </c>
      <c r="D528" s="1">
        <v>44774</v>
      </c>
      <c r="E528" t="s">
        <v>24</v>
      </c>
      <c r="F528" t="s">
        <v>18</v>
      </c>
      <c r="G528">
        <v>561</v>
      </c>
      <c r="H528" s="5">
        <v>35.54</v>
      </c>
      <c r="I528" s="5">
        <v>30.99</v>
      </c>
      <c r="J528">
        <v>68</v>
      </c>
      <c r="K528" t="s">
        <v>27</v>
      </c>
      <c r="L528">
        <f t="shared" si="35"/>
        <v>11</v>
      </c>
      <c r="M528">
        <v>11</v>
      </c>
      <c r="N528">
        <f t="shared" si="32"/>
        <v>0</v>
      </c>
      <c r="O528" t="str">
        <f xml:space="preserve"> IF(AND(Table1[[#This Row],[Actual_Lead_Time]] &lt;= Table1[[#This Row],[Standard_Lead_Time]], OR(ISBLANK(J528), J528 = 0)), "OTIF", "Non-OTIF")</f>
        <v>Non-OTIF</v>
      </c>
      <c r="P528">
        <f>IF(Table1[[#This Row],[OTIF_Status]] = "OTIF", 1, 0)</f>
        <v>0</v>
      </c>
      <c r="Q528" s="5">
        <f t="shared" si="33"/>
        <v>19937.939999999999</v>
      </c>
      <c r="R528" s="5">
        <f t="shared" si="34"/>
        <v>17385.39</v>
      </c>
      <c r="S528" s="5">
        <f>Table1[[#This Row],[Total_Line_Spend]]-Table1[[#This Row],[Negotiated_Total]]</f>
        <v>2552.5499999999993</v>
      </c>
      <c r="T528" t="str">
        <f xml:space="preserve"> IF(Table1[[#This Row],[Delay_Days]] &gt; 4, "High Risk", IF(Table1[[#This Row],[Delay_Days]] &gt; 0, "Medium Risk", "Low Risk"))</f>
        <v>Low Risk</v>
      </c>
    </row>
    <row r="529" spans="1:20" x14ac:dyDescent="0.25">
      <c r="A529" t="s">
        <v>554</v>
      </c>
      <c r="B529" t="s">
        <v>806</v>
      </c>
      <c r="C529" s="1">
        <v>44934</v>
      </c>
      <c r="D529" s="1">
        <v>44940</v>
      </c>
      <c r="E529" t="s">
        <v>39</v>
      </c>
      <c r="F529" t="s">
        <v>18</v>
      </c>
      <c r="G529">
        <v>449</v>
      </c>
      <c r="H529" s="5">
        <v>12.35</v>
      </c>
      <c r="I529" s="5">
        <v>10.67</v>
      </c>
      <c r="J529">
        <v>29</v>
      </c>
      <c r="K529" t="s">
        <v>15</v>
      </c>
      <c r="L529">
        <f t="shared" si="35"/>
        <v>6</v>
      </c>
      <c r="M529">
        <v>11</v>
      </c>
      <c r="N529">
        <f t="shared" si="32"/>
        <v>0</v>
      </c>
      <c r="O529" t="str">
        <f xml:space="preserve"> IF(AND(Table1[[#This Row],[Actual_Lead_Time]] &lt;= Table1[[#This Row],[Standard_Lead_Time]], OR(ISBLANK(J529), J529 = 0)), "OTIF", "Non-OTIF")</f>
        <v>Non-OTIF</v>
      </c>
      <c r="P529">
        <f>IF(Table1[[#This Row],[OTIF_Status]] = "OTIF", 1, 0)</f>
        <v>0</v>
      </c>
      <c r="Q529" s="5">
        <f t="shared" si="33"/>
        <v>5545.15</v>
      </c>
      <c r="R529" s="5">
        <f t="shared" si="34"/>
        <v>4790.83</v>
      </c>
      <c r="S529" s="5">
        <f>Table1[[#This Row],[Total_Line_Spend]]-Table1[[#This Row],[Negotiated_Total]]</f>
        <v>754.31999999999971</v>
      </c>
      <c r="T529" t="str">
        <f xml:space="preserve"> IF(Table1[[#This Row],[Delay_Days]] &gt; 4, "High Risk", IF(Table1[[#This Row],[Delay_Days]] &gt; 0, "Medium Risk", "Low Risk"))</f>
        <v>Low Risk</v>
      </c>
    </row>
    <row r="530" spans="1:20" x14ac:dyDescent="0.25">
      <c r="A530" t="s">
        <v>555</v>
      </c>
      <c r="B530" t="s">
        <v>807</v>
      </c>
      <c r="C530" s="1">
        <v>45003</v>
      </c>
      <c r="D530" s="1">
        <v>45006</v>
      </c>
      <c r="E530" t="s">
        <v>13</v>
      </c>
      <c r="F530" t="s">
        <v>18</v>
      </c>
      <c r="G530">
        <v>703</v>
      </c>
      <c r="H530" s="5">
        <v>98.75</v>
      </c>
      <c r="I530" s="5">
        <v>86.78</v>
      </c>
      <c r="J530">
        <v>59</v>
      </c>
      <c r="K530" t="s">
        <v>15</v>
      </c>
      <c r="L530">
        <f t="shared" si="35"/>
        <v>3</v>
      </c>
      <c r="M530">
        <v>11</v>
      </c>
      <c r="N530">
        <f t="shared" si="32"/>
        <v>0</v>
      </c>
      <c r="O530" t="str">
        <f xml:space="preserve"> IF(AND(Table1[[#This Row],[Actual_Lead_Time]] &lt;= Table1[[#This Row],[Standard_Lead_Time]], OR(ISBLANK(J530), J530 = 0)), "OTIF", "Non-OTIF")</f>
        <v>Non-OTIF</v>
      </c>
      <c r="P530">
        <f>IF(Table1[[#This Row],[OTIF_Status]] = "OTIF", 1, 0)</f>
        <v>0</v>
      </c>
      <c r="Q530" s="5">
        <f t="shared" si="33"/>
        <v>69421.25</v>
      </c>
      <c r="R530" s="5">
        <f t="shared" si="34"/>
        <v>61006.340000000004</v>
      </c>
      <c r="S530" s="5">
        <f>Table1[[#This Row],[Total_Line_Spend]]-Table1[[#This Row],[Negotiated_Total]]</f>
        <v>8414.9099999999962</v>
      </c>
      <c r="T530" t="str">
        <f xml:space="preserve"> IF(Table1[[#This Row],[Delay_Days]] &gt; 4, "High Risk", IF(Table1[[#This Row],[Delay_Days]] &gt; 0, "Medium Risk", "Low Risk"))</f>
        <v>Low Risk</v>
      </c>
    </row>
    <row r="531" spans="1:20" x14ac:dyDescent="0.25">
      <c r="A531" t="s">
        <v>556</v>
      </c>
      <c r="B531" t="s">
        <v>806</v>
      </c>
      <c r="C531" s="1">
        <v>44633</v>
      </c>
      <c r="D531" s="1">
        <v>44648</v>
      </c>
      <c r="E531" t="s">
        <v>39</v>
      </c>
      <c r="F531" t="s">
        <v>18</v>
      </c>
      <c r="G531">
        <v>1021</v>
      </c>
      <c r="H531" s="5">
        <v>20.8</v>
      </c>
      <c r="I531" s="5">
        <v>18.23</v>
      </c>
      <c r="J531">
        <v>37</v>
      </c>
      <c r="K531" t="s">
        <v>15</v>
      </c>
      <c r="L531">
        <f t="shared" si="35"/>
        <v>15</v>
      </c>
      <c r="M531">
        <v>11</v>
      </c>
      <c r="N531">
        <f t="shared" si="32"/>
        <v>4</v>
      </c>
      <c r="O531" t="str">
        <f xml:space="preserve"> IF(AND(Table1[[#This Row],[Actual_Lead_Time]] &lt;= Table1[[#This Row],[Standard_Lead_Time]], OR(ISBLANK(J531), J531 = 0)), "OTIF", "Non-OTIF")</f>
        <v>Non-OTIF</v>
      </c>
      <c r="P531">
        <f>IF(Table1[[#This Row],[OTIF_Status]] = "OTIF", 1, 0)</f>
        <v>0</v>
      </c>
      <c r="Q531" s="5">
        <f t="shared" si="33"/>
        <v>21236.799999999999</v>
      </c>
      <c r="R531" s="5">
        <f t="shared" si="34"/>
        <v>18612.830000000002</v>
      </c>
      <c r="S531" s="5">
        <f>Table1[[#This Row],[Total_Line_Spend]]-Table1[[#This Row],[Negotiated_Total]]</f>
        <v>2623.9699999999975</v>
      </c>
      <c r="T531" t="str">
        <f xml:space="preserve"> IF(Table1[[#This Row],[Delay_Days]] &gt; 4, "High Risk", IF(Table1[[#This Row],[Delay_Days]] &gt; 0, "Medium Risk", "Low Risk"))</f>
        <v>Medium Risk</v>
      </c>
    </row>
    <row r="532" spans="1:20" x14ac:dyDescent="0.25">
      <c r="A532" t="s">
        <v>557</v>
      </c>
      <c r="B532" t="s">
        <v>807</v>
      </c>
      <c r="C532" s="1">
        <v>45242</v>
      </c>
      <c r="D532" s="1">
        <v>45249</v>
      </c>
      <c r="E532" t="s">
        <v>13</v>
      </c>
      <c r="F532" t="s">
        <v>18</v>
      </c>
      <c r="G532">
        <v>1956</v>
      </c>
      <c r="H532" s="5">
        <v>68.69</v>
      </c>
      <c r="I532" s="5">
        <v>65.09</v>
      </c>
      <c r="K532" t="s">
        <v>15</v>
      </c>
      <c r="L532">
        <f t="shared" si="35"/>
        <v>7</v>
      </c>
      <c r="M532">
        <v>11</v>
      </c>
      <c r="N532">
        <f t="shared" si="32"/>
        <v>0</v>
      </c>
      <c r="O532" t="str">
        <f xml:space="preserve"> IF(AND(Table1[[#This Row],[Actual_Lead_Time]] &lt;= Table1[[#This Row],[Standard_Lead_Time]], OR(ISBLANK(J532), J532 = 0)), "OTIF", "Non-OTIF")</f>
        <v>OTIF</v>
      </c>
      <c r="P532">
        <f>IF(Table1[[#This Row],[OTIF_Status]] = "OTIF", 1, 0)</f>
        <v>1</v>
      </c>
      <c r="Q532" s="5">
        <f t="shared" si="33"/>
        <v>134357.63999999998</v>
      </c>
      <c r="R532" s="5">
        <f t="shared" si="34"/>
        <v>127316.04000000001</v>
      </c>
      <c r="S532" s="5">
        <f>Table1[[#This Row],[Total_Line_Spend]]-Table1[[#This Row],[Negotiated_Total]]</f>
        <v>7041.5999999999767</v>
      </c>
      <c r="T532" t="str">
        <f xml:space="preserve"> IF(Table1[[#This Row],[Delay_Days]] &gt; 4, "High Risk", IF(Table1[[#This Row],[Delay_Days]] &gt; 0, "Medium Risk", "Low Risk"))</f>
        <v>Low Risk</v>
      </c>
    </row>
    <row r="533" spans="1:20" x14ac:dyDescent="0.25">
      <c r="A533" t="s">
        <v>558</v>
      </c>
      <c r="B533" t="s">
        <v>805</v>
      </c>
      <c r="C533" s="1">
        <v>44900</v>
      </c>
      <c r="D533" s="1">
        <v>44907</v>
      </c>
      <c r="E533" t="s">
        <v>13</v>
      </c>
      <c r="F533" t="s">
        <v>33</v>
      </c>
      <c r="G533">
        <v>520</v>
      </c>
      <c r="H533" s="5">
        <v>36.57</v>
      </c>
      <c r="I533" s="5">
        <v>34.78</v>
      </c>
      <c r="J533">
        <v>67</v>
      </c>
      <c r="K533" t="s">
        <v>27</v>
      </c>
      <c r="L533">
        <f t="shared" si="35"/>
        <v>7</v>
      </c>
      <c r="M533">
        <v>11</v>
      </c>
      <c r="N533">
        <f t="shared" si="32"/>
        <v>0</v>
      </c>
      <c r="O533" t="str">
        <f xml:space="preserve"> IF(AND(Table1[[#This Row],[Actual_Lead_Time]] &lt;= Table1[[#This Row],[Standard_Lead_Time]], OR(ISBLANK(J533), J533 = 0)), "OTIF", "Non-OTIF")</f>
        <v>Non-OTIF</v>
      </c>
      <c r="P533">
        <f>IF(Table1[[#This Row],[OTIF_Status]] = "OTIF", 1, 0)</f>
        <v>0</v>
      </c>
      <c r="Q533" s="5">
        <f t="shared" si="33"/>
        <v>19016.400000000001</v>
      </c>
      <c r="R533" s="5">
        <f t="shared" si="34"/>
        <v>18085.600000000002</v>
      </c>
      <c r="S533" s="5">
        <f>Table1[[#This Row],[Total_Line_Spend]]-Table1[[#This Row],[Negotiated_Total]]</f>
        <v>930.79999999999927</v>
      </c>
      <c r="T533" t="str">
        <f xml:space="preserve"> IF(Table1[[#This Row],[Delay_Days]] &gt; 4, "High Risk", IF(Table1[[#This Row],[Delay_Days]] &gt; 0, "Medium Risk", "Low Risk"))</f>
        <v>Low Risk</v>
      </c>
    </row>
    <row r="534" spans="1:20" x14ac:dyDescent="0.25">
      <c r="A534" t="s">
        <v>559</v>
      </c>
      <c r="B534" t="s">
        <v>805</v>
      </c>
      <c r="C534" s="1">
        <v>45200</v>
      </c>
      <c r="D534" s="1">
        <v>45211</v>
      </c>
      <c r="E534" t="s">
        <v>21</v>
      </c>
      <c r="F534" t="s">
        <v>18</v>
      </c>
      <c r="G534">
        <v>1216</v>
      </c>
      <c r="H534" s="5">
        <v>66.16</v>
      </c>
      <c r="I534" s="5">
        <v>63</v>
      </c>
      <c r="J534">
        <v>179</v>
      </c>
      <c r="K534" t="s">
        <v>27</v>
      </c>
      <c r="L534">
        <f t="shared" si="35"/>
        <v>11</v>
      </c>
      <c r="M534">
        <v>11</v>
      </c>
      <c r="N534">
        <f t="shared" si="32"/>
        <v>0</v>
      </c>
      <c r="O534" t="str">
        <f xml:space="preserve"> IF(AND(Table1[[#This Row],[Actual_Lead_Time]] &lt;= Table1[[#This Row],[Standard_Lead_Time]], OR(ISBLANK(J534), J534 = 0)), "OTIF", "Non-OTIF")</f>
        <v>Non-OTIF</v>
      </c>
      <c r="P534">
        <f>IF(Table1[[#This Row],[OTIF_Status]] = "OTIF", 1, 0)</f>
        <v>0</v>
      </c>
      <c r="Q534" s="5">
        <f t="shared" si="33"/>
        <v>80450.559999999998</v>
      </c>
      <c r="R534" s="5">
        <f t="shared" si="34"/>
        <v>76608</v>
      </c>
      <c r="S534" s="5">
        <f>Table1[[#This Row],[Total_Line_Spend]]-Table1[[#This Row],[Negotiated_Total]]</f>
        <v>3842.5599999999977</v>
      </c>
      <c r="T534" t="str">
        <f xml:space="preserve"> IF(Table1[[#This Row],[Delay_Days]] &gt; 4, "High Risk", IF(Table1[[#This Row],[Delay_Days]] &gt; 0, "Medium Risk", "Low Risk"))</f>
        <v>Low Risk</v>
      </c>
    </row>
    <row r="535" spans="1:20" x14ac:dyDescent="0.25">
      <c r="A535" t="s">
        <v>560</v>
      </c>
      <c r="B535" t="s">
        <v>804</v>
      </c>
      <c r="C535" s="1">
        <v>44883</v>
      </c>
      <c r="D535" s="1">
        <v>44894</v>
      </c>
      <c r="E535" t="s">
        <v>26</v>
      </c>
      <c r="F535" t="s">
        <v>18</v>
      </c>
      <c r="G535">
        <v>1165</v>
      </c>
      <c r="H535" s="5">
        <v>72.06</v>
      </c>
      <c r="I535" s="5">
        <v>63.93</v>
      </c>
      <c r="K535" t="s">
        <v>15</v>
      </c>
      <c r="L535">
        <f t="shared" si="35"/>
        <v>11</v>
      </c>
      <c r="M535">
        <v>11</v>
      </c>
      <c r="N535">
        <f t="shared" si="32"/>
        <v>0</v>
      </c>
      <c r="O535" t="str">
        <f xml:space="preserve"> IF(AND(Table1[[#This Row],[Actual_Lead_Time]] &lt;= Table1[[#This Row],[Standard_Lead_Time]], OR(ISBLANK(J535), J535 = 0)), "OTIF", "Non-OTIF")</f>
        <v>OTIF</v>
      </c>
      <c r="P535">
        <f>IF(Table1[[#This Row],[OTIF_Status]] = "OTIF", 1, 0)</f>
        <v>1</v>
      </c>
      <c r="Q535" s="5">
        <f t="shared" si="33"/>
        <v>83949.900000000009</v>
      </c>
      <c r="R535" s="5">
        <f t="shared" si="34"/>
        <v>74478.45</v>
      </c>
      <c r="S535" s="5">
        <f>Table1[[#This Row],[Total_Line_Spend]]-Table1[[#This Row],[Negotiated_Total]]</f>
        <v>9471.4500000000116</v>
      </c>
      <c r="T535" t="str">
        <f xml:space="preserve"> IF(Table1[[#This Row],[Delay_Days]] &gt; 4, "High Risk", IF(Table1[[#This Row],[Delay_Days]] &gt; 0, "Medium Risk", "Low Risk"))</f>
        <v>Low Risk</v>
      </c>
    </row>
    <row r="536" spans="1:20" x14ac:dyDescent="0.25">
      <c r="A536" t="s">
        <v>561</v>
      </c>
      <c r="B536" t="s">
        <v>805</v>
      </c>
      <c r="C536" s="1">
        <v>45241</v>
      </c>
      <c r="D536" s="1">
        <v>45259</v>
      </c>
      <c r="E536" t="s">
        <v>24</v>
      </c>
      <c r="F536" t="s">
        <v>35</v>
      </c>
      <c r="G536">
        <v>1427</v>
      </c>
      <c r="H536" s="5">
        <v>93.99</v>
      </c>
      <c r="I536" s="5">
        <v>83.6</v>
      </c>
      <c r="J536">
        <v>213</v>
      </c>
      <c r="K536" t="s">
        <v>15</v>
      </c>
      <c r="L536">
        <f t="shared" si="35"/>
        <v>18</v>
      </c>
      <c r="M536">
        <v>11</v>
      </c>
      <c r="N536">
        <f t="shared" si="32"/>
        <v>7</v>
      </c>
      <c r="O536" t="str">
        <f xml:space="preserve"> IF(AND(Table1[[#This Row],[Actual_Lead_Time]] &lt;= Table1[[#This Row],[Standard_Lead_Time]], OR(ISBLANK(J536), J536 = 0)), "OTIF", "Non-OTIF")</f>
        <v>Non-OTIF</v>
      </c>
      <c r="P536">
        <f>IF(Table1[[#This Row],[OTIF_Status]] = "OTIF", 1, 0)</f>
        <v>0</v>
      </c>
      <c r="Q536" s="5">
        <f t="shared" si="33"/>
        <v>134123.72999999998</v>
      </c>
      <c r="R536" s="5">
        <f t="shared" si="34"/>
        <v>119297.2</v>
      </c>
      <c r="S536" s="5">
        <f>Table1[[#This Row],[Total_Line_Spend]]-Table1[[#This Row],[Negotiated_Total]]</f>
        <v>14826.529999999984</v>
      </c>
      <c r="T536" t="str">
        <f xml:space="preserve"> IF(Table1[[#This Row],[Delay_Days]] &gt; 4, "High Risk", IF(Table1[[#This Row],[Delay_Days]] &gt; 0, "Medium Risk", "Low Risk"))</f>
        <v>High Risk</v>
      </c>
    </row>
    <row r="537" spans="1:20" x14ac:dyDescent="0.25">
      <c r="A537" t="s">
        <v>562</v>
      </c>
      <c r="B537" t="s">
        <v>808</v>
      </c>
      <c r="C537" s="1">
        <v>44689</v>
      </c>
      <c r="D537" s="1">
        <v>44691</v>
      </c>
      <c r="E537" t="s">
        <v>39</v>
      </c>
      <c r="F537" t="s">
        <v>18</v>
      </c>
      <c r="G537">
        <v>883</v>
      </c>
      <c r="H537" s="5">
        <v>29.15</v>
      </c>
      <c r="I537" s="5">
        <v>25.75</v>
      </c>
      <c r="J537">
        <v>14</v>
      </c>
      <c r="K537" t="s">
        <v>15</v>
      </c>
      <c r="L537">
        <f t="shared" si="35"/>
        <v>2</v>
      </c>
      <c r="M537">
        <v>11</v>
      </c>
      <c r="N537">
        <f t="shared" si="32"/>
        <v>0</v>
      </c>
      <c r="O537" t="str">
        <f xml:space="preserve"> IF(AND(Table1[[#This Row],[Actual_Lead_Time]] &lt;= Table1[[#This Row],[Standard_Lead_Time]], OR(ISBLANK(J537), J537 = 0)), "OTIF", "Non-OTIF")</f>
        <v>Non-OTIF</v>
      </c>
      <c r="P537">
        <f>IF(Table1[[#This Row],[OTIF_Status]] = "OTIF", 1, 0)</f>
        <v>0</v>
      </c>
      <c r="Q537" s="5">
        <f t="shared" si="33"/>
        <v>25739.449999999997</v>
      </c>
      <c r="R537" s="5">
        <f t="shared" si="34"/>
        <v>22737.25</v>
      </c>
      <c r="S537" s="5">
        <f>Table1[[#This Row],[Total_Line_Spend]]-Table1[[#This Row],[Negotiated_Total]]</f>
        <v>3002.1999999999971</v>
      </c>
      <c r="T537" t="str">
        <f xml:space="preserve"> IF(Table1[[#This Row],[Delay_Days]] &gt; 4, "High Risk", IF(Table1[[#This Row],[Delay_Days]] &gt; 0, "Medium Risk", "Low Risk"))</f>
        <v>Low Risk</v>
      </c>
    </row>
    <row r="538" spans="1:20" x14ac:dyDescent="0.25">
      <c r="A538" t="s">
        <v>563</v>
      </c>
      <c r="B538" t="s">
        <v>805</v>
      </c>
      <c r="C538" s="1">
        <v>44869</v>
      </c>
      <c r="D538" s="1">
        <v>44876</v>
      </c>
      <c r="E538" t="s">
        <v>24</v>
      </c>
      <c r="F538" t="s">
        <v>33</v>
      </c>
      <c r="G538">
        <v>1873</v>
      </c>
      <c r="H538" s="5">
        <v>11.54</v>
      </c>
      <c r="I538" s="5">
        <v>9.89</v>
      </c>
      <c r="J538">
        <v>284</v>
      </c>
      <c r="K538" t="s">
        <v>27</v>
      </c>
      <c r="L538">
        <f t="shared" si="35"/>
        <v>7</v>
      </c>
      <c r="M538">
        <v>11</v>
      </c>
      <c r="N538">
        <f t="shared" si="32"/>
        <v>0</v>
      </c>
      <c r="O538" t="str">
        <f xml:space="preserve"> IF(AND(Table1[[#This Row],[Actual_Lead_Time]] &lt;= Table1[[#This Row],[Standard_Lead_Time]], OR(ISBLANK(J538), J538 = 0)), "OTIF", "Non-OTIF")</f>
        <v>Non-OTIF</v>
      </c>
      <c r="P538">
        <f>IF(Table1[[#This Row],[OTIF_Status]] = "OTIF", 1, 0)</f>
        <v>0</v>
      </c>
      <c r="Q538" s="5">
        <f t="shared" si="33"/>
        <v>21614.42</v>
      </c>
      <c r="R538" s="5">
        <f t="shared" si="34"/>
        <v>18523.97</v>
      </c>
      <c r="S538" s="5">
        <f>Table1[[#This Row],[Total_Line_Spend]]-Table1[[#This Row],[Negotiated_Total]]</f>
        <v>3090.4499999999971</v>
      </c>
      <c r="T538" t="str">
        <f xml:space="preserve"> IF(Table1[[#This Row],[Delay_Days]] &gt; 4, "High Risk", IF(Table1[[#This Row],[Delay_Days]] &gt; 0, "Medium Risk", "Low Risk"))</f>
        <v>Low Risk</v>
      </c>
    </row>
    <row r="539" spans="1:20" x14ac:dyDescent="0.25">
      <c r="A539" t="s">
        <v>564</v>
      </c>
      <c r="B539" t="s">
        <v>808</v>
      </c>
      <c r="C539" s="1">
        <v>45081</v>
      </c>
      <c r="D539" s="1">
        <v>45083</v>
      </c>
      <c r="E539" t="s">
        <v>13</v>
      </c>
      <c r="F539" t="s">
        <v>18</v>
      </c>
      <c r="G539">
        <v>776</v>
      </c>
      <c r="H539" s="5">
        <v>24.22</v>
      </c>
      <c r="I539" s="5">
        <v>22.53</v>
      </c>
      <c r="J539">
        <v>27</v>
      </c>
      <c r="K539" t="s">
        <v>15</v>
      </c>
      <c r="L539">
        <f t="shared" si="35"/>
        <v>2</v>
      </c>
      <c r="M539">
        <v>11</v>
      </c>
      <c r="N539">
        <f t="shared" si="32"/>
        <v>0</v>
      </c>
      <c r="O539" t="str">
        <f xml:space="preserve"> IF(AND(Table1[[#This Row],[Actual_Lead_Time]] &lt;= Table1[[#This Row],[Standard_Lead_Time]], OR(ISBLANK(J539), J539 = 0)), "OTIF", "Non-OTIF")</f>
        <v>Non-OTIF</v>
      </c>
      <c r="P539">
        <f>IF(Table1[[#This Row],[OTIF_Status]] = "OTIF", 1, 0)</f>
        <v>0</v>
      </c>
      <c r="Q539" s="5">
        <f t="shared" si="33"/>
        <v>18794.719999999998</v>
      </c>
      <c r="R539" s="5">
        <f t="shared" si="34"/>
        <v>17483.280000000002</v>
      </c>
      <c r="S539" s="5">
        <f>Table1[[#This Row],[Total_Line_Spend]]-Table1[[#This Row],[Negotiated_Total]]</f>
        <v>1311.4399999999951</v>
      </c>
      <c r="T539" t="str">
        <f xml:space="preserve"> IF(Table1[[#This Row],[Delay_Days]] &gt; 4, "High Risk", IF(Table1[[#This Row],[Delay_Days]] &gt; 0, "Medium Risk", "Low Risk"))</f>
        <v>Low Risk</v>
      </c>
    </row>
    <row r="540" spans="1:20" x14ac:dyDescent="0.25">
      <c r="A540" t="s">
        <v>565</v>
      </c>
      <c r="B540" t="s">
        <v>805</v>
      </c>
      <c r="C540" s="1">
        <v>44878</v>
      </c>
      <c r="D540" s="1">
        <v>44889</v>
      </c>
      <c r="E540" t="s">
        <v>39</v>
      </c>
      <c r="F540" t="s">
        <v>18</v>
      </c>
      <c r="G540">
        <v>903</v>
      </c>
      <c r="H540" s="5">
        <v>95.55</v>
      </c>
      <c r="I540" s="5">
        <v>92.45</v>
      </c>
      <c r="J540">
        <v>149</v>
      </c>
      <c r="K540" t="s">
        <v>27</v>
      </c>
      <c r="L540">
        <f t="shared" si="35"/>
        <v>11</v>
      </c>
      <c r="M540">
        <v>11</v>
      </c>
      <c r="N540">
        <f t="shared" si="32"/>
        <v>0</v>
      </c>
      <c r="O540" t="str">
        <f xml:space="preserve"> IF(AND(Table1[[#This Row],[Actual_Lead_Time]] &lt;= Table1[[#This Row],[Standard_Lead_Time]], OR(ISBLANK(J540), J540 = 0)), "OTIF", "Non-OTIF")</f>
        <v>Non-OTIF</v>
      </c>
      <c r="P540">
        <f>IF(Table1[[#This Row],[OTIF_Status]] = "OTIF", 1, 0)</f>
        <v>0</v>
      </c>
      <c r="Q540" s="5">
        <f t="shared" si="33"/>
        <v>86281.65</v>
      </c>
      <c r="R540" s="5">
        <f t="shared" si="34"/>
        <v>83482.350000000006</v>
      </c>
      <c r="S540" s="5">
        <f>Table1[[#This Row],[Total_Line_Spend]]-Table1[[#This Row],[Negotiated_Total]]</f>
        <v>2799.2999999999884</v>
      </c>
      <c r="T540" t="str">
        <f xml:space="preserve"> IF(Table1[[#This Row],[Delay_Days]] &gt; 4, "High Risk", IF(Table1[[#This Row],[Delay_Days]] &gt; 0, "Medium Risk", "Low Risk"))</f>
        <v>Low Risk</v>
      </c>
    </row>
    <row r="541" spans="1:20" x14ac:dyDescent="0.25">
      <c r="A541" t="s">
        <v>566</v>
      </c>
      <c r="B541" t="s">
        <v>808</v>
      </c>
      <c r="C541" s="1">
        <v>45244</v>
      </c>
      <c r="D541" s="1">
        <v>45256</v>
      </c>
      <c r="E541" t="s">
        <v>39</v>
      </c>
      <c r="F541" t="s">
        <v>18</v>
      </c>
      <c r="G541">
        <v>100</v>
      </c>
      <c r="H541" s="5">
        <v>98.4</v>
      </c>
      <c r="I541" s="5">
        <v>85.76</v>
      </c>
      <c r="J541">
        <v>3</v>
      </c>
      <c r="K541" t="s">
        <v>15</v>
      </c>
      <c r="L541">
        <f t="shared" si="35"/>
        <v>12</v>
      </c>
      <c r="M541">
        <v>11</v>
      </c>
      <c r="N541">
        <f t="shared" si="32"/>
        <v>1</v>
      </c>
      <c r="O541" t="str">
        <f xml:space="preserve"> IF(AND(Table1[[#This Row],[Actual_Lead_Time]] &lt;= Table1[[#This Row],[Standard_Lead_Time]], OR(ISBLANK(J541), J541 = 0)), "OTIF", "Non-OTIF")</f>
        <v>Non-OTIF</v>
      </c>
      <c r="P541">
        <f>IF(Table1[[#This Row],[OTIF_Status]] = "OTIF", 1, 0)</f>
        <v>0</v>
      </c>
      <c r="Q541" s="5">
        <f t="shared" si="33"/>
        <v>9840</v>
      </c>
      <c r="R541" s="5">
        <f t="shared" si="34"/>
        <v>8576</v>
      </c>
      <c r="S541" s="5">
        <f>Table1[[#This Row],[Total_Line_Spend]]-Table1[[#This Row],[Negotiated_Total]]</f>
        <v>1264</v>
      </c>
      <c r="T541" t="str">
        <f xml:space="preserve"> IF(Table1[[#This Row],[Delay_Days]] &gt; 4, "High Risk", IF(Table1[[#This Row],[Delay_Days]] &gt; 0, "Medium Risk", "Low Risk"))</f>
        <v>Medium Risk</v>
      </c>
    </row>
    <row r="542" spans="1:20" x14ac:dyDescent="0.25">
      <c r="A542" t="s">
        <v>567</v>
      </c>
      <c r="B542" t="s">
        <v>808</v>
      </c>
      <c r="C542" s="1">
        <v>44980</v>
      </c>
      <c r="D542" s="1">
        <v>44993</v>
      </c>
      <c r="E542" t="s">
        <v>13</v>
      </c>
      <c r="F542" t="s">
        <v>18</v>
      </c>
      <c r="G542">
        <v>1738</v>
      </c>
      <c r="H542" s="5">
        <v>67.91</v>
      </c>
      <c r="I542" s="5">
        <v>61.15</v>
      </c>
      <c r="K542" t="s">
        <v>15</v>
      </c>
      <c r="L542">
        <f t="shared" si="35"/>
        <v>13</v>
      </c>
      <c r="M542">
        <v>11</v>
      </c>
      <c r="N542">
        <f t="shared" si="32"/>
        <v>2</v>
      </c>
      <c r="O542" t="str">
        <f xml:space="preserve"> IF(AND(Table1[[#This Row],[Actual_Lead_Time]] &lt;= Table1[[#This Row],[Standard_Lead_Time]], OR(ISBLANK(J542), J542 = 0)), "OTIF", "Non-OTIF")</f>
        <v>Non-OTIF</v>
      </c>
      <c r="P542">
        <f>IF(Table1[[#This Row],[OTIF_Status]] = "OTIF", 1, 0)</f>
        <v>0</v>
      </c>
      <c r="Q542" s="5">
        <f t="shared" si="33"/>
        <v>118027.57999999999</v>
      </c>
      <c r="R542" s="5">
        <f t="shared" si="34"/>
        <v>106278.7</v>
      </c>
      <c r="S542" s="5">
        <f>Table1[[#This Row],[Total_Line_Spend]]-Table1[[#This Row],[Negotiated_Total]]</f>
        <v>11748.87999999999</v>
      </c>
      <c r="T542" t="str">
        <f xml:space="preserve"> IF(Table1[[#This Row],[Delay_Days]] &gt; 4, "High Risk", IF(Table1[[#This Row],[Delay_Days]] &gt; 0, "Medium Risk", "Low Risk"))</f>
        <v>Medium Risk</v>
      </c>
    </row>
    <row r="543" spans="1:20" x14ac:dyDescent="0.25">
      <c r="A543" t="s">
        <v>568</v>
      </c>
      <c r="B543" t="s">
        <v>805</v>
      </c>
      <c r="C543" s="1">
        <v>44896</v>
      </c>
      <c r="D543" s="1">
        <v>44909</v>
      </c>
      <c r="E543" t="s">
        <v>24</v>
      </c>
      <c r="F543" t="s">
        <v>18</v>
      </c>
      <c r="G543">
        <v>1771</v>
      </c>
      <c r="H543" s="5">
        <v>67.569999999999993</v>
      </c>
      <c r="I543" s="5">
        <v>61.48</v>
      </c>
      <c r="J543">
        <v>280</v>
      </c>
      <c r="K543" t="s">
        <v>27</v>
      </c>
      <c r="L543">
        <f t="shared" si="35"/>
        <v>13</v>
      </c>
      <c r="M543">
        <v>11</v>
      </c>
      <c r="N543">
        <f t="shared" si="32"/>
        <v>2</v>
      </c>
      <c r="O543" t="str">
        <f xml:space="preserve"> IF(AND(Table1[[#This Row],[Actual_Lead_Time]] &lt;= Table1[[#This Row],[Standard_Lead_Time]], OR(ISBLANK(J543), J543 = 0)), "OTIF", "Non-OTIF")</f>
        <v>Non-OTIF</v>
      </c>
      <c r="P543">
        <f>IF(Table1[[#This Row],[OTIF_Status]] = "OTIF", 1, 0)</f>
        <v>0</v>
      </c>
      <c r="Q543" s="5">
        <f t="shared" si="33"/>
        <v>119666.46999999999</v>
      </c>
      <c r="R543" s="5">
        <f t="shared" si="34"/>
        <v>108881.07999999999</v>
      </c>
      <c r="S543" s="5">
        <f>Table1[[#This Row],[Total_Line_Spend]]-Table1[[#This Row],[Negotiated_Total]]</f>
        <v>10785.39</v>
      </c>
      <c r="T543" t="str">
        <f xml:space="preserve"> IF(Table1[[#This Row],[Delay_Days]] &gt; 4, "High Risk", IF(Table1[[#This Row],[Delay_Days]] &gt; 0, "Medium Risk", "Low Risk"))</f>
        <v>Medium Risk</v>
      </c>
    </row>
    <row r="544" spans="1:20" x14ac:dyDescent="0.25">
      <c r="A544" t="s">
        <v>569</v>
      </c>
      <c r="B544" t="s">
        <v>808</v>
      </c>
      <c r="C544" s="1">
        <v>44974</v>
      </c>
      <c r="D544" s="1">
        <v>44980</v>
      </c>
      <c r="E544" t="s">
        <v>39</v>
      </c>
      <c r="F544" t="s">
        <v>18</v>
      </c>
      <c r="G544">
        <v>624</v>
      </c>
      <c r="H544" s="5">
        <v>74.39</v>
      </c>
      <c r="I544" s="5">
        <v>66.3</v>
      </c>
      <c r="J544">
        <v>18</v>
      </c>
      <c r="K544" t="s">
        <v>27</v>
      </c>
      <c r="L544">
        <f t="shared" si="35"/>
        <v>6</v>
      </c>
      <c r="M544">
        <v>11</v>
      </c>
      <c r="N544">
        <f t="shared" si="32"/>
        <v>0</v>
      </c>
      <c r="O544" t="str">
        <f xml:space="preserve"> IF(AND(Table1[[#This Row],[Actual_Lead_Time]] &lt;= Table1[[#This Row],[Standard_Lead_Time]], OR(ISBLANK(J544), J544 = 0)), "OTIF", "Non-OTIF")</f>
        <v>Non-OTIF</v>
      </c>
      <c r="P544">
        <f>IF(Table1[[#This Row],[OTIF_Status]] = "OTIF", 1, 0)</f>
        <v>0</v>
      </c>
      <c r="Q544" s="5">
        <f t="shared" si="33"/>
        <v>46419.360000000001</v>
      </c>
      <c r="R544" s="5">
        <f t="shared" si="34"/>
        <v>41371.199999999997</v>
      </c>
      <c r="S544" s="5">
        <f>Table1[[#This Row],[Total_Line_Spend]]-Table1[[#This Row],[Negotiated_Total]]</f>
        <v>5048.1600000000035</v>
      </c>
      <c r="T544" t="str">
        <f xml:space="preserve"> IF(Table1[[#This Row],[Delay_Days]] &gt; 4, "High Risk", IF(Table1[[#This Row],[Delay_Days]] &gt; 0, "Medium Risk", "Low Risk"))</f>
        <v>Low Risk</v>
      </c>
    </row>
    <row r="545" spans="1:20" x14ac:dyDescent="0.25">
      <c r="A545" t="s">
        <v>570</v>
      </c>
      <c r="B545" t="s">
        <v>804</v>
      </c>
      <c r="C545" s="1">
        <v>45275</v>
      </c>
      <c r="D545" s="1">
        <v>45291</v>
      </c>
      <c r="E545" t="s">
        <v>24</v>
      </c>
      <c r="F545" t="s">
        <v>33</v>
      </c>
      <c r="G545">
        <v>1263</v>
      </c>
      <c r="H545" s="5">
        <v>28.75</v>
      </c>
      <c r="I545" s="5">
        <v>27.1</v>
      </c>
      <c r="J545">
        <v>26</v>
      </c>
      <c r="K545" t="s">
        <v>15</v>
      </c>
      <c r="L545">
        <f t="shared" si="35"/>
        <v>16</v>
      </c>
      <c r="M545">
        <v>11</v>
      </c>
      <c r="N545">
        <f t="shared" si="32"/>
        <v>5</v>
      </c>
      <c r="O545" t="str">
        <f xml:space="preserve"> IF(AND(Table1[[#This Row],[Actual_Lead_Time]] &lt;= Table1[[#This Row],[Standard_Lead_Time]], OR(ISBLANK(J545), J545 = 0)), "OTIF", "Non-OTIF")</f>
        <v>Non-OTIF</v>
      </c>
      <c r="P545">
        <f>IF(Table1[[#This Row],[OTIF_Status]] = "OTIF", 1, 0)</f>
        <v>0</v>
      </c>
      <c r="Q545" s="5">
        <f t="shared" si="33"/>
        <v>36311.25</v>
      </c>
      <c r="R545" s="5">
        <f t="shared" si="34"/>
        <v>34227.300000000003</v>
      </c>
      <c r="S545" s="5">
        <f>Table1[[#This Row],[Total_Line_Spend]]-Table1[[#This Row],[Negotiated_Total]]</f>
        <v>2083.9499999999971</v>
      </c>
      <c r="T545" t="str">
        <f xml:space="preserve"> IF(Table1[[#This Row],[Delay_Days]] &gt; 4, "High Risk", IF(Table1[[#This Row],[Delay_Days]] &gt; 0, "Medium Risk", "Low Risk"))</f>
        <v>High Risk</v>
      </c>
    </row>
    <row r="546" spans="1:20" x14ac:dyDescent="0.25">
      <c r="A546" t="s">
        <v>571</v>
      </c>
      <c r="B546" t="s">
        <v>806</v>
      </c>
      <c r="C546" s="1">
        <v>44864</v>
      </c>
      <c r="D546" s="1">
        <v>44881</v>
      </c>
      <c r="E546" t="s">
        <v>39</v>
      </c>
      <c r="F546" t="s">
        <v>14</v>
      </c>
      <c r="G546">
        <v>1198</v>
      </c>
      <c r="H546" s="5">
        <v>96.45</v>
      </c>
      <c r="I546" s="5">
        <v>90.09</v>
      </c>
      <c r="K546" t="s">
        <v>15</v>
      </c>
      <c r="L546">
        <f t="shared" si="35"/>
        <v>17</v>
      </c>
      <c r="M546">
        <v>11</v>
      </c>
      <c r="N546">
        <f t="shared" si="32"/>
        <v>6</v>
      </c>
      <c r="O546" t="str">
        <f xml:space="preserve"> IF(AND(Table1[[#This Row],[Actual_Lead_Time]] &lt;= Table1[[#This Row],[Standard_Lead_Time]], OR(ISBLANK(J546), J546 = 0)), "OTIF", "Non-OTIF")</f>
        <v>Non-OTIF</v>
      </c>
      <c r="P546">
        <f>IF(Table1[[#This Row],[OTIF_Status]] = "OTIF", 1, 0)</f>
        <v>0</v>
      </c>
      <c r="Q546" s="5">
        <f t="shared" si="33"/>
        <v>115547.1</v>
      </c>
      <c r="R546" s="5">
        <f t="shared" si="34"/>
        <v>107927.82</v>
      </c>
      <c r="S546" s="5">
        <f>Table1[[#This Row],[Total_Line_Spend]]-Table1[[#This Row],[Negotiated_Total]]</f>
        <v>7619.2799999999988</v>
      </c>
      <c r="T546" t="str">
        <f xml:space="preserve"> IF(Table1[[#This Row],[Delay_Days]] &gt; 4, "High Risk", IF(Table1[[#This Row],[Delay_Days]] &gt; 0, "Medium Risk", "Low Risk"))</f>
        <v>High Risk</v>
      </c>
    </row>
    <row r="547" spans="1:20" x14ac:dyDescent="0.25">
      <c r="A547" t="s">
        <v>572</v>
      </c>
      <c r="B547" t="s">
        <v>808</v>
      </c>
      <c r="C547" s="1">
        <v>45129</v>
      </c>
      <c r="D547" s="1">
        <v>45132</v>
      </c>
      <c r="E547" t="s">
        <v>26</v>
      </c>
      <c r="F547" t="s">
        <v>18</v>
      </c>
      <c r="G547">
        <v>199</v>
      </c>
      <c r="H547" s="5">
        <v>51.98</v>
      </c>
      <c r="I547" s="5">
        <v>45.64</v>
      </c>
      <c r="K547" t="s">
        <v>27</v>
      </c>
      <c r="L547">
        <f t="shared" si="35"/>
        <v>3</v>
      </c>
      <c r="M547">
        <v>11</v>
      </c>
      <c r="N547">
        <f t="shared" si="32"/>
        <v>0</v>
      </c>
      <c r="O547" t="str">
        <f xml:space="preserve"> IF(AND(Table1[[#This Row],[Actual_Lead_Time]] &lt;= Table1[[#This Row],[Standard_Lead_Time]], OR(ISBLANK(J547), J547 = 0)), "OTIF", "Non-OTIF")</f>
        <v>OTIF</v>
      </c>
      <c r="P547">
        <f>IF(Table1[[#This Row],[OTIF_Status]] = "OTIF", 1, 0)</f>
        <v>1</v>
      </c>
      <c r="Q547" s="5">
        <f t="shared" si="33"/>
        <v>10344.019999999999</v>
      </c>
      <c r="R547" s="5">
        <f t="shared" si="34"/>
        <v>9082.36</v>
      </c>
      <c r="S547" s="5">
        <f>Table1[[#This Row],[Total_Line_Spend]]-Table1[[#This Row],[Negotiated_Total]]</f>
        <v>1261.659999999998</v>
      </c>
      <c r="T547" t="str">
        <f xml:space="preserve"> IF(Table1[[#This Row],[Delay_Days]] &gt; 4, "High Risk", IF(Table1[[#This Row],[Delay_Days]] &gt; 0, "Medium Risk", "Low Risk"))</f>
        <v>Low Risk</v>
      </c>
    </row>
    <row r="548" spans="1:20" x14ac:dyDescent="0.25">
      <c r="A548" t="s">
        <v>573</v>
      </c>
      <c r="B548" t="s">
        <v>808</v>
      </c>
      <c r="C548" s="1">
        <v>44692</v>
      </c>
      <c r="D548" s="1">
        <v>44695</v>
      </c>
      <c r="E548" t="s">
        <v>21</v>
      </c>
      <c r="F548" t="s">
        <v>35</v>
      </c>
      <c r="G548">
        <v>363</v>
      </c>
      <c r="H548" s="5">
        <v>45.37</v>
      </c>
      <c r="I548" s="5">
        <v>38.729999999999997</v>
      </c>
      <c r="K548" t="s">
        <v>15</v>
      </c>
      <c r="L548">
        <f t="shared" si="35"/>
        <v>3</v>
      </c>
      <c r="M548">
        <v>11</v>
      </c>
      <c r="N548">
        <f t="shared" si="32"/>
        <v>0</v>
      </c>
      <c r="O548" t="str">
        <f xml:space="preserve"> IF(AND(Table1[[#This Row],[Actual_Lead_Time]] &lt;= Table1[[#This Row],[Standard_Lead_Time]], OR(ISBLANK(J548), J548 = 0)), "OTIF", "Non-OTIF")</f>
        <v>OTIF</v>
      </c>
      <c r="P548">
        <f>IF(Table1[[#This Row],[OTIF_Status]] = "OTIF", 1, 0)</f>
        <v>1</v>
      </c>
      <c r="Q548" s="5">
        <f t="shared" si="33"/>
        <v>16469.309999999998</v>
      </c>
      <c r="R548" s="5">
        <f t="shared" si="34"/>
        <v>14058.989999999998</v>
      </c>
      <c r="S548" s="5">
        <f>Table1[[#This Row],[Total_Line_Spend]]-Table1[[#This Row],[Negotiated_Total]]</f>
        <v>2410.3199999999997</v>
      </c>
      <c r="T548" t="str">
        <f xml:space="preserve"> IF(Table1[[#This Row],[Delay_Days]] &gt; 4, "High Risk", IF(Table1[[#This Row],[Delay_Days]] &gt; 0, "Medium Risk", "Low Risk"))</f>
        <v>Low Risk</v>
      </c>
    </row>
    <row r="549" spans="1:20" x14ac:dyDescent="0.25">
      <c r="A549" t="s">
        <v>574</v>
      </c>
      <c r="B549" t="s">
        <v>804</v>
      </c>
      <c r="C549" s="1">
        <v>44758</v>
      </c>
      <c r="D549" s="1">
        <v>44764</v>
      </c>
      <c r="E549" t="s">
        <v>13</v>
      </c>
      <c r="F549" t="s">
        <v>18</v>
      </c>
      <c r="G549">
        <v>619</v>
      </c>
      <c r="H549" s="5">
        <v>58.4</v>
      </c>
      <c r="I549" s="5">
        <v>51.04</v>
      </c>
      <c r="K549" t="s">
        <v>15</v>
      </c>
      <c r="L549">
        <f t="shared" si="35"/>
        <v>6</v>
      </c>
      <c r="M549">
        <v>11</v>
      </c>
      <c r="N549">
        <f t="shared" si="32"/>
        <v>0</v>
      </c>
      <c r="O549" t="str">
        <f xml:space="preserve"> IF(AND(Table1[[#This Row],[Actual_Lead_Time]] &lt;= Table1[[#This Row],[Standard_Lead_Time]], OR(ISBLANK(J549), J549 = 0)), "OTIF", "Non-OTIF")</f>
        <v>OTIF</v>
      </c>
      <c r="P549">
        <f>IF(Table1[[#This Row],[OTIF_Status]] = "OTIF", 1, 0)</f>
        <v>1</v>
      </c>
      <c r="Q549" s="5">
        <f t="shared" si="33"/>
        <v>36149.599999999999</v>
      </c>
      <c r="R549" s="5">
        <f t="shared" si="34"/>
        <v>31593.759999999998</v>
      </c>
      <c r="S549" s="5">
        <f>Table1[[#This Row],[Total_Line_Spend]]-Table1[[#This Row],[Negotiated_Total]]</f>
        <v>4555.84</v>
      </c>
      <c r="T549" t="str">
        <f xml:space="preserve"> IF(Table1[[#This Row],[Delay_Days]] &gt; 4, "High Risk", IF(Table1[[#This Row],[Delay_Days]] &gt; 0, "Medium Risk", "Low Risk"))</f>
        <v>Low Risk</v>
      </c>
    </row>
    <row r="550" spans="1:20" x14ac:dyDescent="0.25">
      <c r="A550" t="s">
        <v>575</v>
      </c>
      <c r="B550" t="s">
        <v>804</v>
      </c>
      <c r="C550" s="1">
        <v>44992</v>
      </c>
      <c r="D550" s="1">
        <v>45003</v>
      </c>
      <c r="E550" t="s">
        <v>21</v>
      </c>
      <c r="F550" t="s">
        <v>18</v>
      </c>
      <c r="G550">
        <v>1415</v>
      </c>
      <c r="H550" s="5">
        <v>15.22</v>
      </c>
      <c r="I550" s="5">
        <v>13.56</v>
      </c>
      <c r="J550">
        <v>30</v>
      </c>
      <c r="K550" t="s">
        <v>15</v>
      </c>
      <c r="L550">
        <f t="shared" si="35"/>
        <v>11</v>
      </c>
      <c r="M550">
        <v>11</v>
      </c>
      <c r="N550">
        <f t="shared" si="32"/>
        <v>0</v>
      </c>
      <c r="O550" t="str">
        <f xml:space="preserve"> IF(AND(Table1[[#This Row],[Actual_Lead_Time]] &lt;= Table1[[#This Row],[Standard_Lead_Time]], OR(ISBLANK(J550), J550 = 0)), "OTIF", "Non-OTIF")</f>
        <v>Non-OTIF</v>
      </c>
      <c r="P550">
        <f>IF(Table1[[#This Row],[OTIF_Status]] = "OTIF", 1, 0)</f>
        <v>0</v>
      </c>
      <c r="Q550" s="5">
        <f t="shared" si="33"/>
        <v>21536.3</v>
      </c>
      <c r="R550" s="5">
        <f t="shared" si="34"/>
        <v>19187.400000000001</v>
      </c>
      <c r="S550" s="5">
        <f>Table1[[#This Row],[Total_Line_Spend]]-Table1[[#This Row],[Negotiated_Total]]</f>
        <v>2348.8999999999978</v>
      </c>
      <c r="T550" t="str">
        <f xml:space="preserve"> IF(Table1[[#This Row],[Delay_Days]] &gt; 4, "High Risk", IF(Table1[[#This Row],[Delay_Days]] &gt; 0, "Medium Risk", "Low Risk"))</f>
        <v>Low Risk</v>
      </c>
    </row>
    <row r="551" spans="1:20" x14ac:dyDescent="0.25">
      <c r="A551" t="s">
        <v>576</v>
      </c>
      <c r="B551" t="s">
        <v>807</v>
      </c>
      <c r="C551" s="1">
        <v>45242</v>
      </c>
      <c r="D551" s="1">
        <v>45253</v>
      </c>
      <c r="E551" t="s">
        <v>24</v>
      </c>
      <c r="F551" t="s">
        <v>18</v>
      </c>
      <c r="G551">
        <v>354</v>
      </c>
      <c r="H551" s="5">
        <v>27.71</v>
      </c>
      <c r="I551" s="5">
        <v>23.87</v>
      </c>
      <c r="J551">
        <v>39</v>
      </c>
      <c r="K551" t="s">
        <v>27</v>
      </c>
      <c r="L551">
        <f t="shared" si="35"/>
        <v>11</v>
      </c>
      <c r="M551">
        <v>11</v>
      </c>
      <c r="N551">
        <f t="shared" si="32"/>
        <v>0</v>
      </c>
      <c r="O551" t="str">
        <f xml:space="preserve"> IF(AND(Table1[[#This Row],[Actual_Lead_Time]] &lt;= Table1[[#This Row],[Standard_Lead_Time]], OR(ISBLANK(J551), J551 = 0)), "OTIF", "Non-OTIF")</f>
        <v>Non-OTIF</v>
      </c>
      <c r="P551">
        <f>IF(Table1[[#This Row],[OTIF_Status]] = "OTIF", 1, 0)</f>
        <v>0</v>
      </c>
      <c r="Q551" s="5">
        <f t="shared" si="33"/>
        <v>9809.34</v>
      </c>
      <c r="R551" s="5">
        <f t="shared" si="34"/>
        <v>8449.98</v>
      </c>
      <c r="S551" s="5">
        <f>Table1[[#This Row],[Total_Line_Spend]]-Table1[[#This Row],[Negotiated_Total]]</f>
        <v>1359.3600000000006</v>
      </c>
      <c r="T551" t="str">
        <f xml:space="preserve"> IF(Table1[[#This Row],[Delay_Days]] &gt; 4, "High Risk", IF(Table1[[#This Row],[Delay_Days]] &gt; 0, "Medium Risk", "Low Risk"))</f>
        <v>Low Risk</v>
      </c>
    </row>
    <row r="552" spans="1:20" x14ac:dyDescent="0.25">
      <c r="A552" t="s">
        <v>577</v>
      </c>
      <c r="B552" t="s">
        <v>806</v>
      </c>
      <c r="C552" s="1">
        <v>44950</v>
      </c>
      <c r="D552" s="1">
        <v>44960</v>
      </c>
      <c r="E552" t="s">
        <v>21</v>
      </c>
      <c r="F552" t="s">
        <v>18</v>
      </c>
      <c r="G552">
        <v>1765</v>
      </c>
      <c r="H552" s="5">
        <v>81.010000000000005</v>
      </c>
      <c r="I552" s="5">
        <v>78.430000000000007</v>
      </c>
      <c r="J552">
        <v>78</v>
      </c>
      <c r="K552" t="s">
        <v>15</v>
      </c>
      <c r="L552">
        <f t="shared" si="35"/>
        <v>10</v>
      </c>
      <c r="M552">
        <v>11</v>
      </c>
      <c r="N552">
        <f t="shared" si="32"/>
        <v>0</v>
      </c>
      <c r="O552" t="str">
        <f xml:space="preserve"> IF(AND(Table1[[#This Row],[Actual_Lead_Time]] &lt;= Table1[[#This Row],[Standard_Lead_Time]], OR(ISBLANK(J552), J552 = 0)), "OTIF", "Non-OTIF")</f>
        <v>Non-OTIF</v>
      </c>
      <c r="P552">
        <f>IF(Table1[[#This Row],[OTIF_Status]] = "OTIF", 1, 0)</f>
        <v>0</v>
      </c>
      <c r="Q552" s="5">
        <f t="shared" si="33"/>
        <v>142982.65000000002</v>
      </c>
      <c r="R552" s="5">
        <f t="shared" si="34"/>
        <v>138428.95000000001</v>
      </c>
      <c r="S552" s="5">
        <f>Table1[[#This Row],[Total_Line_Spend]]-Table1[[#This Row],[Negotiated_Total]]</f>
        <v>4553.7000000000116</v>
      </c>
      <c r="T552" t="str">
        <f xml:space="preserve"> IF(Table1[[#This Row],[Delay_Days]] &gt; 4, "High Risk", IF(Table1[[#This Row],[Delay_Days]] &gt; 0, "Medium Risk", "Low Risk"))</f>
        <v>Low Risk</v>
      </c>
    </row>
    <row r="553" spans="1:20" x14ac:dyDescent="0.25">
      <c r="A553" t="s">
        <v>578</v>
      </c>
      <c r="B553" t="s">
        <v>807</v>
      </c>
      <c r="C553" s="1">
        <v>45255</v>
      </c>
      <c r="D553" s="1">
        <v>45269</v>
      </c>
      <c r="E553" t="s">
        <v>21</v>
      </c>
      <c r="F553" t="s">
        <v>18</v>
      </c>
      <c r="G553">
        <v>731</v>
      </c>
      <c r="H553" s="5">
        <v>19.37</v>
      </c>
      <c r="I553" s="5">
        <v>17.3</v>
      </c>
      <c r="J553">
        <v>69</v>
      </c>
      <c r="K553" t="s">
        <v>27</v>
      </c>
      <c r="L553">
        <f t="shared" si="35"/>
        <v>14</v>
      </c>
      <c r="M553">
        <v>11</v>
      </c>
      <c r="N553">
        <f t="shared" si="32"/>
        <v>3</v>
      </c>
      <c r="O553" t="str">
        <f xml:space="preserve"> IF(AND(Table1[[#This Row],[Actual_Lead_Time]] &lt;= Table1[[#This Row],[Standard_Lead_Time]], OR(ISBLANK(J553), J553 = 0)), "OTIF", "Non-OTIF")</f>
        <v>Non-OTIF</v>
      </c>
      <c r="P553">
        <f>IF(Table1[[#This Row],[OTIF_Status]] = "OTIF", 1, 0)</f>
        <v>0</v>
      </c>
      <c r="Q553" s="5">
        <f t="shared" si="33"/>
        <v>14159.470000000001</v>
      </c>
      <c r="R553" s="5">
        <f t="shared" si="34"/>
        <v>12646.300000000001</v>
      </c>
      <c r="S553" s="5">
        <f>Table1[[#This Row],[Total_Line_Spend]]-Table1[[#This Row],[Negotiated_Total]]</f>
        <v>1513.17</v>
      </c>
      <c r="T553" t="str">
        <f xml:space="preserve"> IF(Table1[[#This Row],[Delay_Days]] &gt; 4, "High Risk", IF(Table1[[#This Row],[Delay_Days]] &gt; 0, "Medium Risk", "Low Risk"))</f>
        <v>Medium Risk</v>
      </c>
    </row>
    <row r="554" spans="1:20" x14ac:dyDescent="0.25">
      <c r="A554" t="s">
        <v>579</v>
      </c>
      <c r="B554" t="s">
        <v>808</v>
      </c>
      <c r="C554" s="1">
        <v>44740</v>
      </c>
      <c r="D554" s="1">
        <v>44755</v>
      </c>
      <c r="E554" t="s">
        <v>21</v>
      </c>
      <c r="F554" t="s">
        <v>18</v>
      </c>
      <c r="G554">
        <v>887</v>
      </c>
      <c r="H554" s="5">
        <v>65.89</v>
      </c>
      <c r="I554" s="5">
        <v>59.67</v>
      </c>
      <c r="J554">
        <v>29</v>
      </c>
      <c r="K554" t="s">
        <v>15</v>
      </c>
      <c r="L554">
        <f t="shared" si="35"/>
        <v>15</v>
      </c>
      <c r="M554">
        <v>11</v>
      </c>
      <c r="N554">
        <f t="shared" si="32"/>
        <v>4</v>
      </c>
      <c r="O554" t="str">
        <f xml:space="preserve"> IF(AND(Table1[[#This Row],[Actual_Lead_Time]] &lt;= Table1[[#This Row],[Standard_Lead_Time]], OR(ISBLANK(J554), J554 = 0)), "OTIF", "Non-OTIF")</f>
        <v>Non-OTIF</v>
      </c>
      <c r="P554">
        <f>IF(Table1[[#This Row],[OTIF_Status]] = "OTIF", 1, 0)</f>
        <v>0</v>
      </c>
      <c r="Q554" s="5">
        <f t="shared" si="33"/>
        <v>58444.43</v>
      </c>
      <c r="R554" s="5">
        <f t="shared" si="34"/>
        <v>52927.29</v>
      </c>
      <c r="S554" s="5">
        <f>Table1[[#This Row],[Total_Line_Spend]]-Table1[[#This Row],[Negotiated_Total]]</f>
        <v>5517.1399999999994</v>
      </c>
      <c r="T554" t="str">
        <f xml:space="preserve"> IF(Table1[[#This Row],[Delay_Days]] &gt; 4, "High Risk", IF(Table1[[#This Row],[Delay_Days]] &gt; 0, "Medium Risk", "Low Risk"))</f>
        <v>Medium Risk</v>
      </c>
    </row>
    <row r="555" spans="1:20" x14ac:dyDescent="0.25">
      <c r="A555" t="s">
        <v>580</v>
      </c>
      <c r="B555" t="s">
        <v>804</v>
      </c>
      <c r="C555" s="1">
        <v>45192</v>
      </c>
      <c r="D555" s="1">
        <v>45194</v>
      </c>
      <c r="E555" t="s">
        <v>21</v>
      </c>
      <c r="F555" t="s">
        <v>18</v>
      </c>
      <c r="G555">
        <v>1856</v>
      </c>
      <c r="H555" s="5">
        <v>35.29</v>
      </c>
      <c r="I555" s="5">
        <v>32.409999999999997</v>
      </c>
      <c r="J555">
        <v>26</v>
      </c>
      <c r="K555" t="s">
        <v>15</v>
      </c>
      <c r="L555">
        <f t="shared" si="35"/>
        <v>2</v>
      </c>
      <c r="M555">
        <v>11</v>
      </c>
      <c r="N555">
        <f t="shared" si="32"/>
        <v>0</v>
      </c>
      <c r="O555" t="str">
        <f xml:space="preserve"> IF(AND(Table1[[#This Row],[Actual_Lead_Time]] &lt;= Table1[[#This Row],[Standard_Lead_Time]], OR(ISBLANK(J555), J555 = 0)), "OTIF", "Non-OTIF")</f>
        <v>Non-OTIF</v>
      </c>
      <c r="P555">
        <f>IF(Table1[[#This Row],[OTIF_Status]] = "OTIF", 1, 0)</f>
        <v>0</v>
      </c>
      <c r="Q555" s="5">
        <f t="shared" si="33"/>
        <v>65498.239999999998</v>
      </c>
      <c r="R555" s="5">
        <f t="shared" si="34"/>
        <v>60152.959999999992</v>
      </c>
      <c r="S555" s="5">
        <f>Table1[[#This Row],[Total_Line_Spend]]-Table1[[#This Row],[Negotiated_Total]]</f>
        <v>5345.2800000000061</v>
      </c>
      <c r="T555" t="str">
        <f xml:space="preserve"> IF(Table1[[#This Row],[Delay_Days]] &gt; 4, "High Risk", IF(Table1[[#This Row],[Delay_Days]] &gt; 0, "Medium Risk", "Low Risk"))</f>
        <v>Low Risk</v>
      </c>
    </row>
    <row r="556" spans="1:20" x14ac:dyDescent="0.25">
      <c r="A556" t="s">
        <v>581</v>
      </c>
      <c r="B556" t="s">
        <v>808</v>
      </c>
      <c r="C556" s="1">
        <v>45144</v>
      </c>
      <c r="D556" s="1">
        <v>45156</v>
      </c>
      <c r="E556" t="s">
        <v>13</v>
      </c>
      <c r="F556" t="s">
        <v>18</v>
      </c>
      <c r="G556">
        <v>1127</v>
      </c>
      <c r="H556" s="5">
        <v>49.32</v>
      </c>
      <c r="I556" s="5">
        <v>46.49</v>
      </c>
      <c r="J556">
        <v>30</v>
      </c>
      <c r="K556" t="s">
        <v>15</v>
      </c>
      <c r="L556">
        <f t="shared" si="35"/>
        <v>12</v>
      </c>
      <c r="M556">
        <v>11</v>
      </c>
      <c r="N556">
        <f t="shared" si="32"/>
        <v>1</v>
      </c>
      <c r="O556" t="str">
        <f xml:space="preserve"> IF(AND(Table1[[#This Row],[Actual_Lead_Time]] &lt;= Table1[[#This Row],[Standard_Lead_Time]], OR(ISBLANK(J556), J556 = 0)), "OTIF", "Non-OTIF")</f>
        <v>Non-OTIF</v>
      </c>
      <c r="P556">
        <f>IF(Table1[[#This Row],[OTIF_Status]] = "OTIF", 1, 0)</f>
        <v>0</v>
      </c>
      <c r="Q556" s="5">
        <f t="shared" si="33"/>
        <v>55583.64</v>
      </c>
      <c r="R556" s="5">
        <f t="shared" si="34"/>
        <v>52394.23</v>
      </c>
      <c r="S556" s="5">
        <f>Table1[[#This Row],[Total_Line_Spend]]-Table1[[#This Row],[Negotiated_Total]]</f>
        <v>3189.4099999999962</v>
      </c>
      <c r="T556" t="str">
        <f xml:space="preserve"> IF(Table1[[#This Row],[Delay_Days]] &gt; 4, "High Risk", IF(Table1[[#This Row],[Delay_Days]] &gt; 0, "Medium Risk", "Low Risk"))</f>
        <v>Medium Risk</v>
      </c>
    </row>
    <row r="557" spans="1:20" x14ac:dyDescent="0.25">
      <c r="A557" t="s">
        <v>582</v>
      </c>
      <c r="B557" t="s">
        <v>805</v>
      </c>
      <c r="C557" s="1">
        <v>44870</v>
      </c>
      <c r="D557" s="1">
        <v>44884</v>
      </c>
      <c r="E557" t="s">
        <v>26</v>
      </c>
      <c r="F557" t="s">
        <v>18</v>
      </c>
      <c r="G557">
        <v>1052</v>
      </c>
      <c r="H557" s="5">
        <v>37.78</v>
      </c>
      <c r="I557" s="5">
        <v>32.6</v>
      </c>
      <c r="J557">
        <v>162</v>
      </c>
      <c r="K557" t="s">
        <v>15</v>
      </c>
      <c r="L557">
        <f t="shared" si="35"/>
        <v>14</v>
      </c>
      <c r="M557">
        <v>11</v>
      </c>
      <c r="N557">
        <f t="shared" si="32"/>
        <v>3</v>
      </c>
      <c r="O557" t="str">
        <f xml:space="preserve"> IF(AND(Table1[[#This Row],[Actual_Lead_Time]] &lt;= Table1[[#This Row],[Standard_Lead_Time]], OR(ISBLANK(J557), J557 = 0)), "OTIF", "Non-OTIF")</f>
        <v>Non-OTIF</v>
      </c>
      <c r="P557">
        <f>IF(Table1[[#This Row],[OTIF_Status]] = "OTIF", 1, 0)</f>
        <v>0</v>
      </c>
      <c r="Q557" s="5">
        <f t="shared" si="33"/>
        <v>39744.559999999998</v>
      </c>
      <c r="R557" s="5">
        <f t="shared" si="34"/>
        <v>34295.200000000004</v>
      </c>
      <c r="S557" s="5">
        <f>Table1[[#This Row],[Total_Line_Spend]]-Table1[[#This Row],[Negotiated_Total]]</f>
        <v>5449.3599999999933</v>
      </c>
      <c r="T557" t="str">
        <f xml:space="preserve"> IF(Table1[[#This Row],[Delay_Days]] &gt; 4, "High Risk", IF(Table1[[#This Row],[Delay_Days]] &gt; 0, "Medium Risk", "Low Risk"))</f>
        <v>Medium Risk</v>
      </c>
    </row>
    <row r="558" spans="1:20" x14ac:dyDescent="0.25">
      <c r="A558" t="s">
        <v>583</v>
      </c>
      <c r="B558" t="s">
        <v>806</v>
      </c>
      <c r="C558" s="1">
        <v>44977</v>
      </c>
      <c r="D558" s="1">
        <v>44979</v>
      </c>
      <c r="E558" t="s">
        <v>26</v>
      </c>
      <c r="F558" t="s">
        <v>18</v>
      </c>
      <c r="G558">
        <v>493</v>
      </c>
      <c r="H558" s="5">
        <v>44.74</v>
      </c>
      <c r="I558" s="5">
        <v>41.44</v>
      </c>
      <c r="J558">
        <v>24</v>
      </c>
      <c r="K558" t="s">
        <v>27</v>
      </c>
      <c r="L558">
        <f t="shared" si="35"/>
        <v>2</v>
      </c>
      <c r="M558">
        <v>11</v>
      </c>
      <c r="N558">
        <f t="shared" si="32"/>
        <v>0</v>
      </c>
      <c r="O558" t="str">
        <f xml:space="preserve"> IF(AND(Table1[[#This Row],[Actual_Lead_Time]] &lt;= Table1[[#This Row],[Standard_Lead_Time]], OR(ISBLANK(J558), J558 = 0)), "OTIF", "Non-OTIF")</f>
        <v>Non-OTIF</v>
      </c>
      <c r="P558">
        <f>IF(Table1[[#This Row],[OTIF_Status]] = "OTIF", 1, 0)</f>
        <v>0</v>
      </c>
      <c r="Q558" s="5">
        <f t="shared" si="33"/>
        <v>22056.82</v>
      </c>
      <c r="R558" s="5">
        <f t="shared" si="34"/>
        <v>20429.919999999998</v>
      </c>
      <c r="S558" s="5">
        <f>Table1[[#This Row],[Total_Line_Spend]]-Table1[[#This Row],[Negotiated_Total]]</f>
        <v>1626.9000000000015</v>
      </c>
      <c r="T558" t="str">
        <f xml:space="preserve"> IF(Table1[[#This Row],[Delay_Days]] &gt; 4, "High Risk", IF(Table1[[#This Row],[Delay_Days]] &gt; 0, "Medium Risk", "Low Risk"))</f>
        <v>Low Risk</v>
      </c>
    </row>
    <row r="559" spans="1:20" x14ac:dyDescent="0.25">
      <c r="A559" t="s">
        <v>584</v>
      </c>
      <c r="B559" t="s">
        <v>805</v>
      </c>
      <c r="C559" s="1">
        <v>45123</v>
      </c>
      <c r="D559" s="1">
        <v>45136</v>
      </c>
      <c r="E559" t="s">
        <v>21</v>
      </c>
      <c r="F559" t="s">
        <v>33</v>
      </c>
      <c r="G559">
        <v>662</v>
      </c>
      <c r="H559" s="5">
        <v>81.44</v>
      </c>
      <c r="I559" s="5">
        <v>71.33</v>
      </c>
      <c r="J559">
        <v>87</v>
      </c>
      <c r="K559" t="s">
        <v>15</v>
      </c>
      <c r="L559">
        <f t="shared" si="35"/>
        <v>13</v>
      </c>
      <c r="M559">
        <v>11</v>
      </c>
      <c r="N559">
        <f t="shared" si="32"/>
        <v>2</v>
      </c>
      <c r="O559" t="str">
        <f xml:space="preserve"> IF(AND(Table1[[#This Row],[Actual_Lead_Time]] &lt;= Table1[[#This Row],[Standard_Lead_Time]], OR(ISBLANK(J559), J559 = 0)), "OTIF", "Non-OTIF")</f>
        <v>Non-OTIF</v>
      </c>
      <c r="P559">
        <f>IF(Table1[[#This Row],[OTIF_Status]] = "OTIF", 1, 0)</f>
        <v>0</v>
      </c>
      <c r="Q559" s="5">
        <f t="shared" si="33"/>
        <v>53913.279999999999</v>
      </c>
      <c r="R559" s="5">
        <f t="shared" si="34"/>
        <v>47220.46</v>
      </c>
      <c r="S559" s="5">
        <f>Table1[[#This Row],[Total_Line_Spend]]-Table1[[#This Row],[Negotiated_Total]]</f>
        <v>6692.82</v>
      </c>
      <c r="T559" t="str">
        <f xml:space="preserve"> IF(Table1[[#This Row],[Delay_Days]] &gt; 4, "High Risk", IF(Table1[[#This Row],[Delay_Days]] &gt; 0, "Medium Risk", "Low Risk"))</f>
        <v>Medium Risk</v>
      </c>
    </row>
    <row r="560" spans="1:20" x14ac:dyDescent="0.25">
      <c r="A560" t="s">
        <v>585</v>
      </c>
      <c r="B560" t="s">
        <v>804</v>
      </c>
      <c r="C560" s="1">
        <v>44562</v>
      </c>
      <c r="D560" s="1">
        <v>44568</v>
      </c>
      <c r="E560" t="s">
        <v>26</v>
      </c>
      <c r="F560" t="s">
        <v>18</v>
      </c>
      <c r="G560">
        <v>1042</v>
      </c>
      <c r="H560" s="5">
        <v>36.74</v>
      </c>
      <c r="I560" s="5">
        <v>35.78</v>
      </c>
      <c r="J560">
        <v>33</v>
      </c>
      <c r="K560" t="s">
        <v>15</v>
      </c>
      <c r="L560">
        <f t="shared" si="35"/>
        <v>6</v>
      </c>
      <c r="M560">
        <v>11</v>
      </c>
      <c r="N560">
        <f t="shared" si="32"/>
        <v>0</v>
      </c>
      <c r="O560" t="str">
        <f xml:space="preserve"> IF(AND(Table1[[#This Row],[Actual_Lead_Time]] &lt;= Table1[[#This Row],[Standard_Lead_Time]], OR(ISBLANK(J560), J560 = 0)), "OTIF", "Non-OTIF")</f>
        <v>Non-OTIF</v>
      </c>
      <c r="P560">
        <f>IF(Table1[[#This Row],[OTIF_Status]] = "OTIF", 1, 0)</f>
        <v>0</v>
      </c>
      <c r="Q560" s="5">
        <f t="shared" si="33"/>
        <v>38283.08</v>
      </c>
      <c r="R560" s="5">
        <f t="shared" si="34"/>
        <v>37282.76</v>
      </c>
      <c r="S560" s="5">
        <f>Table1[[#This Row],[Total_Line_Spend]]-Table1[[#This Row],[Negotiated_Total]]</f>
        <v>1000.3199999999997</v>
      </c>
      <c r="T560" t="str">
        <f xml:space="preserve"> IF(Table1[[#This Row],[Delay_Days]] &gt; 4, "High Risk", IF(Table1[[#This Row],[Delay_Days]] &gt; 0, "Medium Risk", "Low Risk"))</f>
        <v>Low Risk</v>
      </c>
    </row>
    <row r="561" spans="1:20" x14ac:dyDescent="0.25">
      <c r="A561" t="s">
        <v>586</v>
      </c>
      <c r="B561" t="s">
        <v>804</v>
      </c>
      <c r="C561" s="1">
        <v>44873</v>
      </c>
      <c r="D561" s="1">
        <v>44884</v>
      </c>
      <c r="E561" t="s">
        <v>26</v>
      </c>
      <c r="F561" t="s">
        <v>18</v>
      </c>
      <c r="G561">
        <v>313</v>
      </c>
      <c r="H561" s="5">
        <v>64.03</v>
      </c>
      <c r="I561" s="5">
        <v>57.74</v>
      </c>
      <c r="J561">
        <v>1</v>
      </c>
      <c r="K561" t="s">
        <v>15</v>
      </c>
      <c r="L561">
        <f t="shared" si="35"/>
        <v>11</v>
      </c>
      <c r="M561">
        <v>11</v>
      </c>
      <c r="N561">
        <f t="shared" si="32"/>
        <v>0</v>
      </c>
      <c r="O561" t="str">
        <f xml:space="preserve"> IF(AND(Table1[[#This Row],[Actual_Lead_Time]] &lt;= Table1[[#This Row],[Standard_Lead_Time]], OR(ISBLANK(J561), J561 = 0)), "OTIF", "Non-OTIF")</f>
        <v>Non-OTIF</v>
      </c>
      <c r="P561">
        <f>IF(Table1[[#This Row],[OTIF_Status]] = "OTIF", 1, 0)</f>
        <v>0</v>
      </c>
      <c r="Q561" s="5">
        <f t="shared" si="33"/>
        <v>20041.39</v>
      </c>
      <c r="R561" s="5">
        <f t="shared" si="34"/>
        <v>18072.62</v>
      </c>
      <c r="S561" s="5">
        <f>Table1[[#This Row],[Total_Line_Spend]]-Table1[[#This Row],[Negotiated_Total]]</f>
        <v>1968.7700000000004</v>
      </c>
      <c r="T561" t="str">
        <f xml:space="preserve"> IF(Table1[[#This Row],[Delay_Days]] &gt; 4, "High Risk", IF(Table1[[#This Row],[Delay_Days]] &gt; 0, "Medium Risk", "Low Risk"))</f>
        <v>Low Risk</v>
      </c>
    </row>
    <row r="562" spans="1:20" x14ac:dyDescent="0.25">
      <c r="A562" t="s">
        <v>587</v>
      </c>
      <c r="B562" t="s">
        <v>804</v>
      </c>
      <c r="C562" s="1">
        <v>44855</v>
      </c>
      <c r="D562" s="1">
        <v>44875</v>
      </c>
      <c r="E562" t="s">
        <v>13</v>
      </c>
      <c r="F562" t="s">
        <v>18</v>
      </c>
      <c r="G562">
        <v>1126</v>
      </c>
      <c r="H562" s="5">
        <v>55.22</v>
      </c>
      <c r="I562" s="5">
        <v>50.38</v>
      </c>
      <c r="K562" t="s">
        <v>15</v>
      </c>
      <c r="L562">
        <f t="shared" si="35"/>
        <v>20</v>
      </c>
      <c r="M562">
        <v>11</v>
      </c>
      <c r="N562">
        <f t="shared" si="32"/>
        <v>9</v>
      </c>
      <c r="O562" t="str">
        <f xml:space="preserve"> IF(AND(Table1[[#This Row],[Actual_Lead_Time]] &lt;= Table1[[#This Row],[Standard_Lead_Time]], OR(ISBLANK(J562), J562 = 0)), "OTIF", "Non-OTIF")</f>
        <v>Non-OTIF</v>
      </c>
      <c r="P562">
        <f>IF(Table1[[#This Row],[OTIF_Status]] = "OTIF", 1, 0)</f>
        <v>0</v>
      </c>
      <c r="Q562" s="5">
        <f t="shared" si="33"/>
        <v>62177.72</v>
      </c>
      <c r="R562" s="5">
        <f t="shared" si="34"/>
        <v>56727.880000000005</v>
      </c>
      <c r="S562" s="5">
        <f>Table1[[#This Row],[Total_Line_Spend]]-Table1[[#This Row],[Negotiated_Total]]</f>
        <v>5449.8399999999965</v>
      </c>
      <c r="T562" t="str">
        <f xml:space="preserve"> IF(Table1[[#This Row],[Delay_Days]] &gt; 4, "High Risk", IF(Table1[[#This Row],[Delay_Days]] &gt; 0, "Medium Risk", "Low Risk"))</f>
        <v>High Risk</v>
      </c>
    </row>
    <row r="563" spans="1:20" x14ac:dyDescent="0.25">
      <c r="A563" t="s">
        <v>588</v>
      </c>
      <c r="B563" t="s">
        <v>806</v>
      </c>
      <c r="C563" s="1">
        <v>44777</v>
      </c>
      <c r="D563" s="1">
        <v>44792</v>
      </c>
      <c r="E563" t="s">
        <v>21</v>
      </c>
      <c r="F563" t="s">
        <v>18</v>
      </c>
      <c r="G563">
        <v>1645</v>
      </c>
      <c r="H563" s="5">
        <v>72.17</v>
      </c>
      <c r="I563" s="5">
        <v>64</v>
      </c>
      <c r="J563">
        <v>79</v>
      </c>
      <c r="K563" t="s">
        <v>15</v>
      </c>
      <c r="L563">
        <f t="shared" si="35"/>
        <v>15</v>
      </c>
      <c r="M563">
        <v>11</v>
      </c>
      <c r="N563">
        <f t="shared" si="32"/>
        <v>4</v>
      </c>
      <c r="O563" t="str">
        <f xml:space="preserve"> IF(AND(Table1[[#This Row],[Actual_Lead_Time]] &lt;= Table1[[#This Row],[Standard_Lead_Time]], OR(ISBLANK(J563), J563 = 0)), "OTIF", "Non-OTIF")</f>
        <v>Non-OTIF</v>
      </c>
      <c r="P563">
        <f>IF(Table1[[#This Row],[OTIF_Status]] = "OTIF", 1, 0)</f>
        <v>0</v>
      </c>
      <c r="Q563" s="5">
        <f t="shared" si="33"/>
        <v>118719.65000000001</v>
      </c>
      <c r="R563" s="5">
        <f t="shared" si="34"/>
        <v>105280</v>
      </c>
      <c r="S563" s="5">
        <f>Table1[[#This Row],[Total_Line_Spend]]-Table1[[#This Row],[Negotiated_Total]]</f>
        <v>13439.650000000009</v>
      </c>
      <c r="T563" t="str">
        <f xml:space="preserve"> IF(Table1[[#This Row],[Delay_Days]] &gt; 4, "High Risk", IF(Table1[[#This Row],[Delay_Days]] &gt; 0, "Medium Risk", "Low Risk"))</f>
        <v>Medium Risk</v>
      </c>
    </row>
    <row r="564" spans="1:20" x14ac:dyDescent="0.25">
      <c r="A564" t="s">
        <v>589</v>
      </c>
      <c r="B564" t="s">
        <v>807</v>
      </c>
      <c r="C564" s="1">
        <v>45002</v>
      </c>
      <c r="D564" s="1">
        <v>45005</v>
      </c>
      <c r="E564" t="s">
        <v>24</v>
      </c>
      <c r="F564" t="s">
        <v>18</v>
      </c>
      <c r="G564">
        <v>1053</v>
      </c>
      <c r="H564" s="5">
        <v>100.92</v>
      </c>
      <c r="I564" s="5">
        <v>92.35</v>
      </c>
      <c r="J564">
        <v>104</v>
      </c>
      <c r="K564" t="s">
        <v>15</v>
      </c>
      <c r="L564">
        <f t="shared" si="35"/>
        <v>3</v>
      </c>
      <c r="M564">
        <v>11</v>
      </c>
      <c r="N564">
        <f t="shared" si="32"/>
        <v>0</v>
      </c>
      <c r="O564" t="str">
        <f xml:space="preserve"> IF(AND(Table1[[#This Row],[Actual_Lead_Time]] &lt;= Table1[[#This Row],[Standard_Lead_Time]], OR(ISBLANK(J564), J564 = 0)), "OTIF", "Non-OTIF")</f>
        <v>Non-OTIF</v>
      </c>
      <c r="P564">
        <f>IF(Table1[[#This Row],[OTIF_Status]] = "OTIF", 1, 0)</f>
        <v>0</v>
      </c>
      <c r="Q564" s="5">
        <f t="shared" si="33"/>
        <v>106268.76</v>
      </c>
      <c r="R564" s="5">
        <f t="shared" si="34"/>
        <v>97244.549999999988</v>
      </c>
      <c r="S564" s="5">
        <f>Table1[[#This Row],[Total_Line_Spend]]-Table1[[#This Row],[Negotiated_Total]]</f>
        <v>9024.2100000000064</v>
      </c>
      <c r="T564" t="str">
        <f xml:space="preserve"> IF(Table1[[#This Row],[Delay_Days]] &gt; 4, "High Risk", IF(Table1[[#This Row],[Delay_Days]] &gt; 0, "Medium Risk", "Low Risk"))</f>
        <v>Low Risk</v>
      </c>
    </row>
    <row r="565" spans="1:20" x14ac:dyDescent="0.25">
      <c r="A565" t="s">
        <v>590</v>
      </c>
      <c r="B565" t="s">
        <v>808</v>
      </c>
      <c r="C565" s="1">
        <v>45155</v>
      </c>
      <c r="D565" s="1">
        <v>45167</v>
      </c>
      <c r="E565" t="s">
        <v>21</v>
      </c>
      <c r="F565" t="s">
        <v>18</v>
      </c>
      <c r="G565">
        <v>1693</v>
      </c>
      <c r="H565" s="5">
        <v>83.14</v>
      </c>
      <c r="I565" s="5">
        <v>73.3</v>
      </c>
      <c r="J565">
        <v>62</v>
      </c>
      <c r="K565" t="s">
        <v>15</v>
      </c>
      <c r="L565">
        <f t="shared" si="35"/>
        <v>12</v>
      </c>
      <c r="M565">
        <v>11</v>
      </c>
      <c r="N565">
        <f t="shared" si="32"/>
        <v>1</v>
      </c>
      <c r="O565" t="str">
        <f xml:space="preserve"> IF(AND(Table1[[#This Row],[Actual_Lead_Time]] &lt;= Table1[[#This Row],[Standard_Lead_Time]], OR(ISBLANK(J565), J565 = 0)), "OTIF", "Non-OTIF")</f>
        <v>Non-OTIF</v>
      </c>
      <c r="P565">
        <f>IF(Table1[[#This Row],[OTIF_Status]] = "OTIF", 1, 0)</f>
        <v>0</v>
      </c>
      <c r="Q565" s="5">
        <f t="shared" si="33"/>
        <v>140756.01999999999</v>
      </c>
      <c r="R565" s="5">
        <f t="shared" si="34"/>
        <v>124096.9</v>
      </c>
      <c r="S565" s="5">
        <f>Table1[[#This Row],[Total_Line_Spend]]-Table1[[#This Row],[Negotiated_Total]]</f>
        <v>16659.119999999995</v>
      </c>
      <c r="T565" t="str">
        <f xml:space="preserve"> IF(Table1[[#This Row],[Delay_Days]] &gt; 4, "High Risk", IF(Table1[[#This Row],[Delay_Days]] &gt; 0, "Medium Risk", "Low Risk"))</f>
        <v>Medium Risk</v>
      </c>
    </row>
    <row r="566" spans="1:20" x14ac:dyDescent="0.25">
      <c r="A566" t="s">
        <v>591</v>
      </c>
      <c r="B566" t="s">
        <v>808</v>
      </c>
      <c r="C566" s="1">
        <v>45183</v>
      </c>
      <c r="D566" s="1">
        <v>45202</v>
      </c>
      <c r="E566" t="s">
        <v>26</v>
      </c>
      <c r="F566" t="s">
        <v>35</v>
      </c>
      <c r="G566">
        <v>54</v>
      </c>
      <c r="H566" s="5">
        <v>32.28</v>
      </c>
      <c r="I566" s="5">
        <v>28.65</v>
      </c>
      <c r="J566">
        <v>3</v>
      </c>
      <c r="K566" t="s">
        <v>15</v>
      </c>
      <c r="L566">
        <f t="shared" si="35"/>
        <v>19</v>
      </c>
      <c r="M566">
        <v>11</v>
      </c>
      <c r="N566">
        <f t="shared" si="32"/>
        <v>8</v>
      </c>
      <c r="O566" t="str">
        <f xml:space="preserve"> IF(AND(Table1[[#This Row],[Actual_Lead_Time]] &lt;= Table1[[#This Row],[Standard_Lead_Time]], OR(ISBLANK(J566), J566 = 0)), "OTIF", "Non-OTIF")</f>
        <v>Non-OTIF</v>
      </c>
      <c r="P566">
        <f>IF(Table1[[#This Row],[OTIF_Status]] = "OTIF", 1, 0)</f>
        <v>0</v>
      </c>
      <c r="Q566" s="5">
        <f t="shared" si="33"/>
        <v>1743.1200000000001</v>
      </c>
      <c r="R566" s="5">
        <f t="shared" si="34"/>
        <v>1547.1</v>
      </c>
      <c r="S566" s="5">
        <f>Table1[[#This Row],[Total_Line_Spend]]-Table1[[#This Row],[Negotiated_Total]]</f>
        <v>196.02000000000021</v>
      </c>
      <c r="T566" t="str">
        <f xml:space="preserve"> IF(Table1[[#This Row],[Delay_Days]] &gt; 4, "High Risk", IF(Table1[[#This Row],[Delay_Days]] &gt; 0, "Medium Risk", "Low Risk"))</f>
        <v>High Risk</v>
      </c>
    </row>
    <row r="567" spans="1:20" x14ac:dyDescent="0.25">
      <c r="A567" t="s">
        <v>592</v>
      </c>
      <c r="B567" t="s">
        <v>808</v>
      </c>
      <c r="C567" s="1">
        <v>45232</v>
      </c>
      <c r="D567" s="1">
        <v>45237</v>
      </c>
      <c r="E567" t="s">
        <v>24</v>
      </c>
      <c r="F567" t="s">
        <v>18</v>
      </c>
      <c r="G567">
        <v>1176</v>
      </c>
      <c r="H567" s="5">
        <v>14.22</v>
      </c>
      <c r="I567" s="5">
        <v>12.21</v>
      </c>
      <c r="J567">
        <v>33</v>
      </c>
      <c r="K567" t="s">
        <v>15</v>
      </c>
      <c r="L567">
        <f t="shared" si="35"/>
        <v>5</v>
      </c>
      <c r="M567">
        <v>11</v>
      </c>
      <c r="N567">
        <f t="shared" si="32"/>
        <v>0</v>
      </c>
      <c r="O567" t="str">
        <f xml:space="preserve"> IF(AND(Table1[[#This Row],[Actual_Lead_Time]] &lt;= Table1[[#This Row],[Standard_Lead_Time]], OR(ISBLANK(J567), J567 = 0)), "OTIF", "Non-OTIF")</f>
        <v>Non-OTIF</v>
      </c>
      <c r="P567">
        <f>IF(Table1[[#This Row],[OTIF_Status]] = "OTIF", 1, 0)</f>
        <v>0</v>
      </c>
      <c r="Q567" s="5">
        <f t="shared" si="33"/>
        <v>16722.72</v>
      </c>
      <c r="R567" s="5">
        <f t="shared" si="34"/>
        <v>14358.960000000001</v>
      </c>
      <c r="S567" s="5">
        <f>Table1[[#This Row],[Total_Line_Spend]]-Table1[[#This Row],[Negotiated_Total]]</f>
        <v>2363.7600000000002</v>
      </c>
      <c r="T567" t="str">
        <f xml:space="preserve"> IF(Table1[[#This Row],[Delay_Days]] &gt; 4, "High Risk", IF(Table1[[#This Row],[Delay_Days]] &gt; 0, "Medium Risk", "Low Risk"))</f>
        <v>Low Risk</v>
      </c>
    </row>
    <row r="568" spans="1:20" x14ac:dyDescent="0.25">
      <c r="A568" t="s">
        <v>593</v>
      </c>
      <c r="B568" t="s">
        <v>808</v>
      </c>
      <c r="C568" s="1">
        <v>44891</v>
      </c>
      <c r="D568" s="1">
        <v>44903</v>
      </c>
      <c r="E568" t="s">
        <v>26</v>
      </c>
      <c r="F568" t="s">
        <v>18</v>
      </c>
      <c r="G568">
        <v>1269</v>
      </c>
      <c r="H568" s="5">
        <v>35.28</v>
      </c>
      <c r="I568" s="5">
        <v>33.700000000000003</v>
      </c>
      <c r="J568">
        <v>35</v>
      </c>
      <c r="K568" t="s">
        <v>15</v>
      </c>
      <c r="L568">
        <f t="shared" si="35"/>
        <v>12</v>
      </c>
      <c r="M568">
        <v>11</v>
      </c>
      <c r="N568">
        <f t="shared" si="32"/>
        <v>1</v>
      </c>
      <c r="O568" t="str">
        <f xml:space="preserve"> IF(AND(Table1[[#This Row],[Actual_Lead_Time]] &lt;= Table1[[#This Row],[Standard_Lead_Time]], OR(ISBLANK(J568), J568 = 0)), "OTIF", "Non-OTIF")</f>
        <v>Non-OTIF</v>
      </c>
      <c r="P568">
        <f>IF(Table1[[#This Row],[OTIF_Status]] = "OTIF", 1, 0)</f>
        <v>0</v>
      </c>
      <c r="Q568" s="5">
        <f t="shared" si="33"/>
        <v>44770.32</v>
      </c>
      <c r="R568" s="5">
        <f t="shared" si="34"/>
        <v>42765.3</v>
      </c>
      <c r="S568" s="5">
        <f>Table1[[#This Row],[Total_Line_Spend]]-Table1[[#This Row],[Negotiated_Total]]</f>
        <v>2005.0199999999968</v>
      </c>
      <c r="T568" t="str">
        <f xml:space="preserve"> IF(Table1[[#This Row],[Delay_Days]] &gt; 4, "High Risk", IF(Table1[[#This Row],[Delay_Days]] &gt; 0, "Medium Risk", "Low Risk"))</f>
        <v>Medium Risk</v>
      </c>
    </row>
    <row r="569" spans="1:20" x14ac:dyDescent="0.25">
      <c r="A569" t="s">
        <v>594</v>
      </c>
      <c r="B569" t="s">
        <v>808</v>
      </c>
      <c r="C569" s="1">
        <v>45038</v>
      </c>
      <c r="D569" s="1">
        <v>45041</v>
      </c>
      <c r="E569" t="s">
        <v>26</v>
      </c>
      <c r="F569" t="s">
        <v>18</v>
      </c>
      <c r="G569">
        <v>823</v>
      </c>
      <c r="H569" s="5">
        <v>68.319999999999993</v>
      </c>
      <c r="I569" s="5">
        <v>64.459999999999994</v>
      </c>
      <c r="J569">
        <v>19</v>
      </c>
      <c r="K569" t="s">
        <v>15</v>
      </c>
      <c r="L569">
        <f t="shared" si="35"/>
        <v>3</v>
      </c>
      <c r="M569">
        <v>11</v>
      </c>
      <c r="N569">
        <f t="shared" si="32"/>
        <v>0</v>
      </c>
      <c r="O569" t="str">
        <f xml:space="preserve"> IF(AND(Table1[[#This Row],[Actual_Lead_Time]] &lt;= Table1[[#This Row],[Standard_Lead_Time]], OR(ISBLANK(J569), J569 = 0)), "OTIF", "Non-OTIF")</f>
        <v>Non-OTIF</v>
      </c>
      <c r="P569">
        <f>IF(Table1[[#This Row],[OTIF_Status]] = "OTIF", 1, 0)</f>
        <v>0</v>
      </c>
      <c r="Q569" s="5">
        <f t="shared" si="33"/>
        <v>56227.359999999993</v>
      </c>
      <c r="R569" s="5">
        <f t="shared" si="34"/>
        <v>53050.579999999994</v>
      </c>
      <c r="S569" s="5">
        <f>Table1[[#This Row],[Total_Line_Spend]]-Table1[[#This Row],[Negotiated_Total]]</f>
        <v>3176.7799999999988</v>
      </c>
      <c r="T569" t="str">
        <f xml:space="preserve"> IF(Table1[[#This Row],[Delay_Days]] &gt; 4, "High Risk", IF(Table1[[#This Row],[Delay_Days]] &gt; 0, "Medium Risk", "Low Risk"))</f>
        <v>Low Risk</v>
      </c>
    </row>
    <row r="570" spans="1:20" x14ac:dyDescent="0.25">
      <c r="A570" t="s">
        <v>595</v>
      </c>
      <c r="B570" t="s">
        <v>807</v>
      </c>
      <c r="C570" s="1">
        <v>45014</v>
      </c>
      <c r="D570" s="1">
        <v>45031</v>
      </c>
      <c r="E570" t="s">
        <v>39</v>
      </c>
      <c r="F570" t="s">
        <v>18</v>
      </c>
      <c r="G570">
        <v>926</v>
      </c>
      <c r="H570" s="5">
        <v>15.65</v>
      </c>
      <c r="I570" s="5">
        <v>13.49</v>
      </c>
      <c r="J570">
        <v>94</v>
      </c>
      <c r="K570" t="s">
        <v>27</v>
      </c>
      <c r="L570">
        <f t="shared" si="35"/>
        <v>17</v>
      </c>
      <c r="M570">
        <v>11</v>
      </c>
      <c r="N570">
        <f t="shared" si="32"/>
        <v>6</v>
      </c>
      <c r="O570" t="str">
        <f xml:space="preserve"> IF(AND(Table1[[#This Row],[Actual_Lead_Time]] &lt;= Table1[[#This Row],[Standard_Lead_Time]], OR(ISBLANK(J570), J570 = 0)), "OTIF", "Non-OTIF")</f>
        <v>Non-OTIF</v>
      </c>
      <c r="P570">
        <f>IF(Table1[[#This Row],[OTIF_Status]] = "OTIF", 1, 0)</f>
        <v>0</v>
      </c>
      <c r="Q570" s="5">
        <f t="shared" si="33"/>
        <v>14491.9</v>
      </c>
      <c r="R570" s="5">
        <f t="shared" si="34"/>
        <v>12491.74</v>
      </c>
      <c r="S570" s="5">
        <f>Table1[[#This Row],[Total_Line_Spend]]-Table1[[#This Row],[Negotiated_Total]]</f>
        <v>2000.1599999999999</v>
      </c>
      <c r="T570" t="str">
        <f xml:space="preserve"> IF(Table1[[#This Row],[Delay_Days]] &gt; 4, "High Risk", IF(Table1[[#This Row],[Delay_Days]] &gt; 0, "Medium Risk", "Low Risk"))</f>
        <v>High Risk</v>
      </c>
    </row>
    <row r="571" spans="1:20" x14ac:dyDescent="0.25">
      <c r="A571" t="s">
        <v>596</v>
      </c>
      <c r="B571" t="s">
        <v>805</v>
      </c>
      <c r="C571" s="1">
        <v>45014</v>
      </c>
      <c r="D571" s="1">
        <v>45025</v>
      </c>
      <c r="E571" t="s">
        <v>39</v>
      </c>
      <c r="F571" t="s">
        <v>14</v>
      </c>
      <c r="G571">
        <v>1041</v>
      </c>
      <c r="H571" s="5">
        <v>58.5</v>
      </c>
      <c r="I571" s="5">
        <v>52.54</v>
      </c>
      <c r="J571">
        <v>170</v>
      </c>
      <c r="K571" t="s">
        <v>27</v>
      </c>
      <c r="L571">
        <f t="shared" si="35"/>
        <v>11</v>
      </c>
      <c r="M571">
        <v>11</v>
      </c>
      <c r="N571">
        <f t="shared" si="32"/>
        <v>0</v>
      </c>
      <c r="O571" t="str">
        <f xml:space="preserve"> IF(AND(Table1[[#This Row],[Actual_Lead_Time]] &lt;= Table1[[#This Row],[Standard_Lead_Time]], OR(ISBLANK(J571), J571 = 0)), "OTIF", "Non-OTIF")</f>
        <v>Non-OTIF</v>
      </c>
      <c r="P571">
        <f>IF(Table1[[#This Row],[OTIF_Status]] = "OTIF", 1, 0)</f>
        <v>0</v>
      </c>
      <c r="Q571" s="5">
        <f t="shared" si="33"/>
        <v>60898.5</v>
      </c>
      <c r="R571" s="5">
        <f t="shared" si="34"/>
        <v>54694.14</v>
      </c>
      <c r="S571" s="5">
        <f>Table1[[#This Row],[Total_Line_Spend]]-Table1[[#This Row],[Negotiated_Total]]</f>
        <v>6204.3600000000006</v>
      </c>
      <c r="T571" t="str">
        <f xml:space="preserve"> IF(Table1[[#This Row],[Delay_Days]] &gt; 4, "High Risk", IF(Table1[[#This Row],[Delay_Days]] &gt; 0, "Medium Risk", "Low Risk"))</f>
        <v>Low Risk</v>
      </c>
    </row>
    <row r="572" spans="1:20" x14ac:dyDescent="0.25">
      <c r="A572" t="s">
        <v>597</v>
      </c>
      <c r="B572" t="s">
        <v>806</v>
      </c>
      <c r="C572" s="1">
        <v>45253</v>
      </c>
      <c r="D572" s="1">
        <v>45261</v>
      </c>
      <c r="E572" t="s">
        <v>39</v>
      </c>
      <c r="F572" t="s">
        <v>35</v>
      </c>
      <c r="G572">
        <v>933</v>
      </c>
      <c r="H572" s="5">
        <v>70.72</v>
      </c>
      <c r="I572" s="5">
        <v>65.47</v>
      </c>
      <c r="J572">
        <v>42</v>
      </c>
      <c r="K572" t="s">
        <v>15</v>
      </c>
      <c r="L572">
        <f t="shared" si="35"/>
        <v>8</v>
      </c>
      <c r="M572">
        <v>11</v>
      </c>
      <c r="N572">
        <f t="shared" si="32"/>
        <v>0</v>
      </c>
      <c r="O572" t="str">
        <f xml:space="preserve"> IF(AND(Table1[[#This Row],[Actual_Lead_Time]] &lt;= Table1[[#This Row],[Standard_Lead_Time]], OR(ISBLANK(J572), J572 = 0)), "OTIF", "Non-OTIF")</f>
        <v>Non-OTIF</v>
      </c>
      <c r="P572">
        <f>IF(Table1[[#This Row],[OTIF_Status]] = "OTIF", 1, 0)</f>
        <v>0</v>
      </c>
      <c r="Q572" s="5">
        <f t="shared" si="33"/>
        <v>65981.759999999995</v>
      </c>
      <c r="R572" s="5">
        <f t="shared" si="34"/>
        <v>61083.51</v>
      </c>
      <c r="S572" s="5">
        <f>Table1[[#This Row],[Total_Line_Spend]]-Table1[[#This Row],[Negotiated_Total]]</f>
        <v>4898.2499999999927</v>
      </c>
      <c r="T572" t="str">
        <f xml:space="preserve"> IF(Table1[[#This Row],[Delay_Days]] &gt; 4, "High Risk", IF(Table1[[#This Row],[Delay_Days]] &gt; 0, "Medium Risk", "Low Risk"))</f>
        <v>Low Risk</v>
      </c>
    </row>
    <row r="573" spans="1:20" x14ac:dyDescent="0.25">
      <c r="A573" t="s">
        <v>598</v>
      </c>
      <c r="B573" t="s">
        <v>805</v>
      </c>
      <c r="C573" s="1">
        <v>44780</v>
      </c>
      <c r="D573" s="1">
        <v>44791</v>
      </c>
      <c r="E573" t="s">
        <v>26</v>
      </c>
      <c r="F573" t="s">
        <v>18</v>
      </c>
      <c r="G573">
        <v>1423</v>
      </c>
      <c r="H573" s="5">
        <v>41.48</v>
      </c>
      <c r="I573" s="5">
        <v>40.9</v>
      </c>
      <c r="J573">
        <v>199</v>
      </c>
      <c r="K573" t="s">
        <v>15</v>
      </c>
      <c r="L573">
        <f t="shared" si="35"/>
        <v>11</v>
      </c>
      <c r="M573">
        <v>11</v>
      </c>
      <c r="N573">
        <f t="shared" si="32"/>
        <v>0</v>
      </c>
      <c r="O573" t="str">
        <f xml:space="preserve"> IF(AND(Table1[[#This Row],[Actual_Lead_Time]] &lt;= Table1[[#This Row],[Standard_Lead_Time]], OR(ISBLANK(J573), J573 = 0)), "OTIF", "Non-OTIF")</f>
        <v>Non-OTIF</v>
      </c>
      <c r="P573">
        <f>IF(Table1[[#This Row],[OTIF_Status]] = "OTIF", 1, 0)</f>
        <v>0</v>
      </c>
      <c r="Q573" s="5">
        <f t="shared" si="33"/>
        <v>59026.039999999994</v>
      </c>
      <c r="R573" s="5">
        <f t="shared" si="34"/>
        <v>58200.7</v>
      </c>
      <c r="S573" s="5">
        <f>Table1[[#This Row],[Total_Line_Spend]]-Table1[[#This Row],[Negotiated_Total]]</f>
        <v>825.33999999999651</v>
      </c>
      <c r="T573" t="str">
        <f xml:space="preserve"> IF(Table1[[#This Row],[Delay_Days]] &gt; 4, "High Risk", IF(Table1[[#This Row],[Delay_Days]] &gt; 0, "Medium Risk", "Low Risk"))</f>
        <v>Low Risk</v>
      </c>
    </row>
    <row r="574" spans="1:20" x14ac:dyDescent="0.25">
      <c r="A574" t="s">
        <v>599</v>
      </c>
      <c r="B574" t="s">
        <v>805</v>
      </c>
      <c r="C574" s="1">
        <v>45085</v>
      </c>
      <c r="D574" s="1">
        <v>45091</v>
      </c>
      <c r="E574" t="s">
        <v>21</v>
      </c>
      <c r="F574" t="s">
        <v>18</v>
      </c>
      <c r="G574">
        <v>96</v>
      </c>
      <c r="H574" s="5">
        <v>86.13</v>
      </c>
      <c r="I574" s="5">
        <v>80.319999999999993</v>
      </c>
      <c r="J574">
        <v>12</v>
      </c>
      <c r="K574" t="s">
        <v>27</v>
      </c>
      <c r="L574">
        <f t="shared" si="35"/>
        <v>6</v>
      </c>
      <c r="M574">
        <v>11</v>
      </c>
      <c r="N574">
        <f t="shared" si="32"/>
        <v>0</v>
      </c>
      <c r="O574" t="str">
        <f xml:space="preserve"> IF(AND(Table1[[#This Row],[Actual_Lead_Time]] &lt;= Table1[[#This Row],[Standard_Lead_Time]], OR(ISBLANK(J574), J574 = 0)), "OTIF", "Non-OTIF")</f>
        <v>Non-OTIF</v>
      </c>
      <c r="P574">
        <f>IF(Table1[[#This Row],[OTIF_Status]] = "OTIF", 1, 0)</f>
        <v>0</v>
      </c>
      <c r="Q574" s="5">
        <f t="shared" si="33"/>
        <v>8268.48</v>
      </c>
      <c r="R574" s="5">
        <f t="shared" si="34"/>
        <v>7710.7199999999993</v>
      </c>
      <c r="S574" s="5">
        <f>Table1[[#This Row],[Total_Line_Spend]]-Table1[[#This Row],[Negotiated_Total]]</f>
        <v>557.76000000000022</v>
      </c>
      <c r="T574" t="str">
        <f xml:space="preserve"> IF(Table1[[#This Row],[Delay_Days]] &gt; 4, "High Risk", IF(Table1[[#This Row],[Delay_Days]] &gt; 0, "Medium Risk", "Low Risk"))</f>
        <v>Low Risk</v>
      </c>
    </row>
    <row r="575" spans="1:20" x14ac:dyDescent="0.25">
      <c r="A575" t="s">
        <v>600</v>
      </c>
      <c r="B575" t="s">
        <v>808</v>
      </c>
      <c r="C575" s="1">
        <v>45046</v>
      </c>
      <c r="D575" s="1">
        <v>45059</v>
      </c>
      <c r="E575" t="s">
        <v>21</v>
      </c>
      <c r="F575" t="s">
        <v>18</v>
      </c>
      <c r="G575">
        <v>916</v>
      </c>
      <c r="H575" s="5">
        <v>21.06</v>
      </c>
      <c r="I575" s="5">
        <v>19.53</v>
      </c>
      <c r="J575">
        <v>25</v>
      </c>
      <c r="K575" t="s">
        <v>15</v>
      </c>
      <c r="L575">
        <f t="shared" si="35"/>
        <v>13</v>
      </c>
      <c r="M575">
        <v>11</v>
      </c>
      <c r="N575">
        <f t="shared" si="32"/>
        <v>2</v>
      </c>
      <c r="O575" t="str">
        <f xml:space="preserve"> IF(AND(Table1[[#This Row],[Actual_Lead_Time]] &lt;= Table1[[#This Row],[Standard_Lead_Time]], OR(ISBLANK(J575), J575 = 0)), "OTIF", "Non-OTIF")</f>
        <v>Non-OTIF</v>
      </c>
      <c r="P575">
        <f>IF(Table1[[#This Row],[OTIF_Status]] = "OTIF", 1, 0)</f>
        <v>0</v>
      </c>
      <c r="Q575" s="5">
        <f t="shared" si="33"/>
        <v>19290.96</v>
      </c>
      <c r="R575" s="5">
        <f t="shared" si="34"/>
        <v>17889.48</v>
      </c>
      <c r="S575" s="5">
        <f>Table1[[#This Row],[Total_Line_Spend]]-Table1[[#This Row],[Negotiated_Total]]</f>
        <v>1401.4799999999996</v>
      </c>
      <c r="T575" t="str">
        <f xml:space="preserve"> IF(Table1[[#This Row],[Delay_Days]] &gt; 4, "High Risk", IF(Table1[[#This Row],[Delay_Days]] &gt; 0, "Medium Risk", "Low Risk"))</f>
        <v>Medium Risk</v>
      </c>
    </row>
    <row r="576" spans="1:20" x14ac:dyDescent="0.25">
      <c r="A576" t="s">
        <v>601</v>
      </c>
      <c r="B576" t="s">
        <v>808</v>
      </c>
      <c r="C576" s="1">
        <v>44735</v>
      </c>
      <c r="D576" s="1">
        <v>44746</v>
      </c>
      <c r="E576" t="s">
        <v>26</v>
      </c>
      <c r="F576" t="s">
        <v>18</v>
      </c>
      <c r="G576">
        <v>872</v>
      </c>
      <c r="H576" s="5">
        <v>17.18</v>
      </c>
      <c r="I576" s="5">
        <v>16.63</v>
      </c>
      <c r="J576">
        <v>20</v>
      </c>
      <c r="K576" t="s">
        <v>15</v>
      </c>
      <c r="L576">
        <f t="shared" si="35"/>
        <v>11</v>
      </c>
      <c r="M576">
        <v>11</v>
      </c>
      <c r="N576">
        <f t="shared" si="32"/>
        <v>0</v>
      </c>
      <c r="O576" t="str">
        <f xml:space="preserve"> IF(AND(Table1[[#This Row],[Actual_Lead_Time]] &lt;= Table1[[#This Row],[Standard_Lead_Time]], OR(ISBLANK(J576), J576 = 0)), "OTIF", "Non-OTIF")</f>
        <v>Non-OTIF</v>
      </c>
      <c r="P576">
        <f>IF(Table1[[#This Row],[OTIF_Status]] = "OTIF", 1, 0)</f>
        <v>0</v>
      </c>
      <c r="Q576" s="5">
        <f t="shared" si="33"/>
        <v>14980.96</v>
      </c>
      <c r="R576" s="5">
        <f t="shared" si="34"/>
        <v>14501.359999999999</v>
      </c>
      <c r="S576" s="5">
        <f>Table1[[#This Row],[Total_Line_Spend]]-Table1[[#This Row],[Negotiated_Total]]</f>
        <v>479.60000000000036</v>
      </c>
      <c r="T576" t="str">
        <f xml:space="preserve"> IF(Table1[[#This Row],[Delay_Days]] &gt; 4, "High Risk", IF(Table1[[#This Row],[Delay_Days]] &gt; 0, "Medium Risk", "Low Risk"))</f>
        <v>Low Risk</v>
      </c>
    </row>
    <row r="577" spans="1:20" x14ac:dyDescent="0.25">
      <c r="A577" t="s">
        <v>602</v>
      </c>
      <c r="B577" t="s">
        <v>807</v>
      </c>
      <c r="C577" s="1">
        <v>45236</v>
      </c>
      <c r="D577" s="1">
        <v>45245</v>
      </c>
      <c r="E577" t="s">
        <v>39</v>
      </c>
      <c r="F577" t="s">
        <v>18</v>
      </c>
      <c r="G577">
        <v>985</v>
      </c>
      <c r="H577" s="5">
        <v>83.85</v>
      </c>
      <c r="I577" s="5">
        <v>80.88</v>
      </c>
      <c r="K577" t="s">
        <v>27</v>
      </c>
      <c r="L577">
        <f t="shared" si="35"/>
        <v>9</v>
      </c>
      <c r="M577">
        <v>11</v>
      </c>
      <c r="N577">
        <f t="shared" si="32"/>
        <v>0</v>
      </c>
      <c r="O577" t="str">
        <f xml:space="preserve"> IF(AND(Table1[[#This Row],[Actual_Lead_Time]] &lt;= Table1[[#This Row],[Standard_Lead_Time]], OR(ISBLANK(J577), J577 = 0)), "OTIF", "Non-OTIF")</f>
        <v>OTIF</v>
      </c>
      <c r="P577">
        <f>IF(Table1[[#This Row],[OTIF_Status]] = "OTIF", 1, 0)</f>
        <v>1</v>
      </c>
      <c r="Q577" s="5">
        <f t="shared" si="33"/>
        <v>82592.25</v>
      </c>
      <c r="R577" s="5">
        <f t="shared" si="34"/>
        <v>79666.799999999988</v>
      </c>
      <c r="S577" s="5">
        <f>Table1[[#This Row],[Total_Line_Spend]]-Table1[[#This Row],[Negotiated_Total]]</f>
        <v>2925.4500000000116</v>
      </c>
      <c r="T577" t="str">
        <f xml:space="preserve"> IF(Table1[[#This Row],[Delay_Days]] &gt; 4, "High Risk", IF(Table1[[#This Row],[Delay_Days]] &gt; 0, "Medium Risk", "Low Risk"))</f>
        <v>Low Risk</v>
      </c>
    </row>
    <row r="578" spans="1:20" x14ac:dyDescent="0.25">
      <c r="A578" t="s">
        <v>603</v>
      </c>
      <c r="B578" t="s">
        <v>806</v>
      </c>
      <c r="C578" s="1">
        <v>44648</v>
      </c>
      <c r="D578" s="1">
        <v>44655</v>
      </c>
      <c r="E578" t="s">
        <v>26</v>
      </c>
      <c r="F578" t="s">
        <v>18</v>
      </c>
      <c r="G578">
        <v>1893</v>
      </c>
      <c r="H578" s="5">
        <v>55.14</v>
      </c>
      <c r="I578" s="5">
        <v>50.1</v>
      </c>
      <c r="J578">
        <v>98</v>
      </c>
      <c r="K578" t="s">
        <v>15</v>
      </c>
      <c r="L578">
        <f t="shared" si="35"/>
        <v>7</v>
      </c>
      <c r="M578">
        <v>11</v>
      </c>
      <c r="N578">
        <f t="shared" ref="N578:N641" si="36">MAX(0, L578-M578)</f>
        <v>0</v>
      </c>
      <c r="O578" t="str">
        <f xml:space="preserve"> IF(AND(Table1[[#This Row],[Actual_Lead_Time]] &lt;= Table1[[#This Row],[Standard_Lead_Time]], OR(ISBLANK(J578), J578 = 0)), "OTIF", "Non-OTIF")</f>
        <v>Non-OTIF</v>
      </c>
      <c r="P578">
        <f>IF(Table1[[#This Row],[OTIF_Status]] = "OTIF", 1, 0)</f>
        <v>0</v>
      </c>
      <c r="Q578" s="5">
        <f t="shared" ref="Q578:Q641" si="37" xml:space="preserve"> IFERROR(G578 * H578, 0)</f>
        <v>104380.02</v>
      </c>
      <c r="R578" s="5">
        <f t="shared" ref="R578:R641" si="38" xml:space="preserve"> IFERROR(G578 * I578, 0)</f>
        <v>94839.3</v>
      </c>
      <c r="S578" s="5">
        <f>Table1[[#This Row],[Total_Line_Spend]]-Table1[[#This Row],[Negotiated_Total]]</f>
        <v>9540.7200000000012</v>
      </c>
      <c r="T578" t="str">
        <f xml:space="preserve"> IF(Table1[[#This Row],[Delay_Days]] &gt; 4, "High Risk", IF(Table1[[#This Row],[Delay_Days]] &gt; 0, "Medium Risk", "Low Risk"))</f>
        <v>Low Risk</v>
      </c>
    </row>
    <row r="579" spans="1:20" x14ac:dyDescent="0.25">
      <c r="A579" t="s">
        <v>604</v>
      </c>
      <c r="B579" t="s">
        <v>804</v>
      </c>
      <c r="C579" s="1">
        <v>44852</v>
      </c>
      <c r="D579" s="1">
        <v>44863</v>
      </c>
      <c r="E579" t="s">
        <v>21</v>
      </c>
      <c r="F579" t="s">
        <v>18</v>
      </c>
      <c r="G579">
        <v>705</v>
      </c>
      <c r="H579" s="5">
        <v>75.19</v>
      </c>
      <c r="I579" s="5">
        <v>69.55</v>
      </c>
      <c r="J579">
        <v>19</v>
      </c>
      <c r="K579" t="s">
        <v>15</v>
      </c>
      <c r="L579">
        <f t="shared" ref="L579:L642" si="39" xml:space="preserve"> INT(D579) - INT(C579)</f>
        <v>11</v>
      </c>
      <c r="M579">
        <v>11</v>
      </c>
      <c r="N579">
        <f t="shared" si="36"/>
        <v>0</v>
      </c>
      <c r="O579" t="str">
        <f xml:space="preserve"> IF(AND(Table1[[#This Row],[Actual_Lead_Time]] &lt;= Table1[[#This Row],[Standard_Lead_Time]], OR(ISBLANK(J579), J579 = 0)), "OTIF", "Non-OTIF")</f>
        <v>Non-OTIF</v>
      </c>
      <c r="P579">
        <f>IF(Table1[[#This Row],[OTIF_Status]] = "OTIF", 1, 0)</f>
        <v>0</v>
      </c>
      <c r="Q579" s="5">
        <f t="shared" si="37"/>
        <v>53008.95</v>
      </c>
      <c r="R579" s="5">
        <f t="shared" si="38"/>
        <v>49032.75</v>
      </c>
      <c r="S579" s="5">
        <f>Table1[[#This Row],[Total_Line_Spend]]-Table1[[#This Row],[Negotiated_Total]]</f>
        <v>3976.1999999999971</v>
      </c>
      <c r="T579" t="str">
        <f xml:space="preserve"> IF(Table1[[#This Row],[Delay_Days]] &gt; 4, "High Risk", IF(Table1[[#This Row],[Delay_Days]] &gt; 0, "Medium Risk", "Low Risk"))</f>
        <v>Low Risk</v>
      </c>
    </row>
    <row r="580" spans="1:20" x14ac:dyDescent="0.25">
      <c r="A580" t="s">
        <v>605</v>
      </c>
      <c r="B580" t="s">
        <v>805</v>
      </c>
      <c r="C580" s="1">
        <v>45089</v>
      </c>
      <c r="D580" s="1">
        <v>45105</v>
      </c>
      <c r="E580" t="s">
        <v>21</v>
      </c>
      <c r="F580" t="s">
        <v>18</v>
      </c>
      <c r="G580">
        <v>318</v>
      </c>
      <c r="H580" s="5">
        <v>53.31</v>
      </c>
      <c r="I580" s="5">
        <v>51.78</v>
      </c>
      <c r="K580" t="s">
        <v>27</v>
      </c>
      <c r="L580">
        <f t="shared" si="39"/>
        <v>16</v>
      </c>
      <c r="M580">
        <v>11</v>
      </c>
      <c r="N580">
        <f t="shared" si="36"/>
        <v>5</v>
      </c>
      <c r="O580" t="str">
        <f xml:space="preserve"> IF(AND(Table1[[#This Row],[Actual_Lead_Time]] &lt;= Table1[[#This Row],[Standard_Lead_Time]], OR(ISBLANK(J580), J580 = 0)), "OTIF", "Non-OTIF")</f>
        <v>Non-OTIF</v>
      </c>
      <c r="P580">
        <f>IF(Table1[[#This Row],[OTIF_Status]] = "OTIF", 1, 0)</f>
        <v>0</v>
      </c>
      <c r="Q580" s="5">
        <f t="shared" si="37"/>
        <v>16952.580000000002</v>
      </c>
      <c r="R580" s="5">
        <f t="shared" si="38"/>
        <v>16466.04</v>
      </c>
      <c r="S580" s="5">
        <f>Table1[[#This Row],[Total_Line_Spend]]-Table1[[#This Row],[Negotiated_Total]]</f>
        <v>486.54000000000087</v>
      </c>
      <c r="T580" t="str">
        <f xml:space="preserve"> IF(Table1[[#This Row],[Delay_Days]] &gt; 4, "High Risk", IF(Table1[[#This Row],[Delay_Days]] &gt; 0, "Medium Risk", "Low Risk"))</f>
        <v>High Risk</v>
      </c>
    </row>
    <row r="581" spans="1:20" x14ac:dyDescent="0.25">
      <c r="A581" t="s">
        <v>606</v>
      </c>
      <c r="B581" t="s">
        <v>804</v>
      </c>
      <c r="C581" s="1">
        <v>45241</v>
      </c>
      <c r="D581" s="1">
        <v>45246</v>
      </c>
      <c r="E581" t="s">
        <v>13</v>
      </c>
      <c r="F581" t="s">
        <v>35</v>
      </c>
      <c r="G581">
        <v>419</v>
      </c>
      <c r="H581" s="5">
        <v>35.72</v>
      </c>
      <c r="I581" s="5">
        <v>32.74</v>
      </c>
      <c r="J581">
        <v>7</v>
      </c>
      <c r="K581" t="s">
        <v>15</v>
      </c>
      <c r="L581">
        <f t="shared" si="39"/>
        <v>5</v>
      </c>
      <c r="M581">
        <v>11</v>
      </c>
      <c r="N581">
        <f t="shared" si="36"/>
        <v>0</v>
      </c>
      <c r="O581" t="str">
        <f xml:space="preserve"> IF(AND(Table1[[#This Row],[Actual_Lead_Time]] &lt;= Table1[[#This Row],[Standard_Lead_Time]], OR(ISBLANK(J581), J581 = 0)), "OTIF", "Non-OTIF")</f>
        <v>Non-OTIF</v>
      </c>
      <c r="P581">
        <f>IF(Table1[[#This Row],[OTIF_Status]] = "OTIF", 1, 0)</f>
        <v>0</v>
      </c>
      <c r="Q581" s="5">
        <f t="shared" si="37"/>
        <v>14966.68</v>
      </c>
      <c r="R581" s="5">
        <f t="shared" si="38"/>
        <v>13718.060000000001</v>
      </c>
      <c r="S581" s="5">
        <f>Table1[[#This Row],[Total_Line_Spend]]-Table1[[#This Row],[Negotiated_Total]]</f>
        <v>1248.619999999999</v>
      </c>
      <c r="T581" t="str">
        <f xml:space="preserve"> IF(Table1[[#This Row],[Delay_Days]] &gt; 4, "High Risk", IF(Table1[[#This Row],[Delay_Days]] &gt; 0, "Medium Risk", "Low Risk"))</f>
        <v>Low Risk</v>
      </c>
    </row>
    <row r="582" spans="1:20" x14ac:dyDescent="0.25">
      <c r="A582" t="s">
        <v>607</v>
      </c>
      <c r="B582" t="s">
        <v>806</v>
      </c>
      <c r="C582" s="1">
        <v>45210</v>
      </c>
      <c r="D582" s="1">
        <v>45225</v>
      </c>
      <c r="E582" t="s">
        <v>21</v>
      </c>
      <c r="F582" t="s">
        <v>18</v>
      </c>
      <c r="G582">
        <v>685</v>
      </c>
      <c r="H582" s="5">
        <v>92.51</v>
      </c>
      <c r="I582" s="5">
        <v>90.05</v>
      </c>
      <c r="J582">
        <v>38</v>
      </c>
      <c r="K582" t="s">
        <v>15</v>
      </c>
      <c r="L582">
        <f t="shared" si="39"/>
        <v>15</v>
      </c>
      <c r="M582">
        <v>11</v>
      </c>
      <c r="N582">
        <f t="shared" si="36"/>
        <v>4</v>
      </c>
      <c r="O582" t="str">
        <f xml:space="preserve"> IF(AND(Table1[[#This Row],[Actual_Lead_Time]] &lt;= Table1[[#This Row],[Standard_Lead_Time]], OR(ISBLANK(J582), J582 = 0)), "OTIF", "Non-OTIF")</f>
        <v>Non-OTIF</v>
      </c>
      <c r="P582">
        <f>IF(Table1[[#This Row],[OTIF_Status]] = "OTIF", 1, 0)</f>
        <v>0</v>
      </c>
      <c r="Q582" s="5">
        <f t="shared" si="37"/>
        <v>63369.350000000006</v>
      </c>
      <c r="R582" s="5">
        <f t="shared" si="38"/>
        <v>61684.25</v>
      </c>
      <c r="S582" s="5">
        <f>Table1[[#This Row],[Total_Line_Spend]]-Table1[[#This Row],[Negotiated_Total]]</f>
        <v>1685.1000000000058</v>
      </c>
      <c r="T582" t="str">
        <f xml:space="preserve"> IF(Table1[[#This Row],[Delay_Days]] &gt; 4, "High Risk", IF(Table1[[#This Row],[Delay_Days]] &gt; 0, "Medium Risk", "Low Risk"))</f>
        <v>Medium Risk</v>
      </c>
    </row>
    <row r="583" spans="1:20" x14ac:dyDescent="0.25">
      <c r="A583" t="s">
        <v>608</v>
      </c>
      <c r="B583" t="s">
        <v>805</v>
      </c>
      <c r="C583" s="1">
        <v>45196</v>
      </c>
      <c r="D583" s="1">
        <v>45211</v>
      </c>
      <c r="E583" t="s">
        <v>13</v>
      </c>
      <c r="F583" t="s">
        <v>33</v>
      </c>
      <c r="G583">
        <v>1179</v>
      </c>
      <c r="H583" s="5">
        <v>90.14</v>
      </c>
      <c r="I583" s="5">
        <v>82.63</v>
      </c>
      <c r="J583">
        <v>194</v>
      </c>
      <c r="K583" t="s">
        <v>15</v>
      </c>
      <c r="L583">
        <f t="shared" si="39"/>
        <v>15</v>
      </c>
      <c r="M583">
        <v>11</v>
      </c>
      <c r="N583">
        <f t="shared" si="36"/>
        <v>4</v>
      </c>
      <c r="O583" t="str">
        <f xml:space="preserve"> IF(AND(Table1[[#This Row],[Actual_Lead_Time]] &lt;= Table1[[#This Row],[Standard_Lead_Time]], OR(ISBLANK(J583), J583 = 0)), "OTIF", "Non-OTIF")</f>
        <v>Non-OTIF</v>
      </c>
      <c r="P583">
        <f>IF(Table1[[#This Row],[OTIF_Status]] = "OTIF", 1, 0)</f>
        <v>0</v>
      </c>
      <c r="Q583" s="5">
        <f t="shared" si="37"/>
        <v>106275.06</v>
      </c>
      <c r="R583" s="5">
        <f t="shared" si="38"/>
        <v>97420.76999999999</v>
      </c>
      <c r="S583" s="5">
        <f>Table1[[#This Row],[Total_Line_Spend]]-Table1[[#This Row],[Negotiated_Total]]</f>
        <v>8854.2900000000081</v>
      </c>
      <c r="T583" t="str">
        <f xml:space="preserve"> IF(Table1[[#This Row],[Delay_Days]] &gt; 4, "High Risk", IF(Table1[[#This Row],[Delay_Days]] &gt; 0, "Medium Risk", "Low Risk"))</f>
        <v>Medium Risk</v>
      </c>
    </row>
    <row r="584" spans="1:20" x14ac:dyDescent="0.25">
      <c r="A584" t="s">
        <v>609</v>
      </c>
      <c r="B584" t="s">
        <v>804</v>
      </c>
      <c r="C584" s="1">
        <v>44905</v>
      </c>
      <c r="D584" s="1">
        <v>44916</v>
      </c>
      <c r="E584" t="s">
        <v>26</v>
      </c>
      <c r="F584" t="s">
        <v>18</v>
      </c>
      <c r="G584">
        <v>1743</v>
      </c>
      <c r="H584" s="5">
        <v>76.510000000000005</v>
      </c>
      <c r="I584" s="5">
        <v>65.88</v>
      </c>
      <c r="J584">
        <v>40</v>
      </c>
      <c r="K584" t="s">
        <v>15</v>
      </c>
      <c r="L584">
        <f t="shared" si="39"/>
        <v>11</v>
      </c>
      <c r="M584">
        <v>11</v>
      </c>
      <c r="N584">
        <f t="shared" si="36"/>
        <v>0</v>
      </c>
      <c r="O584" t="str">
        <f xml:space="preserve"> IF(AND(Table1[[#This Row],[Actual_Lead_Time]] &lt;= Table1[[#This Row],[Standard_Lead_Time]], OR(ISBLANK(J584), J584 = 0)), "OTIF", "Non-OTIF")</f>
        <v>Non-OTIF</v>
      </c>
      <c r="P584">
        <f>IF(Table1[[#This Row],[OTIF_Status]] = "OTIF", 1, 0)</f>
        <v>0</v>
      </c>
      <c r="Q584" s="5">
        <f t="shared" si="37"/>
        <v>133356.93000000002</v>
      </c>
      <c r="R584" s="5">
        <f t="shared" si="38"/>
        <v>114828.84</v>
      </c>
      <c r="S584" s="5">
        <f>Table1[[#This Row],[Total_Line_Spend]]-Table1[[#This Row],[Negotiated_Total]]</f>
        <v>18528.090000000026</v>
      </c>
      <c r="T584" t="str">
        <f xml:space="preserve"> IF(Table1[[#This Row],[Delay_Days]] &gt; 4, "High Risk", IF(Table1[[#This Row],[Delay_Days]] &gt; 0, "Medium Risk", "Low Risk"))</f>
        <v>Low Risk</v>
      </c>
    </row>
    <row r="585" spans="1:20" x14ac:dyDescent="0.25">
      <c r="A585" t="s">
        <v>610</v>
      </c>
      <c r="B585" t="s">
        <v>804</v>
      </c>
      <c r="C585" s="1">
        <v>44657</v>
      </c>
      <c r="D585" s="1">
        <v>44668</v>
      </c>
      <c r="E585" t="s">
        <v>21</v>
      </c>
      <c r="F585" t="s">
        <v>18</v>
      </c>
      <c r="G585">
        <v>1732</v>
      </c>
      <c r="H585" s="5">
        <v>35.01</v>
      </c>
      <c r="I585" s="5">
        <v>34.18</v>
      </c>
      <c r="J585">
        <v>40</v>
      </c>
      <c r="K585" t="s">
        <v>15</v>
      </c>
      <c r="L585">
        <f t="shared" si="39"/>
        <v>11</v>
      </c>
      <c r="M585">
        <v>11</v>
      </c>
      <c r="N585">
        <f t="shared" si="36"/>
        <v>0</v>
      </c>
      <c r="O585" t="str">
        <f xml:space="preserve"> IF(AND(Table1[[#This Row],[Actual_Lead_Time]] &lt;= Table1[[#This Row],[Standard_Lead_Time]], OR(ISBLANK(J585), J585 = 0)), "OTIF", "Non-OTIF")</f>
        <v>Non-OTIF</v>
      </c>
      <c r="P585">
        <f>IF(Table1[[#This Row],[OTIF_Status]] = "OTIF", 1, 0)</f>
        <v>0</v>
      </c>
      <c r="Q585" s="5">
        <f t="shared" si="37"/>
        <v>60637.32</v>
      </c>
      <c r="R585" s="5">
        <f t="shared" si="38"/>
        <v>59199.76</v>
      </c>
      <c r="S585" s="5">
        <f>Table1[[#This Row],[Total_Line_Spend]]-Table1[[#This Row],[Negotiated_Total]]</f>
        <v>1437.5599999999977</v>
      </c>
      <c r="T585" t="str">
        <f xml:space="preserve"> IF(Table1[[#This Row],[Delay_Days]] &gt; 4, "High Risk", IF(Table1[[#This Row],[Delay_Days]] &gt; 0, "Medium Risk", "Low Risk"))</f>
        <v>Low Risk</v>
      </c>
    </row>
    <row r="586" spans="1:20" x14ac:dyDescent="0.25">
      <c r="A586" t="s">
        <v>611</v>
      </c>
      <c r="B586" t="s">
        <v>807</v>
      </c>
      <c r="C586" s="1">
        <v>44802</v>
      </c>
      <c r="D586" s="1">
        <v>44805</v>
      </c>
      <c r="E586" t="s">
        <v>13</v>
      </c>
      <c r="F586" t="s">
        <v>18</v>
      </c>
      <c r="G586">
        <v>706</v>
      </c>
      <c r="H586" s="5">
        <v>65.33</v>
      </c>
      <c r="I586" s="5">
        <v>62.06</v>
      </c>
      <c r="J586">
        <v>60</v>
      </c>
      <c r="K586" t="s">
        <v>27</v>
      </c>
      <c r="L586">
        <f t="shared" si="39"/>
        <v>3</v>
      </c>
      <c r="M586">
        <v>11</v>
      </c>
      <c r="N586">
        <f t="shared" si="36"/>
        <v>0</v>
      </c>
      <c r="O586" t="str">
        <f xml:space="preserve"> IF(AND(Table1[[#This Row],[Actual_Lead_Time]] &lt;= Table1[[#This Row],[Standard_Lead_Time]], OR(ISBLANK(J586), J586 = 0)), "OTIF", "Non-OTIF")</f>
        <v>Non-OTIF</v>
      </c>
      <c r="P586">
        <f>IF(Table1[[#This Row],[OTIF_Status]] = "OTIF", 1, 0)</f>
        <v>0</v>
      </c>
      <c r="Q586" s="5">
        <f t="shared" si="37"/>
        <v>46122.979999999996</v>
      </c>
      <c r="R586" s="5">
        <f t="shared" si="38"/>
        <v>43814.36</v>
      </c>
      <c r="S586" s="5">
        <f>Table1[[#This Row],[Total_Line_Spend]]-Table1[[#This Row],[Negotiated_Total]]</f>
        <v>2308.6199999999953</v>
      </c>
      <c r="T586" t="str">
        <f xml:space="preserve"> IF(Table1[[#This Row],[Delay_Days]] &gt; 4, "High Risk", IF(Table1[[#This Row],[Delay_Days]] &gt; 0, "Medium Risk", "Low Risk"))</f>
        <v>Low Risk</v>
      </c>
    </row>
    <row r="587" spans="1:20" x14ac:dyDescent="0.25">
      <c r="A587" t="s">
        <v>612</v>
      </c>
      <c r="B587" t="s">
        <v>806</v>
      </c>
      <c r="C587" s="1">
        <v>45250</v>
      </c>
      <c r="D587" s="1">
        <v>45260</v>
      </c>
      <c r="E587" t="s">
        <v>21</v>
      </c>
      <c r="F587" t="s">
        <v>14</v>
      </c>
      <c r="G587">
        <v>169</v>
      </c>
      <c r="H587" s="5">
        <v>47.16</v>
      </c>
      <c r="I587" s="5">
        <v>43.4</v>
      </c>
      <c r="K587" t="s">
        <v>15</v>
      </c>
      <c r="L587">
        <f t="shared" si="39"/>
        <v>10</v>
      </c>
      <c r="M587">
        <v>11</v>
      </c>
      <c r="N587">
        <f t="shared" si="36"/>
        <v>0</v>
      </c>
      <c r="O587" t="str">
        <f xml:space="preserve"> IF(AND(Table1[[#This Row],[Actual_Lead_Time]] &lt;= Table1[[#This Row],[Standard_Lead_Time]], OR(ISBLANK(J587), J587 = 0)), "OTIF", "Non-OTIF")</f>
        <v>OTIF</v>
      </c>
      <c r="P587">
        <f>IF(Table1[[#This Row],[OTIF_Status]] = "OTIF", 1, 0)</f>
        <v>1</v>
      </c>
      <c r="Q587" s="5">
        <f t="shared" si="37"/>
        <v>7970.0399999999991</v>
      </c>
      <c r="R587" s="5">
        <f t="shared" si="38"/>
        <v>7334.5999999999995</v>
      </c>
      <c r="S587" s="5">
        <f>Table1[[#This Row],[Total_Line_Spend]]-Table1[[#This Row],[Negotiated_Total]]</f>
        <v>635.4399999999996</v>
      </c>
      <c r="T587" t="str">
        <f xml:space="preserve"> IF(Table1[[#This Row],[Delay_Days]] &gt; 4, "High Risk", IF(Table1[[#This Row],[Delay_Days]] &gt; 0, "Medium Risk", "Low Risk"))</f>
        <v>Low Risk</v>
      </c>
    </row>
    <row r="588" spans="1:20" x14ac:dyDescent="0.25">
      <c r="A588" t="s">
        <v>613</v>
      </c>
      <c r="B588" t="s">
        <v>806</v>
      </c>
      <c r="C588" s="1">
        <v>44879</v>
      </c>
      <c r="D588" s="1">
        <v>44885</v>
      </c>
      <c r="E588" t="s">
        <v>13</v>
      </c>
      <c r="F588" t="s">
        <v>35</v>
      </c>
      <c r="G588">
        <v>880</v>
      </c>
      <c r="H588" s="5">
        <v>19.149999999999999</v>
      </c>
      <c r="I588" s="5">
        <v>18.690000000000001</v>
      </c>
      <c r="K588" t="s">
        <v>27</v>
      </c>
      <c r="L588">
        <f t="shared" si="39"/>
        <v>6</v>
      </c>
      <c r="M588">
        <v>11</v>
      </c>
      <c r="N588">
        <f t="shared" si="36"/>
        <v>0</v>
      </c>
      <c r="O588" t="str">
        <f xml:space="preserve"> IF(AND(Table1[[#This Row],[Actual_Lead_Time]] &lt;= Table1[[#This Row],[Standard_Lead_Time]], OR(ISBLANK(J588), J588 = 0)), "OTIF", "Non-OTIF")</f>
        <v>OTIF</v>
      </c>
      <c r="P588">
        <f>IF(Table1[[#This Row],[OTIF_Status]] = "OTIF", 1, 0)</f>
        <v>1</v>
      </c>
      <c r="Q588" s="5">
        <f t="shared" si="37"/>
        <v>16852</v>
      </c>
      <c r="R588" s="5">
        <f t="shared" si="38"/>
        <v>16447.2</v>
      </c>
      <c r="S588" s="5">
        <f>Table1[[#This Row],[Total_Line_Spend]]-Table1[[#This Row],[Negotiated_Total]]</f>
        <v>404.79999999999927</v>
      </c>
      <c r="T588" t="str">
        <f xml:space="preserve"> IF(Table1[[#This Row],[Delay_Days]] &gt; 4, "High Risk", IF(Table1[[#This Row],[Delay_Days]] &gt; 0, "Medium Risk", "Low Risk"))</f>
        <v>Low Risk</v>
      </c>
    </row>
    <row r="589" spans="1:20" x14ac:dyDescent="0.25">
      <c r="A589" t="s">
        <v>614</v>
      </c>
      <c r="B589" t="s">
        <v>806</v>
      </c>
      <c r="C589" s="1">
        <v>44792</v>
      </c>
      <c r="D589" s="1">
        <v>44798</v>
      </c>
      <c r="E589" t="s">
        <v>21</v>
      </c>
      <c r="F589" t="s">
        <v>18</v>
      </c>
      <c r="G589">
        <v>1860</v>
      </c>
      <c r="H589" s="5">
        <v>95.8</v>
      </c>
      <c r="I589" s="5">
        <v>92.17</v>
      </c>
      <c r="J589">
        <v>105</v>
      </c>
      <c r="K589" t="s">
        <v>27</v>
      </c>
      <c r="L589">
        <f t="shared" si="39"/>
        <v>6</v>
      </c>
      <c r="M589">
        <v>11</v>
      </c>
      <c r="N589">
        <f t="shared" si="36"/>
        <v>0</v>
      </c>
      <c r="O589" t="str">
        <f xml:space="preserve"> IF(AND(Table1[[#This Row],[Actual_Lead_Time]] &lt;= Table1[[#This Row],[Standard_Lead_Time]], OR(ISBLANK(J589), J589 = 0)), "OTIF", "Non-OTIF")</f>
        <v>Non-OTIF</v>
      </c>
      <c r="P589">
        <f>IF(Table1[[#This Row],[OTIF_Status]] = "OTIF", 1, 0)</f>
        <v>0</v>
      </c>
      <c r="Q589" s="5">
        <f t="shared" si="37"/>
        <v>178188</v>
      </c>
      <c r="R589" s="5">
        <f t="shared" si="38"/>
        <v>171436.2</v>
      </c>
      <c r="S589" s="5">
        <f>Table1[[#This Row],[Total_Line_Spend]]-Table1[[#This Row],[Negotiated_Total]]</f>
        <v>6751.7999999999884</v>
      </c>
      <c r="T589" t="str">
        <f xml:space="preserve"> IF(Table1[[#This Row],[Delay_Days]] &gt; 4, "High Risk", IF(Table1[[#This Row],[Delay_Days]] &gt; 0, "Medium Risk", "Low Risk"))</f>
        <v>Low Risk</v>
      </c>
    </row>
    <row r="590" spans="1:20" x14ac:dyDescent="0.25">
      <c r="A590" t="s">
        <v>615</v>
      </c>
      <c r="B590" t="s">
        <v>805</v>
      </c>
      <c r="C590" s="1">
        <v>44765</v>
      </c>
      <c r="D590" s="1">
        <v>44782</v>
      </c>
      <c r="E590" t="s">
        <v>21</v>
      </c>
      <c r="F590" t="s">
        <v>18</v>
      </c>
      <c r="G590">
        <v>1677</v>
      </c>
      <c r="H590" s="5">
        <v>22.98</v>
      </c>
      <c r="I590" s="5">
        <v>21.71</v>
      </c>
      <c r="J590">
        <v>246</v>
      </c>
      <c r="K590" t="s">
        <v>15</v>
      </c>
      <c r="L590">
        <f t="shared" si="39"/>
        <v>17</v>
      </c>
      <c r="M590">
        <v>11</v>
      </c>
      <c r="N590">
        <f t="shared" si="36"/>
        <v>6</v>
      </c>
      <c r="O590" t="str">
        <f xml:space="preserve"> IF(AND(Table1[[#This Row],[Actual_Lead_Time]] &lt;= Table1[[#This Row],[Standard_Lead_Time]], OR(ISBLANK(J590), J590 = 0)), "OTIF", "Non-OTIF")</f>
        <v>Non-OTIF</v>
      </c>
      <c r="P590">
        <f>IF(Table1[[#This Row],[OTIF_Status]] = "OTIF", 1, 0)</f>
        <v>0</v>
      </c>
      <c r="Q590" s="5">
        <f t="shared" si="37"/>
        <v>38537.46</v>
      </c>
      <c r="R590" s="5">
        <f t="shared" si="38"/>
        <v>36407.67</v>
      </c>
      <c r="S590" s="5">
        <f>Table1[[#This Row],[Total_Line_Spend]]-Table1[[#This Row],[Negotiated_Total]]</f>
        <v>2129.7900000000009</v>
      </c>
      <c r="T590" t="str">
        <f xml:space="preserve"> IF(Table1[[#This Row],[Delay_Days]] &gt; 4, "High Risk", IF(Table1[[#This Row],[Delay_Days]] &gt; 0, "Medium Risk", "Low Risk"))</f>
        <v>High Risk</v>
      </c>
    </row>
    <row r="591" spans="1:20" x14ac:dyDescent="0.25">
      <c r="A591" t="s">
        <v>616</v>
      </c>
      <c r="B591" t="s">
        <v>807</v>
      </c>
      <c r="C591" s="1">
        <v>44712</v>
      </c>
      <c r="D591" s="1">
        <v>44719</v>
      </c>
      <c r="E591" t="s">
        <v>24</v>
      </c>
      <c r="F591" t="s">
        <v>33</v>
      </c>
      <c r="G591">
        <v>1131</v>
      </c>
      <c r="H591" s="5">
        <v>97.43</v>
      </c>
      <c r="I591" s="5">
        <v>91.28</v>
      </c>
      <c r="J591">
        <v>103</v>
      </c>
      <c r="K591" t="s">
        <v>15</v>
      </c>
      <c r="L591">
        <f t="shared" si="39"/>
        <v>7</v>
      </c>
      <c r="M591">
        <v>11</v>
      </c>
      <c r="N591">
        <f t="shared" si="36"/>
        <v>0</v>
      </c>
      <c r="O591" t="str">
        <f xml:space="preserve"> IF(AND(Table1[[#This Row],[Actual_Lead_Time]] &lt;= Table1[[#This Row],[Standard_Lead_Time]], OR(ISBLANK(J591), J591 = 0)), "OTIF", "Non-OTIF")</f>
        <v>Non-OTIF</v>
      </c>
      <c r="P591">
        <f>IF(Table1[[#This Row],[OTIF_Status]] = "OTIF", 1, 0)</f>
        <v>0</v>
      </c>
      <c r="Q591" s="5">
        <f t="shared" si="37"/>
        <v>110193.33</v>
      </c>
      <c r="R591" s="5">
        <f t="shared" si="38"/>
        <v>103237.68000000001</v>
      </c>
      <c r="S591" s="5">
        <f>Table1[[#This Row],[Total_Line_Spend]]-Table1[[#This Row],[Negotiated_Total]]</f>
        <v>6955.6499999999942</v>
      </c>
      <c r="T591" t="str">
        <f xml:space="preserve"> IF(Table1[[#This Row],[Delay_Days]] &gt; 4, "High Risk", IF(Table1[[#This Row],[Delay_Days]] &gt; 0, "Medium Risk", "Low Risk"))</f>
        <v>Low Risk</v>
      </c>
    </row>
    <row r="592" spans="1:20" x14ac:dyDescent="0.25">
      <c r="A592" t="s">
        <v>617</v>
      </c>
      <c r="B592" t="s">
        <v>808</v>
      </c>
      <c r="C592" s="1">
        <v>44587</v>
      </c>
      <c r="D592" s="1">
        <v>44595</v>
      </c>
      <c r="E592" t="s">
        <v>26</v>
      </c>
      <c r="F592" t="s">
        <v>14</v>
      </c>
      <c r="G592">
        <v>1419</v>
      </c>
      <c r="H592" s="5">
        <v>50.14</v>
      </c>
      <c r="I592" s="5">
        <v>43.46</v>
      </c>
      <c r="K592" t="s">
        <v>15</v>
      </c>
      <c r="L592">
        <f t="shared" si="39"/>
        <v>8</v>
      </c>
      <c r="M592">
        <v>11</v>
      </c>
      <c r="N592">
        <f t="shared" si="36"/>
        <v>0</v>
      </c>
      <c r="O592" t="str">
        <f xml:space="preserve"> IF(AND(Table1[[#This Row],[Actual_Lead_Time]] &lt;= Table1[[#This Row],[Standard_Lead_Time]], OR(ISBLANK(J592), J592 = 0)), "OTIF", "Non-OTIF")</f>
        <v>OTIF</v>
      </c>
      <c r="P592">
        <f>IF(Table1[[#This Row],[OTIF_Status]] = "OTIF", 1, 0)</f>
        <v>1</v>
      </c>
      <c r="Q592" s="5">
        <f t="shared" si="37"/>
        <v>71148.66</v>
      </c>
      <c r="R592" s="5">
        <f t="shared" si="38"/>
        <v>61669.74</v>
      </c>
      <c r="S592" s="5">
        <f>Table1[[#This Row],[Total_Line_Spend]]-Table1[[#This Row],[Negotiated_Total]]</f>
        <v>9478.9200000000055</v>
      </c>
      <c r="T592" t="str">
        <f xml:space="preserve"> IF(Table1[[#This Row],[Delay_Days]] &gt; 4, "High Risk", IF(Table1[[#This Row],[Delay_Days]] &gt; 0, "Medium Risk", "Low Risk"))</f>
        <v>Low Risk</v>
      </c>
    </row>
    <row r="593" spans="1:20" x14ac:dyDescent="0.25">
      <c r="A593" t="s">
        <v>618</v>
      </c>
      <c r="B593" t="s">
        <v>805</v>
      </c>
      <c r="C593" s="1">
        <v>44609</v>
      </c>
      <c r="D593" s="1">
        <v>44610</v>
      </c>
      <c r="E593" t="s">
        <v>26</v>
      </c>
      <c r="F593" t="s">
        <v>35</v>
      </c>
      <c r="G593">
        <v>790</v>
      </c>
      <c r="H593" s="5">
        <v>26.8</v>
      </c>
      <c r="I593" s="5">
        <v>25.62</v>
      </c>
      <c r="J593">
        <v>115</v>
      </c>
      <c r="K593" t="s">
        <v>15</v>
      </c>
      <c r="L593">
        <f t="shared" si="39"/>
        <v>1</v>
      </c>
      <c r="M593">
        <v>11</v>
      </c>
      <c r="N593">
        <f t="shared" si="36"/>
        <v>0</v>
      </c>
      <c r="O593" t="str">
        <f xml:space="preserve"> IF(AND(Table1[[#This Row],[Actual_Lead_Time]] &lt;= Table1[[#This Row],[Standard_Lead_Time]], OR(ISBLANK(J593), J593 = 0)), "OTIF", "Non-OTIF")</f>
        <v>Non-OTIF</v>
      </c>
      <c r="P593">
        <f>IF(Table1[[#This Row],[OTIF_Status]] = "OTIF", 1, 0)</f>
        <v>0</v>
      </c>
      <c r="Q593" s="5">
        <f t="shared" si="37"/>
        <v>21172</v>
      </c>
      <c r="R593" s="5">
        <f t="shared" si="38"/>
        <v>20239.8</v>
      </c>
      <c r="S593" s="5">
        <f>Table1[[#This Row],[Total_Line_Spend]]-Table1[[#This Row],[Negotiated_Total]]</f>
        <v>932.20000000000073</v>
      </c>
      <c r="T593" t="str">
        <f xml:space="preserve"> IF(Table1[[#This Row],[Delay_Days]] &gt; 4, "High Risk", IF(Table1[[#This Row],[Delay_Days]] &gt; 0, "Medium Risk", "Low Risk"))</f>
        <v>Low Risk</v>
      </c>
    </row>
    <row r="594" spans="1:20" x14ac:dyDescent="0.25">
      <c r="A594" t="s">
        <v>619</v>
      </c>
      <c r="B594" t="s">
        <v>806</v>
      </c>
      <c r="C594" s="1">
        <v>44812</v>
      </c>
      <c r="D594" s="1">
        <v>44831</v>
      </c>
      <c r="E594" t="s">
        <v>21</v>
      </c>
      <c r="F594" t="s">
        <v>35</v>
      </c>
      <c r="G594">
        <v>1547</v>
      </c>
      <c r="H594" s="5">
        <v>61.12</v>
      </c>
      <c r="I594" s="5">
        <v>53.43</v>
      </c>
      <c r="J594">
        <v>77</v>
      </c>
      <c r="K594" t="s">
        <v>15</v>
      </c>
      <c r="L594">
        <f t="shared" si="39"/>
        <v>19</v>
      </c>
      <c r="M594">
        <v>11</v>
      </c>
      <c r="N594">
        <f t="shared" si="36"/>
        <v>8</v>
      </c>
      <c r="O594" t="str">
        <f xml:space="preserve"> IF(AND(Table1[[#This Row],[Actual_Lead_Time]] &lt;= Table1[[#This Row],[Standard_Lead_Time]], OR(ISBLANK(J594), J594 = 0)), "OTIF", "Non-OTIF")</f>
        <v>Non-OTIF</v>
      </c>
      <c r="P594">
        <f>IF(Table1[[#This Row],[OTIF_Status]] = "OTIF", 1, 0)</f>
        <v>0</v>
      </c>
      <c r="Q594" s="5">
        <f t="shared" si="37"/>
        <v>94552.639999999999</v>
      </c>
      <c r="R594" s="5">
        <f t="shared" si="38"/>
        <v>82656.210000000006</v>
      </c>
      <c r="S594" s="5">
        <f>Table1[[#This Row],[Total_Line_Spend]]-Table1[[#This Row],[Negotiated_Total]]</f>
        <v>11896.429999999993</v>
      </c>
      <c r="T594" t="str">
        <f xml:space="preserve"> IF(Table1[[#This Row],[Delay_Days]] &gt; 4, "High Risk", IF(Table1[[#This Row],[Delay_Days]] &gt; 0, "Medium Risk", "Low Risk"))</f>
        <v>High Risk</v>
      </c>
    </row>
    <row r="595" spans="1:20" x14ac:dyDescent="0.25">
      <c r="A595" t="s">
        <v>620</v>
      </c>
      <c r="B595" t="s">
        <v>805</v>
      </c>
      <c r="C595" s="1">
        <v>45048</v>
      </c>
      <c r="D595" s="1">
        <v>45066</v>
      </c>
      <c r="E595" t="s">
        <v>13</v>
      </c>
      <c r="F595" t="s">
        <v>14</v>
      </c>
      <c r="G595">
        <v>166</v>
      </c>
      <c r="H595" s="5">
        <v>95.65</v>
      </c>
      <c r="I595" s="5">
        <v>94.48</v>
      </c>
      <c r="J595">
        <v>23</v>
      </c>
      <c r="K595" t="s">
        <v>15</v>
      </c>
      <c r="L595">
        <f t="shared" si="39"/>
        <v>18</v>
      </c>
      <c r="M595">
        <v>11</v>
      </c>
      <c r="N595">
        <f t="shared" si="36"/>
        <v>7</v>
      </c>
      <c r="O595" t="str">
        <f xml:space="preserve"> IF(AND(Table1[[#This Row],[Actual_Lead_Time]] &lt;= Table1[[#This Row],[Standard_Lead_Time]], OR(ISBLANK(J595), J595 = 0)), "OTIF", "Non-OTIF")</f>
        <v>Non-OTIF</v>
      </c>
      <c r="P595">
        <f>IF(Table1[[#This Row],[OTIF_Status]] = "OTIF", 1, 0)</f>
        <v>0</v>
      </c>
      <c r="Q595" s="5">
        <f t="shared" si="37"/>
        <v>15877.900000000001</v>
      </c>
      <c r="R595" s="5">
        <f t="shared" si="38"/>
        <v>15683.68</v>
      </c>
      <c r="S595" s="5">
        <f>Table1[[#This Row],[Total_Line_Spend]]-Table1[[#This Row],[Negotiated_Total]]</f>
        <v>194.22000000000116</v>
      </c>
      <c r="T595" t="str">
        <f xml:space="preserve"> IF(Table1[[#This Row],[Delay_Days]] &gt; 4, "High Risk", IF(Table1[[#This Row],[Delay_Days]] &gt; 0, "Medium Risk", "Low Risk"))</f>
        <v>High Risk</v>
      </c>
    </row>
    <row r="596" spans="1:20" x14ac:dyDescent="0.25">
      <c r="A596" t="s">
        <v>621</v>
      </c>
      <c r="B596" t="s">
        <v>804</v>
      </c>
      <c r="C596" s="1">
        <v>45187</v>
      </c>
      <c r="D596" s="1">
        <v>45190</v>
      </c>
      <c r="E596" t="s">
        <v>39</v>
      </c>
      <c r="F596" t="s">
        <v>18</v>
      </c>
      <c r="G596">
        <v>1903</v>
      </c>
      <c r="H596" s="5">
        <v>83.49</v>
      </c>
      <c r="I596" s="5">
        <v>82.33</v>
      </c>
      <c r="J596">
        <v>43</v>
      </c>
      <c r="K596" t="s">
        <v>15</v>
      </c>
      <c r="L596">
        <f t="shared" si="39"/>
        <v>3</v>
      </c>
      <c r="M596">
        <v>11</v>
      </c>
      <c r="N596">
        <f t="shared" si="36"/>
        <v>0</v>
      </c>
      <c r="O596" t="str">
        <f xml:space="preserve"> IF(AND(Table1[[#This Row],[Actual_Lead_Time]] &lt;= Table1[[#This Row],[Standard_Lead_Time]], OR(ISBLANK(J596), J596 = 0)), "OTIF", "Non-OTIF")</f>
        <v>Non-OTIF</v>
      </c>
      <c r="P596">
        <f>IF(Table1[[#This Row],[OTIF_Status]] = "OTIF", 1, 0)</f>
        <v>0</v>
      </c>
      <c r="Q596" s="5">
        <f t="shared" si="37"/>
        <v>158881.47</v>
      </c>
      <c r="R596" s="5">
        <f t="shared" si="38"/>
        <v>156673.99</v>
      </c>
      <c r="S596" s="5">
        <f>Table1[[#This Row],[Total_Line_Spend]]-Table1[[#This Row],[Negotiated_Total]]</f>
        <v>2207.4800000000105</v>
      </c>
      <c r="T596" t="str">
        <f xml:space="preserve"> IF(Table1[[#This Row],[Delay_Days]] &gt; 4, "High Risk", IF(Table1[[#This Row],[Delay_Days]] &gt; 0, "Medium Risk", "Low Risk"))</f>
        <v>Low Risk</v>
      </c>
    </row>
    <row r="597" spans="1:20" x14ac:dyDescent="0.25">
      <c r="A597" t="s">
        <v>622</v>
      </c>
      <c r="B597" t="s">
        <v>805</v>
      </c>
      <c r="C597" s="1">
        <v>44636</v>
      </c>
      <c r="D597" s="1">
        <v>44649</v>
      </c>
      <c r="E597" t="s">
        <v>13</v>
      </c>
      <c r="F597" t="s">
        <v>33</v>
      </c>
      <c r="G597">
        <v>840</v>
      </c>
      <c r="H597" s="5">
        <v>83.42</v>
      </c>
      <c r="I597" s="5">
        <v>80.349999999999994</v>
      </c>
      <c r="J597">
        <v>153</v>
      </c>
      <c r="K597" t="s">
        <v>15</v>
      </c>
      <c r="L597">
        <f t="shared" si="39"/>
        <v>13</v>
      </c>
      <c r="M597">
        <v>11</v>
      </c>
      <c r="N597">
        <f t="shared" si="36"/>
        <v>2</v>
      </c>
      <c r="O597" t="str">
        <f xml:space="preserve"> IF(AND(Table1[[#This Row],[Actual_Lead_Time]] &lt;= Table1[[#This Row],[Standard_Lead_Time]], OR(ISBLANK(J597), J597 = 0)), "OTIF", "Non-OTIF")</f>
        <v>Non-OTIF</v>
      </c>
      <c r="P597">
        <f>IF(Table1[[#This Row],[OTIF_Status]] = "OTIF", 1, 0)</f>
        <v>0</v>
      </c>
      <c r="Q597" s="5">
        <f t="shared" si="37"/>
        <v>70072.800000000003</v>
      </c>
      <c r="R597" s="5">
        <f t="shared" si="38"/>
        <v>67494</v>
      </c>
      <c r="S597" s="5">
        <f>Table1[[#This Row],[Total_Line_Spend]]-Table1[[#This Row],[Negotiated_Total]]</f>
        <v>2578.8000000000029</v>
      </c>
      <c r="T597" t="str">
        <f xml:space="preserve"> IF(Table1[[#This Row],[Delay_Days]] &gt; 4, "High Risk", IF(Table1[[#This Row],[Delay_Days]] &gt; 0, "Medium Risk", "Low Risk"))</f>
        <v>Medium Risk</v>
      </c>
    </row>
    <row r="598" spans="1:20" x14ac:dyDescent="0.25">
      <c r="A598" t="s">
        <v>623</v>
      </c>
      <c r="B598" t="s">
        <v>805</v>
      </c>
      <c r="C598" s="1">
        <v>45028</v>
      </c>
      <c r="D598" s="1">
        <v>45039</v>
      </c>
      <c r="E598" t="s">
        <v>21</v>
      </c>
      <c r="F598" t="s">
        <v>18</v>
      </c>
      <c r="G598">
        <v>1200</v>
      </c>
      <c r="H598" s="5">
        <v>74.489999999999995</v>
      </c>
      <c r="I598" s="5">
        <v>64.63</v>
      </c>
      <c r="J598">
        <v>161</v>
      </c>
      <c r="K598" t="s">
        <v>15</v>
      </c>
      <c r="L598">
        <f t="shared" si="39"/>
        <v>11</v>
      </c>
      <c r="M598">
        <v>11</v>
      </c>
      <c r="N598">
        <f t="shared" si="36"/>
        <v>0</v>
      </c>
      <c r="O598" t="str">
        <f xml:space="preserve"> IF(AND(Table1[[#This Row],[Actual_Lead_Time]] &lt;= Table1[[#This Row],[Standard_Lead_Time]], OR(ISBLANK(J598), J598 = 0)), "OTIF", "Non-OTIF")</f>
        <v>Non-OTIF</v>
      </c>
      <c r="P598">
        <f>IF(Table1[[#This Row],[OTIF_Status]] = "OTIF", 1, 0)</f>
        <v>0</v>
      </c>
      <c r="Q598" s="5">
        <f t="shared" si="37"/>
        <v>89388</v>
      </c>
      <c r="R598" s="5">
        <f t="shared" si="38"/>
        <v>77556</v>
      </c>
      <c r="S598" s="5">
        <f>Table1[[#This Row],[Total_Line_Spend]]-Table1[[#This Row],[Negotiated_Total]]</f>
        <v>11832</v>
      </c>
      <c r="T598" t="str">
        <f xml:space="preserve"> IF(Table1[[#This Row],[Delay_Days]] &gt; 4, "High Risk", IF(Table1[[#This Row],[Delay_Days]] &gt; 0, "Medium Risk", "Low Risk"))</f>
        <v>Low Risk</v>
      </c>
    </row>
    <row r="599" spans="1:20" x14ac:dyDescent="0.25">
      <c r="A599" t="s">
        <v>624</v>
      </c>
      <c r="B599" t="s">
        <v>806</v>
      </c>
      <c r="C599" s="1">
        <v>44986</v>
      </c>
      <c r="D599" s="1">
        <v>45003</v>
      </c>
      <c r="E599" t="s">
        <v>26</v>
      </c>
      <c r="F599" t="s">
        <v>18</v>
      </c>
      <c r="G599">
        <v>1466</v>
      </c>
      <c r="H599" s="5">
        <v>77.37</v>
      </c>
      <c r="I599" s="5">
        <v>70.349999999999994</v>
      </c>
      <c r="J599">
        <v>72</v>
      </c>
      <c r="K599" t="s">
        <v>15</v>
      </c>
      <c r="L599">
        <f t="shared" si="39"/>
        <v>17</v>
      </c>
      <c r="M599">
        <v>11</v>
      </c>
      <c r="N599">
        <f t="shared" si="36"/>
        <v>6</v>
      </c>
      <c r="O599" t="str">
        <f xml:space="preserve"> IF(AND(Table1[[#This Row],[Actual_Lead_Time]] &lt;= Table1[[#This Row],[Standard_Lead_Time]], OR(ISBLANK(J599), J599 = 0)), "OTIF", "Non-OTIF")</f>
        <v>Non-OTIF</v>
      </c>
      <c r="P599">
        <f>IF(Table1[[#This Row],[OTIF_Status]] = "OTIF", 1, 0)</f>
        <v>0</v>
      </c>
      <c r="Q599" s="5">
        <f t="shared" si="37"/>
        <v>113424.42000000001</v>
      </c>
      <c r="R599" s="5">
        <f t="shared" si="38"/>
        <v>103133.09999999999</v>
      </c>
      <c r="S599" s="5">
        <f>Table1[[#This Row],[Total_Line_Spend]]-Table1[[#This Row],[Negotiated_Total]]</f>
        <v>10291.320000000022</v>
      </c>
      <c r="T599" t="str">
        <f xml:space="preserve"> IF(Table1[[#This Row],[Delay_Days]] &gt; 4, "High Risk", IF(Table1[[#This Row],[Delay_Days]] &gt; 0, "Medium Risk", "Low Risk"))</f>
        <v>High Risk</v>
      </c>
    </row>
    <row r="600" spans="1:20" x14ac:dyDescent="0.25">
      <c r="A600" t="s">
        <v>625</v>
      </c>
      <c r="B600" t="s">
        <v>804</v>
      </c>
      <c r="C600" s="1">
        <v>45206</v>
      </c>
      <c r="D600" s="1">
        <v>45220</v>
      </c>
      <c r="E600" t="s">
        <v>13</v>
      </c>
      <c r="F600" t="s">
        <v>18</v>
      </c>
      <c r="G600">
        <v>1981</v>
      </c>
      <c r="H600" s="5">
        <v>95.5</v>
      </c>
      <c r="I600" s="5">
        <v>94.39</v>
      </c>
      <c r="J600">
        <v>49</v>
      </c>
      <c r="K600" t="s">
        <v>15</v>
      </c>
      <c r="L600">
        <f t="shared" si="39"/>
        <v>14</v>
      </c>
      <c r="M600">
        <v>11</v>
      </c>
      <c r="N600">
        <f t="shared" si="36"/>
        <v>3</v>
      </c>
      <c r="O600" t="str">
        <f xml:space="preserve"> IF(AND(Table1[[#This Row],[Actual_Lead_Time]] &lt;= Table1[[#This Row],[Standard_Lead_Time]], OR(ISBLANK(J600), J600 = 0)), "OTIF", "Non-OTIF")</f>
        <v>Non-OTIF</v>
      </c>
      <c r="P600">
        <f>IF(Table1[[#This Row],[OTIF_Status]] = "OTIF", 1, 0)</f>
        <v>0</v>
      </c>
      <c r="Q600" s="5">
        <f t="shared" si="37"/>
        <v>189185.5</v>
      </c>
      <c r="R600" s="5">
        <f t="shared" si="38"/>
        <v>186986.59</v>
      </c>
      <c r="S600" s="5">
        <f>Table1[[#This Row],[Total_Line_Spend]]-Table1[[#This Row],[Negotiated_Total]]</f>
        <v>2198.9100000000035</v>
      </c>
      <c r="T600" t="str">
        <f xml:space="preserve"> IF(Table1[[#This Row],[Delay_Days]] &gt; 4, "High Risk", IF(Table1[[#This Row],[Delay_Days]] &gt; 0, "Medium Risk", "Low Risk"))</f>
        <v>Medium Risk</v>
      </c>
    </row>
    <row r="601" spans="1:20" x14ac:dyDescent="0.25">
      <c r="A601" t="s">
        <v>626</v>
      </c>
      <c r="B601" t="s">
        <v>806</v>
      </c>
      <c r="C601" s="1">
        <v>45151</v>
      </c>
      <c r="D601" s="1">
        <v>45154</v>
      </c>
      <c r="E601" t="s">
        <v>24</v>
      </c>
      <c r="F601" t="s">
        <v>18</v>
      </c>
      <c r="G601">
        <v>1062</v>
      </c>
      <c r="H601" s="5">
        <v>35.549999999999997</v>
      </c>
      <c r="I601" s="5">
        <v>32.380000000000003</v>
      </c>
      <c r="K601" t="s">
        <v>15</v>
      </c>
      <c r="L601">
        <f t="shared" si="39"/>
        <v>3</v>
      </c>
      <c r="M601">
        <v>11</v>
      </c>
      <c r="N601">
        <f t="shared" si="36"/>
        <v>0</v>
      </c>
      <c r="O601" t="str">
        <f xml:space="preserve"> IF(AND(Table1[[#This Row],[Actual_Lead_Time]] &lt;= Table1[[#This Row],[Standard_Lead_Time]], OR(ISBLANK(J601), J601 = 0)), "OTIF", "Non-OTIF")</f>
        <v>OTIF</v>
      </c>
      <c r="P601">
        <f>IF(Table1[[#This Row],[OTIF_Status]] = "OTIF", 1, 0)</f>
        <v>1</v>
      </c>
      <c r="Q601" s="5">
        <f t="shared" si="37"/>
        <v>37754.1</v>
      </c>
      <c r="R601" s="5">
        <f t="shared" si="38"/>
        <v>34387.560000000005</v>
      </c>
      <c r="S601" s="5">
        <f>Table1[[#This Row],[Total_Line_Spend]]-Table1[[#This Row],[Negotiated_Total]]</f>
        <v>3366.5399999999936</v>
      </c>
      <c r="T601" t="str">
        <f xml:space="preserve"> IF(Table1[[#This Row],[Delay_Days]] &gt; 4, "High Risk", IF(Table1[[#This Row],[Delay_Days]] &gt; 0, "Medium Risk", "Low Risk"))</f>
        <v>Low Risk</v>
      </c>
    </row>
    <row r="602" spans="1:20" x14ac:dyDescent="0.25">
      <c r="A602" t="s">
        <v>627</v>
      </c>
      <c r="B602" t="s">
        <v>804</v>
      </c>
      <c r="C602" s="1">
        <v>44761</v>
      </c>
      <c r="D602" s="1">
        <v>44772</v>
      </c>
      <c r="E602" t="s">
        <v>21</v>
      </c>
      <c r="F602" t="s">
        <v>18</v>
      </c>
      <c r="G602">
        <v>1714</v>
      </c>
      <c r="H602" s="5">
        <v>55.67</v>
      </c>
      <c r="I602" s="5">
        <v>55.09</v>
      </c>
      <c r="J602">
        <v>42</v>
      </c>
      <c r="K602" t="s">
        <v>15</v>
      </c>
      <c r="L602">
        <f t="shared" si="39"/>
        <v>11</v>
      </c>
      <c r="M602">
        <v>11</v>
      </c>
      <c r="N602">
        <f t="shared" si="36"/>
        <v>0</v>
      </c>
      <c r="O602" t="str">
        <f xml:space="preserve"> IF(AND(Table1[[#This Row],[Actual_Lead_Time]] &lt;= Table1[[#This Row],[Standard_Lead_Time]], OR(ISBLANK(J602), J602 = 0)), "OTIF", "Non-OTIF")</f>
        <v>Non-OTIF</v>
      </c>
      <c r="P602">
        <f>IF(Table1[[#This Row],[OTIF_Status]] = "OTIF", 1, 0)</f>
        <v>0</v>
      </c>
      <c r="Q602" s="5">
        <f t="shared" si="37"/>
        <v>95418.38</v>
      </c>
      <c r="R602" s="5">
        <f t="shared" si="38"/>
        <v>94424.260000000009</v>
      </c>
      <c r="S602" s="5">
        <f>Table1[[#This Row],[Total_Line_Spend]]-Table1[[#This Row],[Negotiated_Total]]</f>
        <v>994.11999999999534</v>
      </c>
      <c r="T602" t="str">
        <f xml:space="preserve"> IF(Table1[[#This Row],[Delay_Days]] &gt; 4, "High Risk", IF(Table1[[#This Row],[Delay_Days]] &gt; 0, "Medium Risk", "Low Risk"))</f>
        <v>Low Risk</v>
      </c>
    </row>
    <row r="603" spans="1:20" x14ac:dyDescent="0.25">
      <c r="A603" t="s">
        <v>628</v>
      </c>
      <c r="B603" t="s">
        <v>804</v>
      </c>
      <c r="C603" s="1">
        <v>45275</v>
      </c>
      <c r="D603" s="1">
        <v>45290</v>
      </c>
      <c r="E603" t="s">
        <v>13</v>
      </c>
      <c r="F603" t="s">
        <v>18</v>
      </c>
      <c r="G603">
        <v>1131</v>
      </c>
      <c r="H603" s="5">
        <v>33.35</v>
      </c>
      <c r="I603" s="5">
        <v>31.28</v>
      </c>
      <c r="J603">
        <v>23</v>
      </c>
      <c r="K603" t="s">
        <v>15</v>
      </c>
      <c r="L603">
        <f t="shared" si="39"/>
        <v>15</v>
      </c>
      <c r="M603">
        <v>11</v>
      </c>
      <c r="N603">
        <f t="shared" si="36"/>
        <v>4</v>
      </c>
      <c r="O603" t="str">
        <f xml:space="preserve"> IF(AND(Table1[[#This Row],[Actual_Lead_Time]] &lt;= Table1[[#This Row],[Standard_Lead_Time]], OR(ISBLANK(J603), J603 = 0)), "OTIF", "Non-OTIF")</f>
        <v>Non-OTIF</v>
      </c>
      <c r="P603">
        <f>IF(Table1[[#This Row],[OTIF_Status]] = "OTIF", 1, 0)</f>
        <v>0</v>
      </c>
      <c r="Q603" s="5">
        <f t="shared" si="37"/>
        <v>37718.85</v>
      </c>
      <c r="R603" s="5">
        <f t="shared" si="38"/>
        <v>35377.68</v>
      </c>
      <c r="S603" s="5">
        <f>Table1[[#This Row],[Total_Line_Spend]]-Table1[[#This Row],[Negotiated_Total]]</f>
        <v>2341.1699999999983</v>
      </c>
      <c r="T603" t="str">
        <f xml:space="preserve"> IF(Table1[[#This Row],[Delay_Days]] &gt; 4, "High Risk", IF(Table1[[#This Row],[Delay_Days]] &gt; 0, "Medium Risk", "Low Risk"))</f>
        <v>Medium Risk</v>
      </c>
    </row>
    <row r="604" spans="1:20" x14ac:dyDescent="0.25">
      <c r="A604" t="s">
        <v>629</v>
      </c>
      <c r="B604" t="s">
        <v>804</v>
      </c>
      <c r="C604" s="1">
        <v>44955</v>
      </c>
      <c r="D604" s="1">
        <v>44972</v>
      </c>
      <c r="E604" t="s">
        <v>13</v>
      </c>
      <c r="F604" t="s">
        <v>18</v>
      </c>
      <c r="G604">
        <v>683</v>
      </c>
      <c r="H604" s="5">
        <v>104.82</v>
      </c>
      <c r="I604" s="5">
        <v>101.34</v>
      </c>
      <c r="K604" t="s">
        <v>15</v>
      </c>
      <c r="L604">
        <f t="shared" si="39"/>
        <v>17</v>
      </c>
      <c r="M604">
        <v>11</v>
      </c>
      <c r="N604">
        <f t="shared" si="36"/>
        <v>6</v>
      </c>
      <c r="O604" t="str">
        <f xml:space="preserve"> IF(AND(Table1[[#This Row],[Actual_Lead_Time]] &lt;= Table1[[#This Row],[Standard_Lead_Time]], OR(ISBLANK(J604), J604 = 0)), "OTIF", "Non-OTIF")</f>
        <v>Non-OTIF</v>
      </c>
      <c r="P604">
        <f>IF(Table1[[#This Row],[OTIF_Status]] = "OTIF", 1, 0)</f>
        <v>0</v>
      </c>
      <c r="Q604" s="5">
        <f t="shared" si="37"/>
        <v>71592.06</v>
      </c>
      <c r="R604" s="5">
        <f t="shared" si="38"/>
        <v>69215.22</v>
      </c>
      <c r="S604" s="5">
        <f>Table1[[#This Row],[Total_Line_Spend]]-Table1[[#This Row],[Negotiated_Total]]</f>
        <v>2376.8399999999965</v>
      </c>
      <c r="T604" t="str">
        <f xml:space="preserve"> IF(Table1[[#This Row],[Delay_Days]] &gt; 4, "High Risk", IF(Table1[[#This Row],[Delay_Days]] &gt; 0, "Medium Risk", "Low Risk"))</f>
        <v>High Risk</v>
      </c>
    </row>
    <row r="605" spans="1:20" x14ac:dyDescent="0.25">
      <c r="A605" t="s">
        <v>630</v>
      </c>
      <c r="B605" t="s">
        <v>806</v>
      </c>
      <c r="C605" s="1">
        <v>45068</v>
      </c>
      <c r="D605" s="1">
        <v>45086</v>
      </c>
      <c r="E605" t="s">
        <v>24</v>
      </c>
      <c r="F605" t="s">
        <v>33</v>
      </c>
      <c r="G605">
        <v>562</v>
      </c>
      <c r="H605" s="5">
        <v>102.56</v>
      </c>
      <c r="I605" s="5">
        <v>90.88</v>
      </c>
      <c r="J605">
        <v>38</v>
      </c>
      <c r="K605" t="s">
        <v>15</v>
      </c>
      <c r="L605">
        <f t="shared" si="39"/>
        <v>18</v>
      </c>
      <c r="M605">
        <v>11</v>
      </c>
      <c r="N605">
        <f t="shared" si="36"/>
        <v>7</v>
      </c>
      <c r="O605" t="str">
        <f xml:space="preserve"> IF(AND(Table1[[#This Row],[Actual_Lead_Time]] &lt;= Table1[[#This Row],[Standard_Lead_Time]], OR(ISBLANK(J605), J605 = 0)), "OTIF", "Non-OTIF")</f>
        <v>Non-OTIF</v>
      </c>
      <c r="P605">
        <f>IF(Table1[[#This Row],[OTIF_Status]] = "OTIF", 1, 0)</f>
        <v>0</v>
      </c>
      <c r="Q605" s="5">
        <f t="shared" si="37"/>
        <v>57638.720000000001</v>
      </c>
      <c r="R605" s="5">
        <f t="shared" si="38"/>
        <v>51074.559999999998</v>
      </c>
      <c r="S605" s="5">
        <f>Table1[[#This Row],[Total_Line_Spend]]-Table1[[#This Row],[Negotiated_Total]]</f>
        <v>6564.1600000000035</v>
      </c>
      <c r="T605" t="str">
        <f xml:space="preserve"> IF(Table1[[#This Row],[Delay_Days]] &gt; 4, "High Risk", IF(Table1[[#This Row],[Delay_Days]] &gt; 0, "Medium Risk", "Low Risk"))</f>
        <v>High Risk</v>
      </c>
    </row>
    <row r="606" spans="1:20" x14ac:dyDescent="0.25">
      <c r="A606" t="s">
        <v>631</v>
      </c>
      <c r="B606" t="s">
        <v>804</v>
      </c>
      <c r="C606" s="1">
        <v>44971</v>
      </c>
      <c r="D606" s="1">
        <v>44977</v>
      </c>
      <c r="E606" t="s">
        <v>39</v>
      </c>
      <c r="F606" t="s">
        <v>18</v>
      </c>
      <c r="G606">
        <v>1824</v>
      </c>
      <c r="H606" s="5">
        <v>14.43</v>
      </c>
      <c r="I606" s="5">
        <v>14.11</v>
      </c>
      <c r="J606">
        <v>36</v>
      </c>
      <c r="K606" t="s">
        <v>15</v>
      </c>
      <c r="L606">
        <f t="shared" si="39"/>
        <v>6</v>
      </c>
      <c r="M606">
        <v>11</v>
      </c>
      <c r="N606">
        <f t="shared" si="36"/>
        <v>0</v>
      </c>
      <c r="O606" t="str">
        <f xml:space="preserve"> IF(AND(Table1[[#This Row],[Actual_Lead_Time]] &lt;= Table1[[#This Row],[Standard_Lead_Time]], OR(ISBLANK(J606), J606 = 0)), "OTIF", "Non-OTIF")</f>
        <v>Non-OTIF</v>
      </c>
      <c r="P606">
        <f>IF(Table1[[#This Row],[OTIF_Status]] = "OTIF", 1, 0)</f>
        <v>0</v>
      </c>
      <c r="Q606" s="5">
        <f t="shared" si="37"/>
        <v>26320.32</v>
      </c>
      <c r="R606" s="5">
        <f t="shared" si="38"/>
        <v>25736.639999999999</v>
      </c>
      <c r="S606" s="5">
        <f>Table1[[#This Row],[Total_Line_Spend]]-Table1[[#This Row],[Negotiated_Total]]</f>
        <v>583.68000000000029</v>
      </c>
      <c r="T606" t="str">
        <f xml:space="preserve"> IF(Table1[[#This Row],[Delay_Days]] &gt; 4, "High Risk", IF(Table1[[#This Row],[Delay_Days]] &gt; 0, "Medium Risk", "Low Risk"))</f>
        <v>Low Risk</v>
      </c>
    </row>
    <row r="607" spans="1:20" x14ac:dyDescent="0.25">
      <c r="A607" t="s">
        <v>632</v>
      </c>
      <c r="B607" t="s">
        <v>807</v>
      </c>
      <c r="C607" s="1">
        <v>44811</v>
      </c>
      <c r="D607" s="1">
        <v>44816</v>
      </c>
      <c r="E607" t="s">
        <v>39</v>
      </c>
      <c r="F607" t="s">
        <v>33</v>
      </c>
      <c r="G607">
        <v>851</v>
      </c>
      <c r="H607" s="5">
        <v>76.44</v>
      </c>
      <c r="I607" s="5">
        <v>74.760000000000005</v>
      </c>
      <c r="J607">
        <v>91</v>
      </c>
      <c r="K607" t="s">
        <v>15</v>
      </c>
      <c r="L607">
        <f t="shared" si="39"/>
        <v>5</v>
      </c>
      <c r="M607">
        <v>11</v>
      </c>
      <c r="N607">
        <f t="shared" si="36"/>
        <v>0</v>
      </c>
      <c r="O607" t="str">
        <f xml:space="preserve"> IF(AND(Table1[[#This Row],[Actual_Lead_Time]] &lt;= Table1[[#This Row],[Standard_Lead_Time]], OR(ISBLANK(J607), J607 = 0)), "OTIF", "Non-OTIF")</f>
        <v>Non-OTIF</v>
      </c>
      <c r="P607">
        <f>IF(Table1[[#This Row],[OTIF_Status]] = "OTIF", 1, 0)</f>
        <v>0</v>
      </c>
      <c r="Q607" s="5">
        <f t="shared" si="37"/>
        <v>65050.439999999995</v>
      </c>
      <c r="R607" s="5">
        <f t="shared" si="38"/>
        <v>63620.76</v>
      </c>
      <c r="S607" s="5">
        <f>Table1[[#This Row],[Total_Line_Spend]]-Table1[[#This Row],[Negotiated_Total]]</f>
        <v>1429.679999999993</v>
      </c>
      <c r="T607" t="str">
        <f xml:space="preserve"> IF(Table1[[#This Row],[Delay_Days]] &gt; 4, "High Risk", IF(Table1[[#This Row],[Delay_Days]] &gt; 0, "Medium Risk", "Low Risk"))</f>
        <v>Low Risk</v>
      </c>
    </row>
    <row r="608" spans="1:20" x14ac:dyDescent="0.25">
      <c r="A608" t="s">
        <v>633</v>
      </c>
      <c r="B608" t="s">
        <v>807</v>
      </c>
      <c r="C608" s="1">
        <v>44713</v>
      </c>
      <c r="D608" s="1">
        <v>44715</v>
      </c>
      <c r="E608" t="s">
        <v>13</v>
      </c>
      <c r="F608" t="s">
        <v>18</v>
      </c>
      <c r="G608">
        <v>1169</v>
      </c>
      <c r="H608" s="5">
        <v>95.6</v>
      </c>
      <c r="I608" s="5">
        <v>82.16</v>
      </c>
      <c r="J608">
        <v>103</v>
      </c>
      <c r="K608" t="s">
        <v>15</v>
      </c>
      <c r="L608">
        <f t="shared" si="39"/>
        <v>2</v>
      </c>
      <c r="M608">
        <v>11</v>
      </c>
      <c r="N608">
        <f t="shared" si="36"/>
        <v>0</v>
      </c>
      <c r="O608" t="str">
        <f xml:space="preserve"> IF(AND(Table1[[#This Row],[Actual_Lead_Time]] &lt;= Table1[[#This Row],[Standard_Lead_Time]], OR(ISBLANK(J608), J608 = 0)), "OTIF", "Non-OTIF")</f>
        <v>Non-OTIF</v>
      </c>
      <c r="P608">
        <f>IF(Table1[[#This Row],[OTIF_Status]] = "OTIF", 1, 0)</f>
        <v>0</v>
      </c>
      <c r="Q608" s="5">
        <f t="shared" si="37"/>
        <v>111756.4</v>
      </c>
      <c r="R608" s="5">
        <f t="shared" si="38"/>
        <v>96045.04</v>
      </c>
      <c r="S608" s="5">
        <f>Table1[[#This Row],[Total_Line_Spend]]-Table1[[#This Row],[Negotiated_Total]]</f>
        <v>15711.36</v>
      </c>
      <c r="T608" t="str">
        <f xml:space="preserve"> IF(Table1[[#This Row],[Delay_Days]] &gt; 4, "High Risk", IF(Table1[[#This Row],[Delay_Days]] &gt; 0, "Medium Risk", "Low Risk"))</f>
        <v>Low Risk</v>
      </c>
    </row>
    <row r="609" spans="1:20" x14ac:dyDescent="0.25">
      <c r="A609" t="s">
        <v>634</v>
      </c>
      <c r="B609" t="s">
        <v>808</v>
      </c>
      <c r="C609" s="1">
        <v>45233</v>
      </c>
      <c r="D609" s="1">
        <v>45250</v>
      </c>
      <c r="E609" t="s">
        <v>21</v>
      </c>
      <c r="F609" t="s">
        <v>18</v>
      </c>
      <c r="G609">
        <v>1711</v>
      </c>
      <c r="H609" s="5">
        <v>29.14</v>
      </c>
      <c r="I609" s="5">
        <v>26.35</v>
      </c>
      <c r="J609">
        <v>48</v>
      </c>
      <c r="K609" t="s">
        <v>15</v>
      </c>
      <c r="L609">
        <f t="shared" si="39"/>
        <v>17</v>
      </c>
      <c r="M609">
        <v>11</v>
      </c>
      <c r="N609">
        <f t="shared" si="36"/>
        <v>6</v>
      </c>
      <c r="O609" t="str">
        <f xml:space="preserve"> IF(AND(Table1[[#This Row],[Actual_Lead_Time]] &lt;= Table1[[#This Row],[Standard_Lead_Time]], OR(ISBLANK(J609), J609 = 0)), "OTIF", "Non-OTIF")</f>
        <v>Non-OTIF</v>
      </c>
      <c r="P609">
        <f>IF(Table1[[#This Row],[OTIF_Status]] = "OTIF", 1, 0)</f>
        <v>0</v>
      </c>
      <c r="Q609" s="5">
        <f t="shared" si="37"/>
        <v>49858.54</v>
      </c>
      <c r="R609" s="5">
        <f t="shared" si="38"/>
        <v>45084.850000000006</v>
      </c>
      <c r="S609" s="5">
        <f>Table1[[#This Row],[Total_Line_Spend]]-Table1[[#This Row],[Negotiated_Total]]</f>
        <v>4773.6899999999951</v>
      </c>
      <c r="T609" t="str">
        <f xml:space="preserve"> IF(Table1[[#This Row],[Delay_Days]] &gt; 4, "High Risk", IF(Table1[[#This Row],[Delay_Days]] &gt; 0, "Medium Risk", "Low Risk"))</f>
        <v>High Risk</v>
      </c>
    </row>
    <row r="610" spans="1:20" x14ac:dyDescent="0.25">
      <c r="A610" t="s">
        <v>635</v>
      </c>
      <c r="B610" t="s">
        <v>807</v>
      </c>
      <c r="C610" s="1">
        <v>45266</v>
      </c>
      <c r="D610" s="1">
        <v>45272</v>
      </c>
      <c r="E610" t="s">
        <v>24</v>
      </c>
      <c r="F610" t="s">
        <v>35</v>
      </c>
      <c r="G610">
        <v>1191</v>
      </c>
      <c r="H610" s="5">
        <v>68.14</v>
      </c>
      <c r="I610" s="5">
        <v>61.71</v>
      </c>
      <c r="J610">
        <v>112</v>
      </c>
      <c r="K610" t="s">
        <v>15</v>
      </c>
      <c r="L610">
        <f t="shared" si="39"/>
        <v>6</v>
      </c>
      <c r="M610">
        <v>11</v>
      </c>
      <c r="N610">
        <f t="shared" si="36"/>
        <v>0</v>
      </c>
      <c r="O610" t="str">
        <f xml:space="preserve"> IF(AND(Table1[[#This Row],[Actual_Lead_Time]] &lt;= Table1[[#This Row],[Standard_Lead_Time]], OR(ISBLANK(J610), J610 = 0)), "OTIF", "Non-OTIF")</f>
        <v>Non-OTIF</v>
      </c>
      <c r="P610">
        <f>IF(Table1[[#This Row],[OTIF_Status]] = "OTIF", 1, 0)</f>
        <v>0</v>
      </c>
      <c r="Q610" s="5">
        <f t="shared" si="37"/>
        <v>81154.740000000005</v>
      </c>
      <c r="R610" s="5">
        <f t="shared" si="38"/>
        <v>73496.61</v>
      </c>
      <c r="S610" s="5">
        <f>Table1[[#This Row],[Total_Line_Spend]]-Table1[[#This Row],[Negotiated_Total]]</f>
        <v>7658.1300000000047</v>
      </c>
      <c r="T610" t="str">
        <f xml:space="preserve"> IF(Table1[[#This Row],[Delay_Days]] &gt; 4, "High Risk", IF(Table1[[#This Row],[Delay_Days]] &gt; 0, "Medium Risk", "Low Risk"))</f>
        <v>Low Risk</v>
      </c>
    </row>
    <row r="611" spans="1:20" x14ac:dyDescent="0.25">
      <c r="A611" t="s">
        <v>636</v>
      </c>
      <c r="B611" t="s">
        <v>808</v>
      </c>
      <c r="C611" s="1">
        <v>44567</v>
      </c>
      <c r="D611" s="1">
        <v>44575</v>
      </c>
      <c r="E611" t="s">
        <v>39</v>
      </c>
      <c r="F611" t="s">
        <v>18</v>
      </c>
      <c r="G611">
        <v>609</v>
      </c>
      <c r="H611" s="5">
        <v>92.39</v>
      </c>
      <c r="I611" s="5">
        <v>82.75</v>
      </c>
      <c r="J611">
        <v>29</v>
      </c>
      <c r="K611" t="s">
        <v>15</v>
      </c>
      <c r="L611">
        <f t="shared" si="39"/>
        <v>8</v>
      </c>
      <c r="M611">
        <v>11</v>
      </c>
      <c r="N611">
        <f t="shared" si="36"/>
        <v>0</v>
      </c>
      <c r="O611" t="str">
        <f xml:space="preserve"> IF(AND(Table1[[#This Row],[Actual_Lead_Time]] &lt;= Table1[[#This Row],[Standard_Lead_Time]], OR(ISBLANK(J611), J611 = 0)), "OTIF", "Non-OTIF")</f>
        <v>Non-OTIF</v>
      </c>
      <c r="P611">
        <f>IF(Table1[[#This Row],[OTIF_Status]] = "OTIF", 1, 0)</f>
        <v>0</v>
      </c>
      <c r="Q611" s="5">
        <f t="shared" si="37"/>
        <v>56265.51</v>
      </c>
      <c r="R611" s="5">
        <f t="shared" si="38"/>
        <v>50394.75</v>
      </c>
      <c r="S611" s="5">
        <f>Table1[[#This Row],[Total_Line_Spend]]-Table1[[#This Row],[Negotiated_Total]]</f>
        <v>5870.760000000002</v>
      </c>
      <c r="T611" t="str">
        <f xml:space="preserve"> IF(Table1[[#This Row],[Delay_Days]] &gt; 4, "High Risk", IF(Table1[[#This Row],[Delay_Days]] &gt; 0, "Medium Risk", "Low Risk"))</f>
        <v>Low Risk</v>
      </c>
    </row>
    <row r="612" spans="1:20" x14ac:dyDescent="0.25">
      <c r="A612" t="s">
        <v>637</v>
      </c>
      <c r="B612" t="s">
        <v>807</v>
      </c>
      <c r="C612" s="1">
        <v>44671</v>
      </c>
      <c r="D612" s="1">
        <v>44688</v>
      </c>
      <c r="E612" t="s">
        <v>13</v>
      </c>
      <c r="F612" t="s">
        <v>18</v>
      </c>
      <c r="G612">
        <v>1674</v>
      </c>
      <c r="H612" s="5">
        <v>13.25</v>
      </c>
      <c r="I612" s="5">
        <v>11.77</v>
      </c>
      <c r="J612">
        <v>181</v>
      </c>
      <c r="K612" t="s">
        <v>15</v>
      </c>
      <c r="L612">
        <f t="shared" si="39"/>
        <v>17</v>
      </c>
      <c r="M612">
        <v>11</v>
      </c>
      <c r="N612">
        <f t="shared" si="36"/>
        <v>6</v>
      </c>
      <c r="O612" t="str">
        <f xml:space="preserve"> IF(AND(Table1[[#This Row],[Actual_Lead_Time]] &lt;= Table1[[#This Row],[Standard_Lead_Time]], OR(ISBLANK(J612), J612 = 0)), "OTIF", "Non-OTIF")</f>
        <v>Non-OTIF</v>
      </c>
      <c r="P612">
        <f>IF(Table1[[#This Row],[OTIF_Status]] = "OTIF", 1, 0)</f>
        <v>0</v>
      </c>
      <c r="Q612" s="5">
        <f t="shared" si="37"/>
        <v>22180.5</v>
      </c>
      <c r="R612" s="5">
        <f t="shared" si="38"/>
        <v>19702.98</v>
      </c>
      <c r="S612" s="5">
        <f>Table1[[#This Row],[Total_Line_Spend]]-Table1[[#This Row],[Negotiated_Total]]</f>
        <v>2477.5200000000004</v>
      </c>
      <c r="T612" t="str">
        <f xml:space="preserve"> IF(Table1[[#This Row],[Delay_Days]] &gt; 4, "High Risk", IF(Table1[[#This Row],[Delay_Days]] &gt; 0, "Medium Risk", "Low Risk"))</f>
        <v>High Risk</v>
      </c>
    </row>
    <row r="613" spans="1:20" x14ac:dyDescent="0.25">
      <c r="A613" t="s">
        <v>638</v>
      </c>
      <c r="B613" t="s">
        <v>806</v>
      </c>
      <c r="C613" s="1">
        <v>44997</v>
      </c>
      <c r="D613" s="1">
        <v>45000</v>
      </c>
      <c r="E613" t="s">
        <v>21</v>
      </c>
      <c r="F613" t="s">
        <v>18</v>
      </c>
      <c r="G613">
        <v>537</v>
      </c>
      <c r="H613" s="5">
        <v>77.86</v>
      </c>
      <c r="I613" s="5">
        <v>71.180000000000007</v>
      </c>
      <c r="J613">
        <v>20</v>
      </c>
      <c r="K613" t="s">
        <v>15</v>
      </c>
      <c r="L613">
        <f t="shared" si="39"/>
        <v>3</v>
      </c>
      <c r="M613">
        <v>11</v>
      </c>
      <c r="N613">
        <f t="shared" si="36"/>
        <v>0</v>
      </c>
      <c r="O613" t="str">
        <f xml:space="preserve"> IF(AND(Table1[[#This Row],[Actual_Lead_Time]] &lt;= Table1[[#This Row],[Standard_Lead_Time]], OR(ISBLANK(J613), J613 = 0)), "OTIF", "Non-OTIF")</f>
        <v>Non-OTIF</v>
      </c>
      <c r="P613">
        <f>IF(Table1[[#This Row],[OTIF_Status]] = "OTIF", 1, 0)</f>
        <v>0</v>
      </c>
      <c r="Q613" s="5">
        <f t="shared" si="37"/>
        <v>41810.82</v>
      </c>
      <c r="R613" s="5">
        <f t="shared" si="38"/>
        <v>38223.660000000003</v>
      </c>
      <c r="S613" s="5">
        <f>Table1[[#This Row],[Total_Line_Spend]]-Table1[[#This Row],[Negotiated_Total]]</f>
        <v>3587.1599999999962</v>
      </c>
      <c r="T613" t="str">
        <f xml:space="preserve"> IF(Table1[[#This Row],[Delay_Days]] &gt; 4, "High Risk", IF(Table1[[#This Row],[Delay_Days]] &gt; 0, "Medium Risk", "Low Risk"))</f>
        <v>Low Risk</v>
      </c>
    </row>
    <row r="614" spans="1:20" x14ac:dyDescent="0.25">
      <c r="A614" t="s">
        <v>639</v>
      </c>
      <c r="B614" t="s">
        <v>808</v>
      </c>
      <c r="C614" s="1">
        <v>44786</v>
      </c>
      <c r="D614" s="1">
        <v>44804</v>
      </c>
      <c r="E614" t="s">
        <v>39</v>
      </c>
      <c r="F614" t="s">
        <v>18</v>
      </c>
      <c r="G614">
        <v>1310</v>
      </c>
      <c r="H614" s="5">
        <v>38.049999999999997</v>
      </c>
      <c r="I614" s="5">
        <v>37</v>
      </c>
      <c r="J614">
        <v>45</v>
      </c>
      <c r="K614" t="s">
        <v>15</v>
      </c>
      <c r="L614">
        <f t="shared" si="39"/>
        <v>18</v>
      </c>
      <c r="M614">
        <v>11</v>
      </c>
      <c r="N614">
        <f t="shared" si="36"/>
        <v>7</v>
      </c>
      <c r="O614" t="str">
        <f xml:space="preserve"> IF(AND(Table1[[#This Row],[Actual_Lead_Time]] &lt;= Table1[[#This Row],[Standard_Lead_Time]], OR(ISBLANK(J614), J614 = 0)), "OTIF", "Non-OTIF")</f>
        <v>Non-OTIF</v>
      </c>
      <c r="P614">
        <f>IF(Table1[[#This Row],[OTIF_Status]] = "OTIF", 1, 0)</f>
        <v>0</v>
      </c>
      <c r="Q614" s="5">
        <f t="shared" si="37"/>
        <v>49845.499999999993</v>
      </c>
      <c r="R614" s="5">
        <f t="shared" si="38"/>
        <v>48470</v>
      </c>
      <c r="S614" s="5">
        <f>Table1[[#This Row],[Total_Line_Spend]]-Table1[[#This Row],[Negotiated_Total]]</f>
        <v>1375.4999999999927</v>
      </c>
      <c r="T614" t="str">
        <f xml:space="preserve"> IF(Table1[[#This Row],[Delay_Days]] &gt; 4, "High Risk", IF(Table1[[#This Row],[Delay_Days]] &gt; 0, "Medium Risk", "Low Risk"))</f>
        <v>High Risk</v>
      </c>
    </row>
    <row r="615" spans="1:20" x14ac:dyDescent="0.25">
      <c r="A615" t="s">
        <v>640</v>
      </c>
      <c r="B615" t="s">
        <v>805</v>
      </c>
      <c r="C615" s="1">
        <v>44742</v>
      </c>
      <c r="D615" s="1">
        <v>44752</v>
      </c>
      <c r="E615" t="s">
        <v>26</v>
      </c>
      <c r="F615" t="s">
        <v>18</v>
      </c>
      <c r="G615">
        <v>1958</v>
      </c>
      <c r="H615" s="5">
        <v>95.53</v>
      </c>
      <c r="I615" s="5">
        <v>91.72</v>
      </c>
      <c r="J615">
        <v>308</v>
      </c>
      <c r="K615" t="s">
        <v>15</v>
      </c>
      <c r="L615">
        <f t="shared" si="39"/>
        <v>10</v>
      </c>
      <c r="M615">
        <v>11</v>
      </c>
      <c r="N615">
        <f t="shared" si="36"/>
        <v>0</v>
      </c>
      <c r="O615" t="str">
        <f xml:space="preserve"> IF(AND(Table1[[#This Row],[Actual_Lead_Time]] &lt;= Table1[[#This Row],[Standard_Lead_Time]], OR(ISBLANK(J615), J615 = 0)), "OTIF", "Non-OTIF")</f>
        <v>Non-OTIF</v>
      </c>
      <c r="P615">
        <f>IF(Table1[[#This Row],[OTIF_Status]] = "OTIF", 1, 0)</f>
        <v>0</v>
      </c>
      <c r="Q615" s="5">
        <f t="shared" si="37"/>
        <v>187047.74</v>
      </c>
      <c r="R615" s="5">
        <f t="shared" si="38"/>
        <v>179587.76</v>
      </c>
      <c r="S615" s="5">
        <f>Table1[[#This Row],[Total_Line_Spend]]-Table1[[#This Row],[Negotiated_Total]]</f>
        <v>7459.9799999999814</v>
      </c>
      <c r="T615" t="str">
        <f xml:space="preserve"> IF(Table1[[#This Row],[Delay_Days]] &gt; 4, "High Risk", IF(Table1[[#This Row],[Delay_Days]] &gt; 0, "Medium Risk", "Low Risk"))</f>
        <v>Low Risk</v>
      </c>
    </row>
    <row r="616" spans="1:20" x14ac:dyDescent="0.25">
      <c r="A616" t="s">
        <v>641</v>
      </c>
      <c r="B616" t="s">
        <v>805</v>
      </c>
      <c r="C616" s="1">
        <v>45274</v>
      </c>
      <c r="D616" s="1">
        <v>45277</v>
      </c>
      <c r="E616" t="s">
        <v>13</v>
      </c>
      <c r="F616" t="s">
        <v>18</v>
      </c>
      <c r="G616">
        <v>946</v>
      </c>
      <c r="H616" s="5">
        <v>108.6</v>
      </c>
      <c r="I616" s="5">
        <v>101.78</v>
      </c>
      <c r="J616">
        <v>146</v>
      </c>
      <c r="K616" t="s">
        <v>15</v>
      </c>
      <c r="L616">
        <f t="shared" si="39"/>
        <v>3</v>
      </c>
      <c r="M616">
        <v>11</v>
      </c>
      <c r="N616">
        <f t="shared" si="36"/>
        <v>0</v>
      </c>
      <c r="O616" t="str">
        <f xml:space="preserve"> IF(AND(Table1[[#This Row],[Actual_Lead_Time]] &lt;= Table1[[#This Row],[Standard_Lead_Time]], OR(ISBLANK(J616), J616 = 0)), "OTIF", "Non-OTIF")</f>
        <v>Non-OTIF</v>
      </c>
      <c r="P616">
        <f>IF(Table1[[#This Row],[OTIF_Status]] = "OTIF", 1, 0)</f>
        <v>0</v>
      </c>
      <c r="Q616" s="5">
        <f t="shared" si="37"/>
        <v>102735.59999999999</v>
      </c>
      <c r="R616" s="5">
        <f t="shared" si="38"/>
        <v>96283.88</v>
      </c>
      <c r="S616" s="5">
        <f>Table1[[#This Row],[Total_Line_Spend]]-Table1[[#This Row],[Negotiated_Total]]</f>
        <v>6451.7199999999866</v>
      </c>
      <c r="T616" t="str">
        <f xml:space="preserve"> IF(Table1[[#This Row],[Delay_Days]] &gt; 4, "High Risk", IF(Table1[[#This Row],[Delay_Days]] &gt; 0, "Medium Risk", "Low Risk"))</f>
        <v>Low Risk</v>
      </c>
    </row>
    <row r="617" spans="1:20" x14ac:dyDescent="0.25">
      <c r="A617" t="s">
        <v>642</v>
      </c>
      <c r="B617" t="s">
        <v>807</v>
      </c>
      <c r="C617" s="1">
        <v>45092</v>
      </c>
      <c r="D617" s="1">
        <v>45098</v>
      </c>
      <c r="E617" t="s">
        <v>24</v>
      </c>
      <c r="F617" t="s">
        <v>33</v>
      </c>
      <c r="G617">
        <v>1345</v>
      </c>
      <c r="H617" s="5">
        <v>103.06</v>
      </c>
      <c r="I617" s="5">
        <v>95.14</v>
      </c>
      <c r="K617" t="s">
        <v>15</v>
      </c>
      <c r="L617">
        <f t="shared" si="39"/>
        <v>6</v>
      </c>
      <c r="M617">
        <v>11</v>
      </c>
      <c r="N617">
        <f t="shared" si="36"/>
        <v>0</v>
      </c>
      <c r="O617" t="str">
        <f xml:space="preserve"> IF(AND(Table1[[#This Row],[Actual_Lead_Time]] &lt;= Table1[[#This Row],[Standard_Lead_Time]], OR(ISBLANK(J617), J617 = 0)), "OTIF", "Non-OTIF")</f>
        <v>OTIF</v>
      </c>
      <c r="P617">
        <f>IF(Table1[[#This Row],[OTIF_Status]] = "OTIF", 1, 0)</f>
        <v>1</v>
      </c>
      <c r="Q617" s="5">
        <f t="shared" si="37"/>
        <v>138615.70000000001</v>
      </c>
      <c r="R617" s="5">
        <f t="shared" si="38"/>
        <v>127963.3</v>
      </c>
      <c r="S617" s="5">
        <f>Table1[[#This Row],[Total_Line_Spend]]-Table1[[#This Row],[Negotiated_Total]]</f>
        <v>10652.400000000009</v>
      </c>
      <c r="T617" t="str">
        <f xml:space="preserve"> IF(Table1[[#This Row],[Delay_Days]] &gt; 4, "High Risk", IF(Table1[[#This Row],[Delay_Days]] &gt; 0, "Medium Risk", "Low Risk"))</f>
        <v>Low Risk</v>
      </c>
    </row>
    <row r="618" spans="1:20" x14ac:dyDescent="0.25">
      <c r="A618" t="s">
        <v>643</v>
      </c>
      <c r="B618" t="s">
        <v>805</v>
      </c>
      <c r="C618" s="1">
        <v>45037</v>
      </c>
      <c r="D618" s="1">
        <v>45056</v>
      </c>
      <c r="E618" t="s">
        <v>21</v>
      </c>
      <c r="F618" t="s">
        <v>18</v>
      </c>
      <c r="G618">
        <v>1262</v>
      </c>
      <c r="H618" s="5">
        <v>56.63</v>
      </c>
      <c r="I618" s="5">
        <v>51.46</v>
      </c>
      <c r="K618" t="s">
        <v>27</v>
      </c>
      <c r="L618">
        <f t="shared" si="39"/>
        <v>19</v>
      </c>
      <c r="M618">
        <v>11</v>
      </c>
      <c r="N618">
        <f t="shared" si="36"/>
        <v>8</v>
      </c>
      <c r="O618" t="str">
        <f xml:space="preserve"> IF(AND(Table1[[#This Row],[Actual_Lead_Time]] &lt;= Table1[[#This Row],[Standard_Lead_Time]], OR(ISBLANK(J618), J618 = 0)), "OTIF", "Non-OTIF")</f>
        <v>Non-OTIF</v>
      </c>
      <c r="P618">
        <f>IF(Table1[[#This Row],[OTIF_Status]] = "OTIF", 1, 0)</f>
        <v>0</v>
      </c>
      <c r="Q618" s="5">
        <f t="shared" si="37"/>
        <v>71467.06</v>
      </c>
      <c r="R618" s="5">
        <f t="shared" si="38"/>
        <v>64942.520000000004</v>
      </c>
      <c r="S618" s="5">
        <f>Table1[[#This Row],[Total_Line_Spend]]-Table1[[#This Row],[Negotiated_Total]]</f>
        <v>6524.5399999999936</v>
      </c>
      <c r="T618" t="str">
        <f xml:space="preserve"> IF(Table1[[#This Row],[Delay_Days]] &gt; 4, "High Risk", IF(Table1[[#This Row],[Delay_Days]] &gt; 0, "Medium Risk", "Low Risk"))</f>
        <v>High Risk</v>
      </c>
    </row>
    <row r="619" spans="1:20" x14ac:dyDescent="0.25">
      <c r="A619" t="s">
        <v>644</v>
      </c>
      <c r="B619" t="s">
        <v>807</v>
      </c>
      <c r="C619" s="1">
        <v>44613</v>
      </c>
      <c r="D619" s="1">
        <v>44633</v>
      </c>
      <c r="E619" t="s">
        <v>13</v>
      </c>
      <c r="F619" t="s">
        <v>35</v>
      </c>
      <c r="G619">
        <v>753</v>
      </c>
      <c r="H619" s="5">
        <v>88.02</v>
      </c>
      <c r="I619" s="5">
        <v>79.92</v>
      </c>
      <c r="J619">
        <v>75</v>
      </c>
      <c r="K619" t="s">
        <v>15</v>
      </c>
      <c r="L619">
        <f t="shared" si="39"/>
        <v>20</v>
      </c>
      <c r="M619">
        <v>11</v>
      </c>
      <c r="N619">
        <f t="shared" si="36"/>
        <v>9</v>
      </c>
      <c r="O619" t="str">
        <f xml:space="preserve"> IF(AND(Table1[[#This Row],[Actual_Lead_Time]] &lt;= Table1[[#This Row],[Standard_Lead_Time]], OR(ISBLANK(J619), J619 = 0)), "OTIF", "Non-OTIF")</f>
        <v>Non-OTIF</v>
      </c>
      <c r="P619">
        <f>IF(Table1[[#This Row],[OTIF_Status]] = "OTIF", 1, 0)</f>
        <v>0</v>
      </c>
      <c r="Q619" s="5">
        <f t="shared" si="37"/>
        <v>66279.06</v>
      </c>
      <c r="R619" s="5">
        <f t="shared" si="38"/>
        <v>60179.76</v>
      </c>
      <c r="S619" s="5">
        <f>Table1[[#This Row],[Total_Line_Spend]]-Table1[[#This Row],[Negotiated_Total]]</f>
        <v>6099.2999999999956</v>
      </c>
      <c r="T619" t="str">
        <f xml:space="preserve"> IF(Table1[[#This Row],[Delay_Days]] &gt; 4, "High Risk", IF(Table1[[#This Row],[Delay_Days]] &gt; 0, "Medium Risk", "Low Risk"))</f>
        <v>High Risk</v>
      </c>
    </row>
    <row r="620" spans="1:20" x14ac:dyDescent="0.25">
      <c r="A620" t="s">
        <v>645</v>
      </c>
      <c r="B620" t="s">
        <v>807</v>
      </c>
      <c r="C620" s="1">
        <v>45132</v>
      </c>
      <c r="D620" s="1">
        <v>45152</v>
      </c>
      <c r="E620" t="s">
        <v>39</v>
      </c>
      <c r="F620" t="s">
        <v>18</v>
      </c>
      <c r="G620">
        <v>1520</v>
      </c>
      <c r="H620" s="5">
        <v>93.75</v>
      </c>
      <c r="I620" s="5">
        <v>81.63</v>
      </c>
      <c r="J620">
        <v>149</v>
      </c>
      <c r="K620" t="s">
        <v>15</v>
      </c>
      <c r="L620">
        <f t="shared" si="39"/>
        <v>20</v>
      </c>
      <c r="M620">
        <v>11</v>
      </c>
      <c r="N620">
        <f t="shared" si="36"/>
        <v>9</v>
      </c>
      <c r="O620" t="str">
        <f xml:space="preserve"> IF(AND(Table1[[#This Row],[Actual_Lead_Time]] &lt;= Table1[[#This Row],[Standard_Lead_Time]], OR(ISBLANK(J620), J620 = 0)), "OTIF", "Non-OTIF")</f>
        <v>Non-OTIF</v>
      </c>
      <c r="P620">
        <f>IF(Table1[[#This Row],[OTIF_Status]] = "OTIF", 1, 0)</f>
        <v>0</v>
      </c>
      <c r="Q620" s="5">
        <f t="shared" si="37"/>
        <v>142500</v>
      </c>
      <c r="R620" s="5">
        <f t="shared" si="38"/>
        <v>124077.59999999999</v>
      </c>
      <c r="S620" s="5">
        <f>Table1[[#This Row],[Total_Line_Spend]]-Table1[[#This Row],[Negotiated_Total]]</f>
        <v>18422.400000000009</v>
      </c>
      <c r="T620" t="str">
        <f xml:space="preserve"> IF(Table1[[#This Row],[Delay_Days]] &gt; 4, "High Risk", IF(Table1[[#This Row],[Delay_Days]] &gt; 0, "Medium Risk", "Low Risk"))</f>
        <v>High Risk</v>
      </c>
    </row>
    <row r="621" spans="1:20" x14ac:dyDescent="0.25">
      <c r="A621" t="s">
        <v>646</v>
      </c>
      <c r="B621" t="s">
        <v>805</v>
      </c>
      <c r="C621" s="1">
        <v>44817</v>
      </c>
      <c r="D621" s="1">
        <v>44836</v>
      </c>
      <c r="E621" t="s">
        <v>13</v>
      </c>
      <c r="F621" t="s">
        <v>18</v>
      </c>
      <c r="G621">
        <v>630</v>
      </c>
      <c r="H621" s="5">
        <v>40.270000000000003</v>
      </c>
      <c r="I621" s="5">
        <v>37.54</v>
      </c>
      <c r="J621">
        <v>76</v>
      </c>
      <c r="K621" t="s">
        <v>15</v>
      </c>
      <c r="L621">
        <f t="shared" si="39"/>
        <v>19</v>
      </c>
      <c r="M621">
        <v>11</v>
      </c>
      <c r="N621">
        <f t="shared" si="36"/>
        <v>8</v>
      </c>
      <c r="O621" t="str">
        <f xml:space="preserve"> IF(AND(Table1[[#This Row],[Actual_Lead_Time]] &lt;= Table1[[#This Row],[Standard_Lead_Time]], OR(ISBLANK(J621), J621 = 0)), "OTIF", "Non-OTIF")</f>
        <v>Non-OTIF</v>
      </c>
      <c r="P621">
        <f>IF(Table1[[#This Row],[OTIF_Status]] = "OTIF", 1, 0)</f>
        <v>0</v>
      </c>
      <c r="Q621" s="5">
        <f t="shared" si="37"/>
        <v>25370.100000000002</v>
      </c>
      <c r="R621" s="5">
        <f t="shared" si="38"/>
        <v>23650.2</v>
      </c>
      <c r="S621" s="5">
        <f>Table1[[#This Row],[Total_Line_Spend]]-Table1[[#This Row],[Negotiated_Total]]</f>
        <v>1719.9000000000015</v>
      </c>
      <c r="T621" t="str">
        <f xml:space="preserve"> IF(Table1[[#This Row],[Delay_Days]] &gt; 4, "High Risk", IF(Table1[[#This Row],[Delay_Days]] &gt; 0, "Medium Risk", "Low Risk"))</f>
        <v>High Risk</v>
      </c>
    </row>
    <row r="622" spans="1:20" x14ac:dyDescent="0.25">
      <c r="A622" t="s">
        <v>647</v>
      </c>
      <c r="B622" t="s">
        <v>805</v>
      </c>
      <c r="C622" s="1">
        <v>44686</v>
      </c>
      <c r="D622" s="1">
        <v>44687</v>
      </c>
      <c r="E622" t="s">
        <v>13</v>
      </c>
      <c r="F622" t="s">
        <v>18</v>
      </c>
      <c r="G622">
        <v>839</v>
      </c>
      <c r="H622" s="5">
        <v>86.29</v>
      </c>
      <c r="I622" s="5">
        <v>82.51</v>
      </c>
      <c r="J622">
        <v>110</v>
      </c>
      <c r="K622" t="s">
        <v>15</v>
      </c>
      <c r="L622">
        <f t="shared" si="39"/>
        <v>1</v>
      </c>
      <c r="M622">
        <v>11</v>
      </c>
      <c r="N622">
        <f t="shared" si="36"/>
        <v>0</v>
      </c>
      <c r="O622" t="str">
        <f xml:space="preserve"> IF(AND(Table1[[#This Row],[Actual_Lead_Time]] &lt;= Table1[[#This Row],[Standard_Lead_Time]], OR(ISBLANK(J622), J622 = 0)), "OTIF", "Non-OTIF")</f>
        <v>Non-OTIF</v>
      </c>
      <c r="P622">
        <f>IF(Table1[[#This Row],[OTIF_Status]] = "OTIF", 1, 0)</f>
        <v>0</v>
      </c>
      <c r="Q622" s="5">
        <f t="shared" si="37"/>
        <v>72397.310000000012</v>
      </c>
      <c r="R622" s="5">
        <f t="shared" si="38"/>
        <v>69225.89</v>
      </c>
      <c r="S622" s="5">
        <f>Table1[[#This Row],[Total_Line_Spend]]-Table1[[#This Row],[Negotiated_Total]]</f>
        <v>3171.4200000000128</v>
      </c>
      <c r="T622" t="str">
        <f xml:space="preserve"> IF(Table1[[#This Row],[Delay_Days]] &gt; 4, "High Risk", IF(Table1[[#This Row],[Delay_Days]] &gt; 0, "Medium Risk", "Low Risk"))</f>
        <v>Low Risk</v>
      </c>
    </row>
    <row r="623" spans="1:20" x14ac:dyDescent="0.25">
      <c r="A623" t="s">
        <v>648</v>
      </c>
      <c r="B623" t="s">
        <v>804</v>
      </c>
      <c r="C623" s="1">
        <v>45029</v>
      </c>
      <c r="D623" s="1">
        <v>45048</v>
      </c>
      <c r="E623" t="s">
        <v>39</v>
      </c>
      <c r="F623" t="s">
        <v>18</v>
      </c>
      <c r="G623">
        <v>910</v>
      </c>
      <c r="H623" s="5">
        <v>14.33</v>
      </c>
      <c r="I623" s="5">
        <v>14.07</v>
      </c>
      <c r="J623">
        <v>27</v>
      </c>
      <c r="K623" t="s">
        <v>15</v>
      </c>
      <c r="L623">
        <f t="shared" si="39"/>
        <v>19</v>
      </c>
      <c r="M623">
        <v>11</v>
      </c>
      <c r="N623">
        <f t="shared" si="36"/>
        <v>8</v>
      </c>
      <c r="O623" t="str">
        <f xml:space="preserve"> IF(AND(Table1[[#This Row],[Actual_Lead_Time]] &lt;= Table1[[#This Row],[Standard_Lead_Time]], OR(ISBLANK(J623), J623 = 0)), "OTIF", "Non-OTIF")</f>
        <v>Non-OTIF</v>
      </c>
      <c r="P623">
        <f>IF(Table1[[#This Row],[OTIF_Status]] = "OTIF", 1, 0)</f>
        <v>0</v>
      </c>
      <c r="Q623" s="5">
        <f t="shared" si="37"/>
        <v>13040.3</v>
      </c>
      <c r="R623" s="5">
        <f t="shared" si="38"/>
        <v>12803.7</v>
      </c>
      <c r="S623" s="5">
        <f>Table1[[#This Row],[Total_Line_Spend]]-Table1[[#This Row],[Negotiated_Total]]</f>
        <v>236.59999999999854</v>
      </c>
      <c r="T623" t="str">
        <f xml:space="preserve"> IF(Table1[[#This Row],[Delay_Days]] &gt; 4, "High Risk", IF(Table1[[#This Row],[Delay_Days]] &gt; 0, "Medium Risk", "Low Risk"))</f>
        <v>High Risk</v>
      </c>
    </row>
    <row r="624" spans="1:20" x14ac:dyDescent="0.25">
      <c r="A624" t="s">
        <v>649</v>
      </c>
      <c r="B624" t="s">
        <v>808</v>
      </c>
      <c r="C624" s="1">
        <v>44698</v>
      </c>
      <c r="D624" s="1">
        <v>44705</v>
      </c>
      <c r="E624" t="s">
        <v>26</v>
      </c>
      <c r="F624" t="s">
        <v>18</v>
      </c>
      <c r="G624">
        <v>296</v>
      </c>
      <c r="H624" s="5">
        <v>64.94</v>
      </c>
      <c r="I624" s="5">
        <v>63.61</v>
      </c>
      <c r="K624" t="s">
        <v>15</v>
      </c>
      <c r="L624">
        <f t="shared" si="39"/>
        <v>7</v>
      </c>
      <c r="M624">
        <v>11</v>
      </c>
      <c r="N624">
        <f t="shared" si="36"/>
        <v>0</v>
      </c>
      <c r="O624" t="str">
        <f xml:space="preserve"> IF(AND(Table1[[#This Row],[Actual_Lead_Time]] &lt;= Table1[[#This Row],[Standard_Lead_Time]], OR(ISBLANK(J624), J624 = 0)), "OTIF", "Non-OTIF")</f>
        <v>OTIF</v>
      </c>
      <c r="P624">
        <f>IF(Table1[[#This Row],[OTIF_Status]] = "OTIF", 1, 0)</f>
        <v>1</v>
      </c>
      <c r="Q624" s="5">
        <f t="shared" si="37"/>
        <v>19222.239999999998</v>
      </c>
      <c r="R624" s="5">
        <f t="shared" si="38"/>
        <v>18828.560000000001</v>
      </c>
      <c r="S624" s="5">
        <f>Table1[[#This Row],[Total_Line_Spend]]-Table1[[#This Row],[Negotiated_Total]]</f>
        <v>393.67999999999665</v>
      </c>
      <c r="T624" t="str">
        <f xml:space="preserve"> IF(Table1[[#This Row],[Delay_Days]] &gt; 4, "High Risk", IF(Table1[[#This Row],[Delay_Days]] &gt; 0, "Medium Risk", "Low Risk"))</f>
        <v>Low Risk</v>
      </c>
    </row>
    <row r="625" spans="1:20" x14ac:dyDescent="0.25">
      <c r="A625" t="s">
        <v>650</v>
      </c>
      <c r="B625" t="s">
        <v>807</v>
      </c>
      <c r="C625" s="1">
        <v>45037</v>
      </c>
      <c r="D625" s="1">
        <v>45051</v>
      </c>
      <c r="E625" t="s">
        <v>21</v>
      </c>
      <c r="F625" t="s">
        <v>18</v>
      </c>
      <c r="G625">
        <v>1149</v>
      </c>
      <c r="H625" s="5">
        <v>33</v>
      </c>
      <c r="I625" s="5">
        <v>30.65</v>
      </c>
      <c r="J625">
        <v>141</v>
      </c>
      <c r="K625" t="s">
        <v>15</v>
      </c>
      <c r="L625">
        <f t="shared" si="39"/>
        <v>14</v>
      </c>
      <c r="M625">
        <v>11</v>
      </c>
      <c r="N625">
        <f t="shared" si="36"/>
        <v>3</v>
      </c>
      <c r="O625" t="str">
        <f xml:space="preserve"> IF(AND(Table1[[#This Row],[Actual_Lead_Time]] &lt;= Table1[[#This Row],[Standard_Lead_Time]], OR(ISBLANK(J625), J625 = 0)), "OTIF", "Non-OTIF")</f>
        <v>Non-OTIF</v>
      </c>
      <c r="P625">
        <f>IF(Table1[[#This Row],[OTIF_Status]] = "OTIF", 1, 0)</f>
        <v>0</v>
      </c>
      <c r="Q625" s="5">
        <f t="shared" si="37"/>
        <v>37917</v>
      </c>
      <c r="R625" s="5">
        <f t="shared" si="38"/>
        <v>35216.85</v>
      </c>
      <c r="S625" s="5">
        <f>Table1[[#This Row],[Total_Line_Spend]]-Table1[[#This Row],[Negotiated_Total]]</f>
        <v>2700.1500000000015</v>
      </c>
      <c r="T625" t="str">
        <f xml:space="preserve"> IF(Table1[[#This Row],[Delay_Days]] &gt; 4, "High Risk", IF(Table1[[#This Row],[Delay_Days]] &gt; 0, "Medium Risk", "Low Risk"))</f>
        <v>Medium Risk</v>
      </c>
    </row>
    <row r="626" spans="1:20" x14ac:dyDescent="0.25">
      <c r="A626" t="s">
        <v>651</v>
      </c>
      <c r="B626" t="s">
        <v>805</v>
      </c>
      <c r="C626" s="1">
        <v>45245</v>
      </c>
      <c r="D626" s="1">
        <v>45246</v>
      </c>
      <c r="E626" t="s">
        <v>39</v>
      </c>
      <c r="F626" t="s">
        <v>18</v>
      </c>
      <c r="G626">
        <v>203</v>
      </c>
      <c r="H626" s="5">
        <v>23.14</v>
      </c>
      <c r="I626" s="5">
        <v>20</v>
      </c>
      <c r="K626" t="s">
        <v>27</v>
      </c>
      <c r="L626">
        <f t="shared" si="39"/>
        <v>1</v>
      </c>
      <c r="M626">
        <v>11</v>
      </c>
      <c r="N626">
        <f t="shared" si="36"/>
        <v>0</v>
      </c>
      <c r="O626" t="str">
        <f xml:space="preserve"> IF(AND(Table1[[#This Row],[Actual_Lead_Time]] &lt;= Table1[[#This Row],[Standard_Lead_Time]], OR(ISBLANK(J626), J626 = 0)), "OTIF", "Non-OTIF")</f>
        <v>OTIF</v>
      </c>
      <c r="P626">
        <f>IF(Table1[[#This Row],[OTIF_Status]] = "OTIF", 1, 0)</f>
        <v>1</v>
      </c>
      <c r="Q626" s="5">
        <f t="shared" si="37"/>
        <v>4697.42</v>
      </c>
      <c r="R626" s="5">
        <f t="shared" si="38"/>
        <v>4060</v>
      </c>
      <c r="S626" s="5">
        <f>Table1[[#This Row],[Total_Line_Spend]]-Table1[[#This Row],[Negotiated_Total]]</f>
        <v>637.42000000000007</v>
      </c>
      <c r="T626" t="str">
        <f xml:space="preserve"> IF(Table1[[#This Row],[Delay_Days]] &gt; 4, "High Risk", IF(Table1[[#This Row],[Delay_Days]] &gt; 0, "Medium Risk", "Low Risk"))</f>
        <v>Low Risk</v>
      </c>
    </row>
    <row r="627" spans="1:20" x14ac:dyDescent="0.25">
      <c r="A627" t="s">
        <v>652</v>
      </c>
      <c r="B627" t="s">
        <v>808</v>
      </c>
      <c r="C627" s="1">
        <v>45105</v>
      </c>
      <c r="D627" s="1">
        <v>45123</v>
      </c>
      <c r="E627" t="s">
        <v>13</v>
      </c>
      <c r="F627" t="s">
        <v>18</v>
      </c>
      <c r="G627">
        <v>1729</v>
      </c>
      <c r="H627" s="5">
        <v>18.36</v>
      </c>
      <c r="I627" s="5">
        <v>16.34</v>
      </c>
      <c r="J627">
        <v>47</v>
      </c>
      <c r="K627" t="s">
        <v>15</v>
      </c>
      <c r="L627">
        <f t="shared" si="39"/>
        <v>18</v>
      </c>
      <c r="M627">
        <v>11</v>
      </c>
      <c r="N627">
        <f t="shared" si="36"/>
        <v>7</v>
      </c>
      <c r="O627" t="str">
        <f xml:space="preserve"> IF(AND(Table1[[#This Row],[Actual_Lead_Time]] &lt;= Table1[[#This Row],[Standard_Lead_Time]], OR(ISBLANK(J627), J627 = 0)), "OTIF", "Non-OTIF")</f>
        <v>Non-OTIF</v>
      </c>
      <c r="P627">
        <f>IF(Table1[[#This Row],[OTIF_Status]] = "OTIF", 1, 0)</f>
        <v>0</v>
      </c>
      <c r="Q627" s="5">
        <f t="shared" si="37"/>
        <v>31744.44</v>
      </c>
      <c r="R627" s="5">
        <f t="shared" si="38"/>
        <v>28251.86</v>
      </c>
      <c r="S627" s="5">
        <f>Table1[[#This Row],[Total_Line_Spend]]-Table1[[#This Row],[Negotiated_Total]]</f>
        <v>3492.5799999999981</v>
      </c>
      <c r="T627" t="str">
        <f xml:space="preserve"> IF(Table1[[#This Row],[Delay_Days]] &gt; 4, "High Risk", IF(Table1[[#This Row],[Delay_Days]] &gt; 0, "Medium Risk", "Low Risk"))</f>
        <v>High Risk</v>
      </c>
    </row>
    <row r="628" spans="1:20" x14ac:dyDescent="0.25">
      <c r="A628" t="s">
        <v>653</v>
      </c>
      <c r="B628" t="s">
        <v>805</v>
      </c>
      <c r="C628" s="1">
        <v>45134</v>
      </c>
      <c r="D628" s="1">
        <v>45144</v>
      </c>
      <c r="E628" t="s">
        <v>13</v>
      </c>
      <c r="F628" t="s">
        <v>18</v>
      </c>
      <c r="G628">
        <v>1508</v>
      </c>
      <c r="H628" s="5">
        <v>79.209999999999994</v>
      </c>
      <c r="I628" s="5">
        <v>73.27</v>
      </c>
      <c r="J628">
        <v>226</v>
      </c>
      <c r="K628" t="s">
        <v>15</v>
      </c>
      <c r="L628">
        <f t="shared" si="39"/>
        <v>10</v>
      </c>
      <c r="M628">
        <v>11</v>
      </c>
      <c r="N628">
        <f t="shared" si="36"/>
        <v>0</v>
      </c>
      <c r="O628" t="str">
        <f xml:space="preserve"> IF(AND(Table1[[#This Row],[Actual_Lead_Time]] &lt;= Table1[[#This Row],[Standard_Lead_Time]], OR(ISBLANK(J628), J628 = 0)), "OTIF", "Non-OTIF")</f>
        <v>Non-OTIF</v>
      </c>
      <c r="P628">
        <f>IF(Table1[[#This Row],[OTIF_Status]] = "OTIF", 1, 0)</f>
        <v>0</v>
      </c>
      <c r="Q628" s="5">
        <f t="shared" si="37"/>
        <v>119448.68</v>
      </c>
      <c r="R628" s="5">
        <f t="shared" si="38"/>
        <v>110491.15999999999</v>
      </c>
      <c r="S628" s="5">
        <f>Table1[[#This Row],[Total_Line_Spend]]-Table1[[#This Row],[Negotiated_Total]]</f>
        <v>8957.5200000000041</v>
      </c>
      <c r="T628" t="str">
        <f xml:space="preserve"> IF(Table1[[#This Row],[Delay_Days]] &gt; 4, "High Risk", IF(Table1[[#This Row],[Delay_Days]] &gt; 0, "Medium Risk", "Low Risk"))</f>
        <v>Low Risk</v>
      </c>
    </row>
    <row r="629" spans="1:20" x14ac:dyDescent="0.25">
      <c r="A629" t="s">
        <v>654</v>
      </c>
      <c r="B629" t="s">
        <v>805</v>
      </c>
      <c r="C629" s="1">
        <v>45171</v>
      </c>
      <c r="D629" s="1">
        <v>45184</v>
      </c>
      <c r="E629" t="s">
        <v>24</v>
      </c>
      <c r="F629" t="s">
        <v>33</v>
      </c>
      <c r="G629">
        <v>1046</v>
      </c>
      <c r="H629" s="5">
        <v>44.65</v>
      </c>
      <c r="I629" s="5">
        <v>40.1</v>
      </c>
      <c r="J629">
        <v>165</v>
      </c>
      <c r="K629" t="s">
        <v>27</v>
      </c>
      <c r="L629">
        <f t="shared" si="39"/>
        <v>13</v>
      </c>
      <c r="M629">
        <v>11</v>
      </c>
      <c r="N629">
        <f t="shared" si="36"/>
        <v>2</v>
      </c>
      <c r="O629" t="str">
        <f xml:space="preserve"> IF(AND(Table1[[#This Row],[Actual_Lead_Time]] &lt;= Table1[[#This Row],[Standard_Lead_Time]], OR(ISBLANK(J629), J629 = 0)), "OTIF", "Non-OTIF")</f>
        <v>Non-OTIF</v>
      </c>
      <c r="P629">
        <f>IF(Table1[[#This Row],[OTIF_Status]] = "OTIF", 1, 0)</f>
        <v>0</v>
      </c>
      <c r="Q629" s="5">
        <f t="shared" si="37"/>
        <v>46703.9</v>
      </c>
      <c r="R629" s="5">
        <f t="shared" si="38"/>
        <v>41944.6</v>
      </c>
      <c r="S629" s="5">
        <f>Table1[[#This Row],[Total_Line_Spend]]-Table1[[#This Row],[Negotiated_Total]]</f>
        <v>4759.3000000000029</v>
      </c>
      <c r="T629" t="str">
        <f xml:space="preserve"> IF(Table1[[#This Row],[Delay_Days]] &gt; 4, "High Risk", IF(Table1[[#This Row],[Delay_Days]] &gt; 0, "Medium Risk", "Low Risk"))</f>
        <v>Medium Risk</v>
      </c>
    </row>
    <row r="630" spans="1:20" x14ac:dyDescent="0.25">
      <c r="A630" t="s">
        <v>655</v>
      </c>
      <c r="B630" t="s">
        <v>804</v>
      </c>
      <c r="C630" s="1">
        <v>44886</v>
      </c>
      <c r="D630" s="1">
        <v>44889</v>
      </c>
      <c r="E630" t="s">
        <v>13</v>
      </c>
      <c r="F630" t="s">
        <v>18</v>
      </c>
      <c r="G630">
        <v>1159</v>
      </c>
      <c r="H630" s="5">
        <v>78.989999999999995</v>
      </c>
      <c r="I630" s="5">
        <v>71.69</v>
      </c>
      <c r="J630">
        <v>14</v>
      </c>
      <c r="K630" t="s">
        <v>15</v>
      </c>
      <c r="L630">
        <f t="shared" si="39"/>
        <v>3</v>
      </c>
      <c r="M630">
        <v>11</v>
      </c>
      <c r="N630">
        <f t="shared" si="36"/>
        <v>0</v>
      </c>
      <c r="O630" t="str">
        <f xml:space="preserve"> IF(AND(Table1[[#This Row],[Actual_Lead_Time]] &lt;= Table1[[#This Row],[Standard_Lead_Time]], OR(ISBLANK(J630), J630 = 0)), "OTIF", "Non-OTIF")</f>
        <v>Non-OTIF</v>
      </c>
      <c r="P630">
        <f>IF(Table1[[#This Row],[OTIF_Status]] = "OTIF", 1, 0)</f>
        <v>0</v>
      </c>
      <c r="Q630" s="5">
        <f t="shared" si="37"/>
        <v>91549.409999999989</v>
      </c>
      <c r="R630" s="5">
        <f t="shared" si="38"/>
        <v>83088.709999999992</v>
      </c>
      <c r="S630" s="5">
        <f>Table1[[#This Row],[Total_Line_Spend]]-Table1[[#This Row],[Negotiated_Total]]</f>
        <v>8460.6999999999971</v>
      </c>
      <c r="T630" t="str">
        <f xml:space="preserve"> IF(Table1[[#This Row],[Delay_Days]] &gt; 4, "High Risk", IF(Table1[[#This Row],[Delay_Days]] &gt; 0, "Medium Risk", "Low Risk"))</f>
        <v>Low Risk</v>
      </c>
    </row>
    <row r="631" spans="1:20" x14ac:dyDescent="0.25">
      <c r="A631" t="s">
        <v>656</v>
      </c>
      <c r="B631" t="s">
        <v>807</v>
      </c>
      <c r="C631" s="1">
        <v>45015</v>
      </c>
      <c r="D631" s="1">
        <v>45021</v>
      </c>
      <c r="E631" t="s">
        <v>39</v>
      </c>
      <c r="F631" t="s">
        <v>18</v>
      </c>
      <c r="G631">
        <v>746</v>
      </c>
      <c r="H631" s="5">
        <v>16.989999999999998</v>
      </c>
      <c r="I631" s="5">
        <v>15.35</v>
      </c>
      <c r="J631">
        <v>69</v>
      </c>
      <c r="K631" t="s">
        <v>27</v>
      </c>
      <c r="L631">
        <f t="shared" si="39"/>
        <v>6</v>
      </c>
      <c r="M631">
        <v>11</v>
      </c>
      <c r="N631">
        <f t="shared" si="36"/>
        <v>0</v>
      </c>
      <c r="O631" t="str">
        <f xml:space="preserve"> IF(AND(Table1[[#This Row],[Actual_Lead_Time]] &lt;= Table1[[#This Row],[Standard_Lead_Time]], OR(ISBLANK(J631), J631 = 0)), "OTIF", "Non-OTIF")</f>
        <v>Non-OTIF</v>
      </c>
      <c r="P631">
        <f>IF(Table1[[#This Row],[OTIF_Status]] = "OTIF", 1, 0)</f>
        <v>0</v>
      </c>
      <c r="Q631" s="5">
        <f t="shared" si="37"/>
        <v>12674.539999999999</v>
      </c>
      <c r="R631" s="5">
        <f t="shared" si="38"/>
        <v>11451.1</v>
      </c>
      <c r="S631" s="5">
        <f>Table1[[#This Row],[Total_Line_Spend]]-Table1[[#This Row],[Negotiated_Total]]</f>
        <v>1223.4399999999987</v>
      </c>
      <c r="T631" t="str">
        <f xml:space="preserve"> IF(Table1[[#This Row],[Delay_Days]] &gt; 4, "High Risk", IF(Table1[[#This Row],[Delay_Days]] &gt; 0, "Medium Risk", "Low Risk"))</f>
        <v>Low Risk</v>
      </c>
    </row>
    <row r="632" spans="1:20" x14ac:dyDescent="0.25">
      <c r="A632" t="s">
        <v>657</v>
      </c>
      <c r="B632" t="s">
        <v>807</v>
      </c>
      <c r="C632" s="1">
        <v>45189</v>
      </c>
      <c r="D632" s="1">
        <v>45205</v>
      </c>
      <c r="E632" t="s">
        <v>24</v>
      </c>
      <c r="F632" t="s">
        <v>18</v>
      </c>
      <c r="G632">
        <v>1358</v>
      </c>
      <c r="H632" s="5">
        <v>42.21</v>
      </c>
      <c r="I632" s="5">
        <v>38.75</v>
      </c>
      <c r="J632">
        <v>128</v>
      </c>
      <c r="K632" t="s">
        <v>15</v>
      </c>
      <c r="L632">
        <f t="shared" si="39"/>
        <v>16</v>
      </c>
      <c r="M632">
        <v>11</v>
      </c>
      <c r="N632">
        <f t="shared" si="36"/>
        <v>5</v>
      </c>
      <c r="O632" t="str">
        <f xml:space="preserve"> IF(AND(Table1[[#This Row],[Actual_Lead_Time]] &lt;= Table1[[#This Row],[Standard_Lead_Time]], OR(ISBLANK(J632), J632 = 0)), "OTIF", "Non-OTIF")</f>
        <v>Non-OTIF</v>
      </c>
      <c r="P632">
        <f>IF(Table1[[#This Row],[OTIF_Status]] = "OTIF", 1, 0)</f>
        <v>0</v>
      </c>
      <c r="Q632" s="5">
        <f t="shared" si="37"/>
        <v>57321.18</v>
      </c>
      <c r="R632" s="5">
        <f t="shared" si="38"/>
        <v>52622.5</v>
      </c>
      <c r="S632" s="5">
        <f>Table1[[#This Row],[Total_Line_Spend]]-Table1[[#This Row],[Negotiated_Total]]</f>
        <v>4698.68</v>
      </c>
      <c r="T632" t="str">
        <f xml:space="preserve"> IF(Table1[[#This Row],[Delay_Days]] &gt; 4, "High Risk", IF(Table1[[#This Row],[Delay_Days]] &gt; 0, "Medium Risk", "Low Risk"))</f>
        <v>High Risk</v>
      </c>
    </row>
    <row r="633" spans="1:20" x14ac:dyDescent="0.25">
      <c r="A633" t="s">
        <v>658</v>
      </c>
      <c r="B633" t="s">
        <v>806</v>
      </c>
      <c r="C633" s="1">
        <v>45078</v>
      </c>
      <c r="D633" s="1">
        <v>45089</v>
      </c>
      <c r="E633" t="s">
        <v>13</v>
      </c>
      <c r="F633" t="s">
        <v>18</v>
      </c>
      <c r="G633">
        <v>1293</v>
      </c>
      <c r="H633" s="5">
        <v>63.53</v>
      </c>
      <c r="I633" s="5">
        <v>59.42</v>
      </c>
      <c r="J633">
        <v>79</v>
      </c>
      <c r="K633" t="s">
        <v>15</v>
      </c>
      <c r="L633">
        <f t="shared" si="39"/>
        <v>11</v>
      </c>
      <c r="M633">
        <v>11</v>
      </c>
      <c r="N633">
        <f t="shared" si="36"/>
        <v>0</v>
      </c>
      <c r="O633" t="str">
        <f xml:space="preserve"> IF(AND(Table1[[#This Row],[Actual_Lead_Time]] &lt;= Table1[[#This Row],[Standard_Lead_Time]], OR(ISBLANK(J633), J633 = 0)), "OTIF", "Non-OTIF")</f>
        <v>Non-OTIF</v>
      </c>
      <c r="P633">
        <f>IF(Table1[[#This Row],[OTIF_Status]] = "OTIF", 1, 0)</f>
        <v>0</v>
      </c>
      <c r="Q633" s="5">
        <f t="shared" si="37"/>
        <v>82144.290000000008</v>
      </c>
      <c r="R633" s="5">
        <f t="shared" si="38"/>
        <v>76830.06</v>
      </c>
      <c r="S633" s="5">
        <f>Table1[[#This Row],[Total_Line_Spend]]-Table1[[#This Row],[Negotiated_Total]]</f>
        <v>5314.2300000000105</v>
      </c>
      <c r="T633" t="str">
        <f xml:space="preserve"> IF(Table1[[#This Row],[Delay_Days]] &gt; 4, "High Risk", IF(Table1[[#This Row],[Delay_Days]] &gt; 0, "Medium Risk", "Low Risk"))</f>
        <v>Low Risk</v>
      </c>
    </row>
    <row r="634" spans="1:20" x14ac:dyDescent="0.25">
      <c r="A634" t="s">
        <v>659</v>
      </c>
      <c r="B634" t="s">
        <v>804</v>
      </c>
      <c r="C634" s="1">
        <v>44998</v>
      </c>
      <c r="D634" s="1">
        <v>45009</v>
      </c>
      <c r="E634" t="s">
        <v>39</v>
      </c>
      <c r="F634" t="s">
        <v>18</v>
      </c>
      <c r="G634">
        <v>1142</v>
      </c>
      <c r="H634" s="5">
        <v>86.85</v>
      </c>
      <c r="I634" s="5">
        <v>74.28</v>
      </c>
      <c r="J634">
        <v>30</v>
      </c>
      <c r="K634" t="s">
        <v>15</v>
      </c>
      <c r="L634">
        <f t="shared" si="39"/>
        <v>11</v>
      </c>
      <c r="M634">
        <v>11</v>
      </c>
      <c r="N634">
        <f t="shared" si="36"/>
        <v>0</v>
      </c>
      <c r="O634" t="str">
        <f xml:space="preserve"> IF(AND(Table1[[#This Row],[Actual_Lead_Time]] &lt;= Table1[[#This Row],[Standard_Lead_Time]], OR(ISBLANK(J634), J634 = 0)), "OTIF", "Non-OTIF")</f>
        <v>Non-OTIF</v>
      </c>
      <c r="P634">
        <f>IF(Table1[[#This Row],[OTIF_Status]] = "OTIF", 1, 0)</f>
        <v>0</v>
      </c>
      <c r="Q634" s="5">
        <f t="shared" si="37"/>
        <v>99182.7</v>
      </c>
      <c r="R634" s="5">
        <f t="shared" si="38"/>
        <v>84827.76</v>
      </c>
      <c r="S634" s="5">
        <f>Table1[[#This Row],[Total_Line_Spend]]-Table1[[#This Row],[Negotiated_Total]]</f>
        <v>14354.940000000002</v>
      </c>
      <c r="T634" t="str">
        <f xml:space="preserve"> IF(Table1[[#This Row],[Delay_Days]] &gt; 4, "High Risk", IF(Table1[[#This Row],[Delay_Days]] &gt; 0, "Medium Risk", "Low Risk"))</f>
        <v>Low Risk</v>
      </c>
    </row>
    <row r="635" spans="1:20" x14ac:dyDescent="0.25">
      <c r="A635" t="s">
        <v>660</v>
      </c>
      <c r="B635" t="s">
        <v>808</v>
      </c>
      <c r="C635" s="1">
        <v>45123</v>
      </c>
      <c r="D635" s="1">
        <v>45134</v>
      </c>
      <c r="E635" t="s">
        <v>21</v>
      </c>
      <c r="F635" t="s">
        <v>18</v>
      </c>
      <c r="G635">
        <v>1120</v>
      </c>
      <c r="H635" s="5">
        <v>42.17</v>
      </c>
      <c r="I635" s="5">
        <v>37.47</v>
      </c>
      <c r="J635">
        <v>33</v>
      </c>
      <c r="K635" t="s">
        <v>15</v>
      </c>
      <c r="L635">
        <f t="shared" si="39"/>
        <v>11</v>
      </c>
      <c r="M635">
        <v>11</v>
      </c>
      <c r="N635">
        <f t="shared" si="36"/>
        <v>0</v>
      </c>
      <c r="O635" t="str">
        <f xml:space="preserve"> IF(AND(Table1[[#This Row],[Actual_Lead_Time]] &lt;= Table1[[#This Row],[Standard_Lead_Time]], OR(ISBLANK(J635), J635 = 0)), "OTIF", "Non-OTIF")</f>
        <v>Non-OTIF</v>
      </c>
      <c r="P635">
        <f>IF(Table1[[#This Row],[OTIF_Status]] = "OTIF", 1, 0)</f>
        <v>0</v>
      </c>
      <c r="Q635" s="5">
        <f t="shared" si="37"/>
        <v>47230.400000000001</v>
      </c>
      <c r="R635" s="5">
        <f t="shared" si="38"/>
        <v>41966.400000000001</v>
      </c>
      <c r="S635" s="5">
        <f>Table1[[#This Row],[Total_Line_Spend]]-Table1[[#This Row],[Negotiated_Total]]</f>
        <v>5264</v>
      </c>
      <c r="T635" t="str">
        <f xml:space="preserve"> IF(Table1[[#This Row],[Delay_Days]] &gt; 4, "High Risk", IF(Table1[[#This Row],[Delay_Days]] &gt; 0, "Medium Risk", "Low Risk"))</f>
        <v>Low Risk</v>
      </c>
    </row>
    <row r="636" spans="1:20" x14ac:dyDescent="0.25">
      <c r="A636" t="s">
        <v>661</v>
      </c>
      <c r="B636" t="s">
        <v>804</v>
      </c>
      <c r="C636" s="1">
        <v>45018</v>
      </c>
      <c r="D636" s="1">
        <v>45030</v>
      </c>
      <c r="E636" t="s">
        <v>21</v>
      </c>
      <c r="F636" t="s">
        <v>18</v>
      </c>
      <c r="G636">
        <v>1058</v>
      </c>
      <c r="H636" s="5">
        <v>71.3</v>
      </c>
      <c r="I636" s="5">
        <v>62.04</v>
      </c>
      <c r="K636" t="s">
        <v>15</v>
      </c>
      <c r="L636">
        <f t="shared" si="39"/>
        <v>12</v>
      </c>
      <c r="M636">
        <v>11</v>
      </c>
      <c r="N636">
        <f t="shared" si="36"/>
        <v>1</v>
      </c>
      <c r="O636" t="str">
        <f xml:space="preserve"> IF(AND(Table1[[#This Row],[Actual_Lead_Time]] &lt;= Table1[[#This Row],[Standard_Lead_Time]], OR(ISBLANK(J636), J636 = 0)), "OTIF", "Non-OTIF")</f>
        <v>Non-OTIF</v>
      </c>
      <c r="P636">
        <f>IF(Table1[[#This Row],[OTIF_Status]] = "OTIF", 1, 0)</f>
        <v>0</v>
      </c>
      <c r="Q636" s="5">
        <f t="shared" si="37"/>
        <v>75435.399999999994</v>
      </c>
      <c r="R636" s="5">
        <f t="shared" si="38"/>
        <v>65638.319999999992</v>
      </c>
      <c r="S636" s="5">
        <f>Table1[[#This Row],[Total_Line_Spend]]-Table1[[#This Row],[Negotiated_Total]]</f>
        <v>9797.0800000000017</v>
      </c>
      <c r="T636" t="str">
        <f xml:space="preserve"> IF(Table1[[#This Row],[Delay_Days]] &gt; 4, "High Risk", IF(Table1[[#This Row],[Delay_Days]] &gt; 0, "Medium Risk", "Low Risk"))</f>
        <v>Medium Risk</v>
      </c>
    </row>
    <row r="637" spans="1:20" x14ac:dyDescent="0.25">
      <c r="A637" t="s">
        <v>662</v>
      </c>
      <c r="B637" t="s">
        <v>808</v>
      </c>
      <c r="C637" s="1">
        <v>44724</v>
      </c>
      <c r="D637" s="1">
        <v>44735</v>
      </c>
      <c r="E637" t="s">
        <v>13</v>
      </c>
      <c r="F637" t="s">
        <v>18</v>
      </c>
      <c r="G637">
        <v>143</v>
      </c>
      <c r="H637" s="5">
        <v>91.98</v>
      </c>
      <c r="I637" s="5">
        <v>86.02</v>
      </c>
      <c r="J637">
        <v>5</v>
      </c>
      <c r="K637" t="s">
        <v>15</v>
      </c>
      <c r="L637">
        <f t="shared" si="39"/>
        <v>11</v>
      </c>
      <c r="M637">
        <v>11</v>
      </c>
      <c r="N637">
        <f t="shared" si="36"/>
        <v>0</v>
      </c>
      <c r="O637" t="str">
        <f xml:space="preserve"> IF(AND(Table1[[#This Row],[Actual_Lead_Time]] &lt;= Table1[[#This Row],[Standard_Lead_Time]], OR(ISBLANK(J637), J637 = 0)), "OTIF", "Non-OTIF")</f>
        <v>Non-OTIF</v>
      </c>
      <c r="P637">
        <f>IF(Table1[[#This Row],[OTIF_Status]] = "OTIF", 1, 0)</f>
        <v>0</v>
      </c>
      <c r="Q637" s="5">
        <f t="shared" si="37"/>
        <v>13153.140000000001</v>
      </c>
      <c r="R637" s="5">
        <f t="shared" si="38"/>
        <v>12300.859999999999</v>
      </c>
      <c r="S637" s="5">
        <f>Table1[[#This Row],[Total_Line_Spend]]-Table1[[#This Row],[Negotiated_Total]]</f>
        <v>852.28000000000247</v>
      </c>
      <c r="T637" t="str">
        <f xml:space="preserve"> IF(Table1[[#This Row],[Delay_Days]] &gt; 4, "High Risk", IF(Table1[[#This Row],[Delay_Days]] &gt; 0, "Medium Risk", "Low Risk"))</f>
        <v>Low Risk</v>
      </c>
    </row>
    <row r="638" spans="1:20" x14ac:dyDescent="0.25">
      <c r="A638" t="s">
        <v>663</v>
      </c>
      <c r="B638" t="s">
        <v>807</v>
      </c>
      <c r="C638" s="1">
        <v>45048</v>
      </c>
      <c r="D638" s="1">
        <v>45060</v>
      </c>
      <c r="E638" t="s">
        <v>21</v>
      </c>
      <c r="F638" t="s">
        <v>18</v>
      </c>
      <c r="G638">
        <v>1823</v>
      </c>
      <c r="H638" s="5">
        <v>70.66</v>
      </c>
      <c r="I638" s="5">
        <v>66.92</v>
      </c>
      <c r="J638">
        <v>202</v>
      </c>
      <c r="K638" t="s">
        <v>15</v>
      </c>
      <c r="L638">
        <f t="shared" si="39"/>
        <v>12</v>
      </c>
      <c r="M638">
        <v>11</v>
      </c>
      <c r="N638">
        <f t="shared" si="36"/>
        <v>1</v>
      </c>
      <c r="O638" t="str">
        <f xml:space="preserve"> IF(AND(Table1[[#This Row],[Actual_Lead_Time]] &lt;= Table1[[#This Row],[Standard_Lead_Time]], OR(ISBLANK(J638), J638 = 0)), "OTIF", "Non-OTIF")</f>
        <v>Non-OTIF</v>
      </c>
      <c r="P638">
        <f>IF(Table1[[#This Row],[OTIF_Status]] = "OTIF", 1, 0)</f>
        <v>0</v>
      </c>
      <c r="Q638" s="5">
        <f t="shared" si="37"/>
        <v>128813.18</v>
      </c>
      <c r="R638" s="5">
        <f t="shared" si="38"/>
        <v>121995.16</v>
      </c>
      <c r="S638" s="5">
        <f>Table1[[#This Row],[Total_Line_Spend]]-Table1[[#This Row],[Negotiated_Total]]</f>
        <v>6818.0199999999895</v>
      </c>
      <c r="T638" t="str">
        <f xml:space="preserve"> IF(Table1[[#This Row],[Delay_Days]] &gt; 4, "High Risk", IF(Table1[[#This Row],[Delay_Days]] &gt; 0, "Medium Risk", "Low Risk"))</f>
        <v>Medium Risk</v>
      </c>
    </row>
    <row r="639" spans="1:20" x14ac:dyDescent="0.25">
      <c r="A639" t="s">
        <v>664</v>
      </c>
      <c r="B639" t="s">
        <v>806</v>
      </c>
      <c r="C639" s="1">
        <v>45022</v>
      </c>
      <c r="D639" s="1">
        <v>45026</v>
      </c>
      <c r="E639" t="s">
        <v>13</v>
      </c>
      <c r="F639" t="s">
        <v>18</v>
      </c>
      <c r="G639">
        <v>1007</v>
      </c>
      <c r="H639" s="5">
        <v>33.29</v>
      </c>
      <c r="I639" s="5">
        <v>28.48</v>
      </c>
      <c r="J639">
        <v>49</v>
      </c>
      <c r="K639" t="s">
        <v>15</v>
      </c>
      <c r="L639">
        <f t="shared" si="39"/>
        <v>4</v>
      </c>
      <c r="M639">
        <v>11</v>
      </c>
      <c r="N639">
        <f t="shared" si="36"/>
        <v>0</v>
      </c>
      <c r="O639" t="str">
        <f xml:space="preserve"> IF(AND(Table1[[#This Row],[Actual_Lead_Time]] &lt;= Table1[[#This Row],[Standard_Lead_Time]], OR(ISBLANK(J639), J639 = 0)), "OTIF", "Non-OTIF")</f>
        <v>Non-OTIF</v>
      </c>
      <c r="P639">
        <f>IF(Table1[[#This Row],[OTIF_Status]] = "OTIF", 1, 0)</f>
        <v>0</v>
      </c>
      <c r="Q639" s="5">
        <f t="shared" si="37"/>
        <v>33523.03</v>
      </c>
      <c r="R639" s="5">
        <f t="shared" si="38"/>
        <v>28679.360000000001</v>
      </c>
      <c r="S639" s="5">
        <f>Table1[[#This Row],[Total_Line_Spend]]-Table1[[#This Row],[Negotiated_Total]]</f>
        <v>4843.6699999999983</v>
      </c>
      <c r="T639" t="str">
        <f xml:space="preserve"> IF(Table1[[#This Row],[Delay_Days]] &gt; 4, "High Risk", IF(Table1[[#This Row],[Delay_Days]] &gt; 0, "Medium Risk", "Low Risk"))</f>
        <v>Low Risk</v>
      </c>
    </row>
    <row r="640" spans="1:20" x14ac:dyDescent="0.25">
      <c r="A640" t="s">
        <v>665</v>
      </c>
      <c r="B640" t="s">
        <v>806</v>
      </c>
      <c r="C640" s="1">
        <v>44827</v>
      </c>
      <c r="D640" s="1">
        <v>44842</v>
      </c>
      <c r="E640" t="s">
        <v>24</v>
      </c>
      <c r="F640" t="s">
        <v>18</v>
      </c>
      <c r="G640">
        <v>1061</v>
      </c>
      <c r="H640" s="5">
        <v>12.68</v>
      </c>
      <c r="I640" s="5">
        <v>12.36</v>
      </c>
      <c r="J640">
        <v>56</v>
      </c>
      <c r="K640" t="s">
        <v>27</v>
      </c>
      <c r="L640">
        <f t="shared" si="39"/>
        <v>15</v>
      </c>
      <c r="M640">
        <v>11</v>
      </c>
      <c r="N640">
        <f t="shared" si="36"/>
        <v>4</v>
      </c>
      <c r="O640" t="str">
        <f xml:space="preserve"> IF(AND(Table1[[#This Row],[Actual_Lead_Time]] &lt;= Table1[[#This Row],[Standard_Lead_Time]], OR(ISBLANK(J640), J640 = 0)), "OTIF", "Non-OTIF")</f>
        <v>Non-OTIF</v>
      </c>
      <c r="P640">
        <f>IF(Table1[[#This Row],[OTIF_Status]] = "OTIF", 1, 0)</f>
        <v>0</v>
      </c>
      <c r="Q640" s="5">
        <f t="shared" si="37"/>
        <v>13453.48</v>
      </c>
      <c r="R640" s="5">
        <f t="shared" si="38"/>
        <v>13113.96</v>
      </c>
      <c r="S640" s="5">
        <f>Table1[[#This Row],[Total_Line_Spend]]-Table1[[#This Row],[Negotiated_Total]]</f>
        <v>339.52000000000044</v>
      </c>
      <c r="T640" t="str">
        <f xml:space="preserve"> IF(Table1[[#This Row],[Delay_Days]] &gt; 4, "High Risk", IF(Table1[[#This Row],[Delay_Days]] &gt; 0, "Medium Risk", "Low Risk"))</f>
        <v>Medium Risk</v>
      </c>
    </row>
    <row r="641" spans="1:20" x14ac:dyDescent="0.25">
      <c r="A641" t="s">
        <v>666</v>
      </c>
      <c r="B641" t="s">
        <v>807</v>
      </c>
      <c r="C641" s="1">
        <v>44815</v>
      </c>
      <c r="D641" s="1">
        <v>44830</v>
      </c>
      <c r="E641" t="s">
        <v>21</v>
      </c>
      <c r="F641" t="s">
        <v>35</v>
      </c>
      <c r="G641">
        <v>502</v>
      </c>
      <c r="H641" s="5">
        <v>91.84</v>
      </c>
      <c r="I641" s="5">
        <v>82.33</v>
      </c>
      <c r="K641" t="s">
        <v>15</v>
      </c>
      <c r="L641">
        <f t="shared" si="39"/>
        <v>15</v>
      </c>
      <c r="M641">
        <v>11</v>
      </c>
      <c r="N641">
        <f t="shared" si="36"/>
        <v>4</v>
      </c>
      <c r="O641" t="str">
        <f xml:space="preserve"> IF(AND(Table1[[#This Row],[Actual_Lead_Time]] &lt;= Table1[[#This Row],[Standard_Lead_Time]], OR(ISBLANK(J641), J641 = 0)), "OTIF", "Non-OTIF")</f>
        <v>Non-OTIF</v>
      </c>
      <c r="P641">
        <f>IF(Table1[[#This Row],[OTIF_Status]] = "OTIF", 1, 0)</f>
        <v>0</v>
      </c>
      <c r="Q641" s="5">
        <f t="shared" si="37"/>
        <v>46103.68</v>
      </c>
      <c r="R641" s="5">
        <f t="shared" si="38"/>
        <v>41329.659999999996</v>
      </c>
      <c r="S641" s="5">
        <f>Table1[[#This Row],[Total_Line_Spend]]-Table1[[#This Row],[Negotiated_Total]]</f>
        <v>4774.0200000000041</v>
      </c>
      <c r="T641" t="str">
        <f xml:space="preserve"> IF(Table1[[#This Row],[Delay_Days]] &gt; 4, "High Risk", IF(Table1[[#This Row],[Delay_Days]] &gt; 0, "Medium Risk", "Low Risk"))</f>
        <v>Medium Risk</v>
      </c>
    </row>
    <row r="642" spans="1:20" x14ac:dyDescent="0.25">
      <c r="A642" t="s">
        <v>667</v>
      </c>
      <c r="B642" t="s">
        <v>805</v>
      </c>
      <c r="C642" s="1">
        <v>45214</v>
      </c>
      <c r="D642" s="1">
        <v>45218</v>
      </c>
      <c r="E642" t="s">
        <v>24</v>
      </c>
      <c r="F642" t="s">
        <v>18</v>
      </c>
      <c r="G642">
        <v>1277</v>
      </c>
      <c r="H642" s="5">
        <v>13.17</v>
      </c>
      <c r="I642" s="5">
        <v>11.63</v>
      </c>
      <c r="J642">
        <v>199</v>
      </c>
      <c r="K642" t="s">
        <v>27</v>
      </c>
      <c r="L642">
        <f t="shared" si="39"/>
        <v>4</v>
      </c>
      <c r="M642">
        <v>11</v>
      </c>
      <c r="N642">
        <f t="shared" ref="N642:N705" si="40">MAX(0, L642-M642)</f>
        <v>0</v>
      </c>
      <c r="O642" t="str">
        <f xml:space="preserve"> IF(AND(Table1[[#This Row],[Actual_Lead_Time]] &lt;= Table1[[#This Row],[Standard_Lead_Time]], OR(ISBLANK(J642), J642 = 0)), "OTIF", "Non-OTIF")</f>
        <v>Non-OTIF</v>
      </c>
      <c r="P642">
        <f>IF(Table1[[#This Row],[OTIF_Status]] = "OTIF", 1, 0)</f>
        <v>0</v>
      </c>
      <c r="Q642" s="5">
        <f t="shared" ref="Q642:Q705" si="41" xml:space="preserve"> IFERROR(G642 * H642, 0)</f>
        <v>16818.09</v>
      </c>
      <c r="R642" s="5">
        <f t="shared" ref="R642:R705" si="42" xml:space="preserve"> IFERROR(G642 * I642, 0)</f>
        <v>14851.51</v>
      </c>
      <c r="S642" s="5">
        <f>Table1[[#This Row],[Total_Line_Spend]]-Table1[[#This Row],[Negotiated_Total]]</f>
        <v>1966.58</v>
      </c>
      <c r="T642" t="str">
        <f xml:space="preserve"> IF(Table1[[#This Row],[Delay_Days]] &gt; 4, "High Risk", IF(Table1[[#This Row],[Delay_Days]] &gt; 0, "Medium Risk", "Low Risk"))</f>
        <v>Low Risk</v>
      </c>
    </row>
    <row r="643" spans="1:20" x14ac:dyDescent="0.25">
      <c r="A643" t="s">
        <v>668</v>
      </c>
      <c r="B643" t="s">
        <v>804</v>
      </c>
      <c r="C643" s="1">
        <v>44845</v>
      </c>
      <c r="D643" s="1">
        <v>44858</v>
      </c>
      <c r="E643" t="s">
        <v>24</v>
      </c>
      <c r="F643" t="s">
        <v>18</v>
      </c>
      <c r="G643">
        <v>961</v>
      </c>
      <c r="H643" s="5">
        <v>92.72</v>
      </c>
      <c r="I643" s="5">
        <v>88.49</v>
      </c>
      <c r="J643">
        <v>22</v>
      </c>
      <c r="K643" t="s">
        <v>15</v>
      </c>
      <c r="L643">
        <f t="shared" ref="L643:L706" si="43" xml:space="preserve"> INT(D643) - INT(C643)</f>
        <v>13</v>
      </c>
      <c r="M643">
        <v>11</v>
      </c>
      <c r="N643">
        <f t="shared" si="40"/>
        <v>2</v>
      </c>
      <c r="O643" t="str">
        <f xml:space="preserve"> IF(AND(Table1[[#This Row],[Actual_Lead_Time]] &lt;= Table1[[#This Row],[Standard_Lead_Time]], OR(ISBLANK(J643), J643 = 0)), "OTIF", "Non-OTIF")</f>
        <v>Non-OTIF</v>
      </c>
      <c r="P643">
        <f>IF(Table1[[#This Row],[OTIF_Status]] = "OTIF", 1, 0)</f>
        <v>0</v>
      </c>
      <c r="Q643" s="5">
        <f t="shared" si="41"/>
        <v>89103.92</v>
      </c>
      <c r="R643" s="5">
        <f t="shared" si="42"/>
        <v>85038.89</v>
      </c>
      <c r="S643" s="5">
        <f>Table1[[#This Row],[Total_Line_Spend]]-Table1[[#This Row],[Negotiated_Total]]</f>
        <v>4065.0299999999988</v>
      </c>
      <c r="T643" t="str">
        <f xml:space="preserve"> IF(Table1[[#This Row],[Delay_Days]] &gt; 4, "High Risk", IF(Table1[[#This Row],[Delay_Days]] &gt; 0, "Medium Risk", "Low Risk"))</f>
        <v>Medium Risk</v>
      </c>
    </row>
    <row r="644" spans="1:20" x14ac:dyDescent="0.25">
      <c r="A644" t="s">
        <v>669</v>
      </c>
      <c r="B644" t="s">
        <v>806</v>
      </c>
      <c r="C644" s="1">
        <v>45095</v>
      </c>
      <c r="D644" s="1">
        <v>45109</v>
      </c>
      <c r="E644" t="s">
        <v>24</v>
      </c>
      <c r="F644" t="s">
        <v>18</v>
      </c>
      <c r="G644">
        <v>267</v>
      </c>
      <c r="H644" s="5">
        <v>62.5</v>
      </c>
      <c r="I644" s="5">
        <v>61.18</v>
      </c>
      <c r="J644">
        <v>17</v>
      </c>
      <c r="K644" t="s">
        <v>15</v>
      </c>
      <c r="L644">
        <f t="shared" si="43"/>
        <v>14</v>
      </c>
      <c r="M644">
        <v>11</v>
      </c>
      <c r="N644">
        <f t="shared" si="40"/>
        <v>3</v>
      </c>
      <c r="O644" t="str">
        <f xml:space="preserve"> IF(AND(Table1[[#This Row],[Actual_Lead_Time]] &lt;= Table1[[#This Row],[Standard_Lead_Time]], OR(ISBLANK(J644), J644 = 0)), "OTIF", "Non-OTIF")</f>
        <v>Non-OTIF</v>
      </c>
      <c r="P644">
        <f>IF(Table1[[#This Row],[OTIF_Status]] = "OTIF", 1, 0)</f>
        <v>0</v>
      </c>
      <c r="Q644" s="5">
        <f t="shared" si="41"/>
        <v>16687.5</v>
      </c>
      <c r="R644" s="5">
        <f t="shared" si="42"/>
        <v>16335.06</v>
      </c>
      <c r="S644" s="5">
        <f>Table1[[#This Row],[Total_Line_Spend]]-Table1[[#This Row],[Negotiated_Total]]</f>
        <v>352.44000000000051</v>
      </c>
      <c r="T644" t="str">
        <f xml:space="preserve"> IF(Table1[[#This Row],[Delay_Days]] &gt; 4, "High Risk", IF(Table1[[#This Row],[Delay_Days]] &gt; 0, "Medium Risk", "Low Risk"))</f>
        <v>Medium Risk</v>
      </c>
    </row>
    <row r="645" spans="1:20" x14ac:dyDescent="0.25">
      <c r="A645" t="s">
        <v>670</v>
      </c>
      <c r="B645" t="s">
        <v>805</v>
      </c>
      <c r="C645" s="1">
        <v>45058</v>
      </c>
      <c r="D645" s="1">
        <v>45064</v>
      </c>
      <c r="E645" t="s">
        <v>26</v>
      </c>
      <c r="F645" t="s">
        <v>14</v>
      </c>
      <c r="G645">
        <v>523</v>
      </c>
      <c r="H645" s="5">
        <v>102.08</v>
      </c>
      <c r="I645" s="5">
        <v>99.59</v>
      </c>
      <c r="K645" t="s">
        <v>15</v>
      </c>
      <c r="L645">
        <f t="shared" si="43"/>
        <v>6</v>
      </c>
      <c r="M645">
        <v>11</v>
      </c>
      <c r="N645">
        <f t="shared" si="40"/>
        <v>0</v>
      </c>
      <c r="O645" t="str">
        <f xml:space="preserve"> IF(AND(Table1[[#This Row],[Actual_Lead_Time]] &lt;= Table1[[#This Row],[Standard_Lead_Time]], OR(ISBLANK(J645), J645 = 0)), "OTIF", "Non-OTIF")</f>
        <v>OTIF</v>
      </c>
      <c r="P645">
        <f>IF(Table1[[#This Row],[OTIF_Status]] = "OTIF", 1, 0)</f>
        <v>1</v>
      </c>
      <c r="Q645" s="5">
        <f t="shared" si="41"/>
        <v>53387.839999999997</v>
      </c>
      <c r="R645" s="5">
        <f t="shared" si="42"/>
        <v>52085.57</v>
      </c>
      <c r="S645" s="5">
        <f>Table1[[#This Row],[Total_Line_Spend]]-Table1[[#This Row],[Negotiated_Total]]</f>
        <v>1302.2699999999968</v>
      </c>
      <c r="T645" t="str">
        <f xml:space="preserve"> IF(Table1[[#This Row],[Delay_Days]] &gt; 4, "High Risk", IF(Table1[[#This Row],[Delay_Days]] &gt; 0, "Medium Risk", "Low Risk"))</f>
        <v>Low Risk</v>
      </c>
    </row>
    <row r="646" spans="1:20" x14ac:dyDescent="0.25">
      <c r="A646" t="s">
        <v>671</v>
      </c>
      <c r="B646" t="s">
        <v>808</v>
      </c>
      <c r="C646" s="1">
        <v>45203</v>
      </c>
      <c r="D646" s="1">
        <v>45222</v>
      </c>
      <c r="E646" t="s">
        <v>39</v>
      </c>
      <c r="F646" t="s">
        <v>35</v>
      </c>
      <c r="G646">
        <v>481</v>
      </c>
      <c r="H646" s="5">
        <v>90.49</v>
      </c>
      <c r="I646" s="5">
        <v>77.17</v>
      </c>
      <c r="K646" t="s">
        <v>15</v>
      </c>
      <c r="L646">
        <f t="shared" si="43"/>
        <v>19</v>
      </c>
      <c r="M646">
        <v>11</v>
      </c>
      <c r="N646">
        <f t="shared" si="40"/>
        <v>8</v>
      </c>
      <c r="O646" t="str">
        <f xml:space="preserve"> IF(AND(Table1[[#This Row],[Actual_Lead_Time]] &lt;= Table1[[#This Row],[Standard_Lead_Time]], OR(ISBLANK(J646), J646 = 0)), "OTIF", "Non-OTIF")</f>
        <v>Non-OTIF</v>
      </c>
      <c r="P646">
        <f>IF(Table1[[#This Row],[OTIF_Status]] = "OTIF", 1, 0)</f>
        <v>0</v>
      </c>
      <c r="Q646" s="5">
        <f t="shared" si="41"/>
        <v>43525.689999999995</v>
      </c>
      <c r="R646" s="5">
        <f t="shared" si="42"/>
        <v>37118.770000000004</v>
      </c>
      <c r="S646" s="5">
        <f>Table1[[#This Row],[Total_Line_Spend]]-Table1[[#This Row],[Negotiated_Total]]</f>
        <v>6406.919999999991</v>
      </c>
      <c r="T646" t="str">
        <f xml:space="preserve"> IF(Table1[[#This Row],[Delay_Days]] &gt; 4, "High Risk", IF(Table1[[#This Row],[Delay_Days]] &gt; 0, "Medium Risk", "Low Risk"))</f>
        <v>High Risk</v>
      </c>
    </row>
    <row r="647" spans="1:20" x14ac:dyDescent="0.25">
      <c r="A647" t="s">
        <v>672</v>
      </c>
      <c r="B647" t="s">
        <v>806</v>
      </c>
      <c r="C647" s="1">
        <v>44806</v>
      </c>
      <c r="D647" s="1">
        <v>44813</v>
      </c>
      <c r="E647" t="s">
        <v>13</v>
      </c>
      <c r="F647" t="s">
        <v>18</v>
      </c>
      <c r="G647">
        <v>390</v>
      </c>
      <c r="H647" s="5">
        <v>103.81</v>
      </c>
      <c r="I647" s="5">
        <v>100.12</v>
      </c>
      <c r="J647">
        <v>20</v>
      </c>
      <c r="K647" t="s">
        <v>15</v>
      </c>
      <c r="L647">
        <f t="shared" si="43"/>
        <v>7</v>
      </c>
      <c r="M647">
        <v>11</v>
      </c>
      <c r="N647">
        <f t="shared" si="40"/>
        <v>0</v>
      </c>
      <c r="O647" t="str">
        <f xml:space="preserve"> IF(AND(Table1[[#This Row],[Actual_Lead_Time]] &lt;= Table1[[#This Row],[Standard_Lead_Time]], OR(ISBLANK(J647), J647 = 0)), "OTIF", "Non-OTIF")</f>
        <v>Non-OTIF</v>
      </c>
      <c r="P647">
        <f>IF(Table1[[#This Row],[OTIF_Status]] = "OTIF", 1, 0)</f>
        <v>0</v>
      </c>
      <c r="Q647" s="5">
        <f t="shared" si="41"/>
        <v>40485.9</v>
      </c>
      <c r="R647" s="5">
        <f t="shared" si="42"/>
        <v>39046.800000000003</v>
      </c>
      <c r="S647" s="5">
        <f>Table1[[#This Row],[Total_Line_Spend]]-Table1[[#This Row],[Negotiated_Total]]</f>
        <v>1439.0999999999985</v>
      </c>
      <c r="T647" t="str">
        <f xml:space="preserve"> IF(Table1[[#This Row],[Delay_Days]] &gt; 4, "High Risk", IF(Table1[[#This Row],[Delay_Days]] &gt; 0, "Medium Risk", "Low Risk"))</f>
        <v>Low Risk</v>
      </c>
    </row>
    <row r="648" spans="1:20" x14ac:dyDescent="0.25">
      <c r="A648" t="s">
        <v>673</v>
      </c>
      <c r="B648" t="s">
        <v>808</v>
      </c>
      <c r="C648" s="1">
        <v>44843</v>
      </c>
      <c r="D648" s="1">
        <v>44859</v>
      </c>
      <c r="E648" t="s">
        <v>24</v>
      </c>
      <c r="F648" t="s">
        <v>18</v>
      </c>
      <c r="G648">
        <v>600</v>
      </c>
      <c r="H648" s="5">
        <v>43.43</v>
      </c>
      <c r="I648" s="5">
        <v>38.76</v>
      </c>
      <c r="J648">
        <v>22</v>
      </c>
      <c r="K648" t="s">
        <v>15</v>
      </c>
      <c r="L648">
        <f t="shared" si="43"/>
        <v>16</v>
      </c>
      <c r="M648">
        <v>11</v>
      </c>
      <c r="N648">
        <f t="shared" si="40"/>
        <v>5</v>
      </c>
      <c r="O648" t="str">
        <f xml:space="preserve"> IF(AND(Table1[[#This Row],[Actual_Lead_Time]] &lt;= Table1[[#This Row],[Standard_Lead_Time]], OR(ISBLANK(J648), J648 = 0)), "OTIF", "Non-OTIF")</f>
        <v>Non-OTIF</v>
      </c>
      <c r="P648">
        <f>IF(Table1[[#This Row],[OTIF_Status]] = "OTIF", 1, 0)</f>
        <v>0</v>
      </c>
      <c r="Q648" s="5">
        <f t="shared" si="41"/>
        <v>26058</v>
      </c>
      <c r="R648" s="5">
        <f t="shared" si="42"/>
        <v>23256</v>
      </c>
      <c r="S648" s="5">
        <f>Table1[[#This Row],[Total_Line_Spend]]-Table1[[#This Row],[Negotiated_Total]]</f>
        <v>2802</v>
      </c>
      <c r="T648" t="str">
        <f xml:space="preserve"> IF(Table1[[#This Row],[Delay_Days]] &gt; 4, "High Risk", IF(Table1[[#This Row],[Delay_Days]] &gt; 0, "Medium Risk", "Low Risk"))</f>
        <v>High Risk</v>
      </c>
    </row>
    <row r="649" spans="1:20" x14ac:dyDescent="0.25">
      <c r="A649" t="s">
        <v>674</v>
      </c>
      <c r="B649" t="s">
        <v>805</v>
      </c>
      <c r="C649" s="1">
        <v>45012</v>
      </c>
      <c r="D649" s="1">
        <v>45023</v>
      </c>
      <c r="E649" t="s">
        <v>13</v>
      </c>
      <c r="F649" t="s">
        <v>18</v>
      </c>
      <c r="G649">
        <v>1685</v>
      </c>
      <c r="H649" s="5">
        <v>84.58</v>
      </c>
      <c r="I649" s="5">
        <v>75.209999999999994</v>
      </c>
      <c r="J649">
        <v>253</v>
      </c>
      <c r="K649" t="s">
        <v>27</v>
      </c>
      <c r="L649">
        <f t="shared" si="43"/>
        <v>11</v>
      </c>
      <c r="M649">
        <v>11</v>
      </c>
      <c r="N649">
        <f t="shared" si="40"/>
        <v>0</v>
      </c>
      <c r="O649" t="str">
        <f xml:space="preserve"> IF(AND(Table1[[#This Row],[Actual_Lead_Time]] &lt;= Table1[[#This Row],[Standard_Lead_Time]], OR(ISBLANK(J649), J649 = 0)), "OTIF", "Non-OTIF")</f>
        <v>Non-OTIF</v>
      </c>
      <c r="P649">
        <f>IF(Table1[[#This Row],[OTIF_Status]] = "OTIF", 1, 0)</f>
        <v>0</v>
      </c>
      <c r="Q649" s="5">
        <f t="shared" si="41"/>
        <v>142517.29999999999</v>
      </c>
      <c r="R649" s="5">
        <f t="shared" si="42"/>
        <v>126728.84999999999</v>
      </c>
      <c r="S649" s="5">
        <f>Table1[[#This Row],[Total_Line_Spend]]-Table1[[#This Row],[Negotiated_Total]]</f>
        <v>15788.449999999997</v>
      </c>
      <c r="T649" t="str">
        <f xml:space="preserve"> IF(Table1[[#This Row],[Delay_Days]] &gt; 4, "High Risk", IF(Table1[[#This Row],[Delay_Days]] &gt; 0, "Medium Risk", "Low Risk"))</f>
        <v>Low Risk</v>
      </c>
    </row>
    <row r="650" spans="1:20" x14ac:dyDescent="0.25">
      <c r="A650" t="s">
        <v>675</v>
      </c>
      <c r="B650" t="s">
        <v>808</v>
      </c>
      <c r="C650" s="1">
        <v>44641</v>
      </c>
      <c r="D650" s="1">
        <v>44651</v>
      </c>
      <c r="E650" t="s">
        <v>24</v>
      </c>
      <c r="F650" t="s">
        <v>14</v>
      </c>
      <c r="G650">
        <v>1362</v>
      </c>
      <c r="H650" s="5">
        <v>46.64</v>
      </c>
      <c r="I650" s="5">
        <v>42.85</v>
      </c>
      <c r="J650">
        <v>33</v>
      </c>
      <c r="K650" t="s">
        <v>15</v>
      </c>
      <c r="L650">
        <f t="shared" si="43"/>
        <v>10</v>
      </c>
      <c r="M650">
        <v>11</v>
      </c>
      <c r="N650">
        <f t="shared" si="40"/>
        <v>0</v>
      </c>
      <c r="O650" t="str">
        <f xml:space="preserve"> IF(AND(Table1[[#This Row],[Actual_Lead_Time]] &lt;= Table1[[#This Row],[Standard_Lead_Time]], OR(ISBLANK(J650), J650 = 0)), "OTIF", "Non-OTIF")</f>
        <v>Non-OTIF</v>
      </c>
      <c r="P650">
        <f>IF(Table1[[#This Row],[OTIF_Status]] = "OTIF", 1, 0)</f>
        <v>0</v>
      </c>
      <c r="Q650" s="5">
        <f t="shared" si="41"/>
        <v>63523.68</v>
      </c>
      <c r="R650" s="5">
        <f t="shared" si="42"/>
        <v>58361.700000000004</v>
      </c>
      <c r="S650" s="5">
        <f>Table1[[#This Row],[Total_Line_Spend]]-Table1[[#This Row],[Negotiated_Total]]</f>
        <v>5161.9799999999959</v>
      </c>
      <c r="T650" t="str">
        <f xml:space="preserve"> IF(Table1[[#This Row],[Delay_Days]] &gt; 4, "High Risk", IF(Table1[[#This Row],[Delay_Days]] &gt; 0, "Medium Risk", "Low Risk"))</f>
        <v>Low Risk</v>
      </c>
    </row>
    <row r="651" spans="1:20" x14ac:dyDescent="0.25">
      <c r="A651" t="s">
        <v>676</v>
      </c>
      <c r="B651" t="s">
        <v>805</v>
      </c>
      <c r="C651" s="1">
        <v>45292</v>
      </c>
      <c r="D651" s="1">
        <v>45295</v>
      </c>
      <c r="E651" t="s">
        <v>39</v>
      </c>
      <c r="F651" t="s">
        <v>35</v>
      </c>
      <c r="G651">
        <v>1327</v>
      </c>
      <c r="H651" s="5">
        <v>59.57</v>
      </c>
      <c r="I651" s="5">
        <v>56.44</v>
      </c>
      <c r="J651">
        <v>169</v>
      </c>
      <c r="K651" t="s">
        <v>15</v>
      </c>
      <c r="L651">
        <f t="shared" si="43"/>
        <v>3</v>
      </c>
      <c r="M651">
        <v>11</v>
      </c>
      <c r="N651">
        <f t="shared" si="40"/>
        <v>0</v>
      </c>
      <c r="O651" t="str">
        <f xml:space="preserve"> IF(AND(Table1[[#This Row],[Actual_Lead_Time]] &lt;= Table1[[#This Row],[Standard_Lead_Time]], OR(ISBLANK(J651), J651 = 0)), "OTIF", "Non-OTIF")</f>
        <v>Non-OTIF</v>
      </c>
      <c r="P651">
        <f>IF(Table1[[#This Row],[OTIF_Status]] = "OTIF", 1, 0)</f>
        <v>0</v>
      </c>
      <c r="Q651" s="5">
        <f t="shared" si="41"/>
        <v>79049.39</v>
      </c>
      <c r="R651" s="5">
        <f t="shared" si="42"/>
        <v>74895.87999999999</v>
      </c>
      <c r="S651" s="5">
        <f>Table1[[#This Row],[Total_Line_Spend]]-Table1[[#This Row],[Negotiated_Total]]</f>
        <v>4153.5100000000093</v>
      </c>
      <c r="T651" t="str">
        <f xml:space="preserve"> IF(Table1[[#This Row],[Delay_Days]] &gt; 4, "High Risk", IF(Table1[[#This Row],[Delay_Days]] &gt; 0, "Medium Risk", "Low Risk"))</f>
        <v>Low Risk</v>
      </c>
    </row>
    <row r="652" spans="1:20" x14ac:dyDescent="0.25">
      <c r="A652" t="s">
        <v>677</v>
      </c>
      <c r="B652" t="s">
        <v>808</v>
      </c>
      <c r="C652" s="1">
        <v>44854</v>
      </c>
      <c r="D652" s="1">
        <v>44865</v>
      </c>
      <c r="E652" t="s">
        <v>21</v>
      </c>
      <c r="F652" t="s">
        <v>18</v>
      </c>
      <c r="G652">
        <v>1807</v>
      </c>
      <c r="H652" s="5">
        <v>69.47</v>
      </c>
      <c r="I652" s="5">
        <v>60</v>
      </c>
      <c r="J652">
        <v>50</v>
      </c>
      <c r="K652" t="s">
        <v>15</v>
      </c>
      <c r="L652">
        <f t="shared" si="43"/>
        <v>11</v>
      </c>
      <c r="M652">
        <v>11</v>
      </c>
      <c r="N652">
        <f t="shared" si="40"/>
        <v>0</v>
      </c>
      <c r="O652" t="str">
        <f xml:space="preserve"> IF(AND(Table1[[#This Row],[Actual_Lead_Time]] &lt;= Table1[[#This Row],[Standard_Lead_Time]], OR(ISBLANK(J652), J652 = 0)), "OTIF", "Non-OTIF")</f>
        <v>Non-OTIF</v>
      </c>
      <c r="P652">
        <f>IF(Table1[[#This Row],[OTIF_Status]] = "OTIF", 1, 0)</f>
        <v>0</v>
      </c>
      <c r="Q652" s="5">
        <f t="shared" si="41"/>
        <v>125532.29</v>
      </c>
      <c r="R652" s="5">
        <f t="shared" si="42"/>
        <v>108420</v>
      </c>
      <c r="S652" s="5">
        <f>Table1[[#This Row],[Total_Line_Spend]]-Table1[[#This Row],[Negotiated_Total]]</f>
        <v>17112.289999999994</v>
      </c>
      <c r="T652" t="str">
        <f xml:space="preserve"> IF(Table1[[#This Row],[Delay_Days]] &gt; 4, "High Risk", IF(Table1[[#This Row],[Delay_Days]] &gt; 0, "Medium Risk", "Low Risk"))</f>
        <v>Low Risk</v>
      </c>
    </row>
    <row r="653" spans="1:20" x14ac:dyDescent="0.25">
      <c r="A653" t="s">
        <v>678</v>
      </c>
      <c r="B653" t="s">
        <v>804</v>
      </c>
      <c r="C653" s="1">
        <v>44802</v>
      </c>
      <c r="D653" s="1">
        <v>44810</v>
      </c>
      <c r="E653" t="s">
        <v>13</v>
      </c>
      <c r="F653" t="s">
        <v>35</v>
      </c>
      <c r="G653">
        <v>406</v>
      </c>
      <c r="H653" s="5">
        <v>91.73</v>
      </c>
      <c r="I653" s="5">
        <v>89.13</v>
      </c>
      <c r="K653" t="s">
        <v>15</v>
      </c>
      <c r="L653">
        <f t="shared" si="43"/>
        <v>8</v>
      </c>
      <c r="M653">
        <v>11</v>
      </c>
      <c r="N653">
        <f t="shared" si="40"/>
        <v>0</v>
      </c>
      <c r="O653" t="str">
        <f xml:space="preserve"> IF(AND(Table1[[#This Row],[Actual_Lead_Time]] &lt;= Table1[[#This Row],[Standard_Lead_Time]], OR(ISBLANK(J653), J653 = 0)), "OTIF", "Non-OTIF")</f>
        <v>OTIF</v>
      </c>
      <c r="P653">
        <f>IF(Table1[[#This Row],[OTIF_Status]] = "OTIF", 1, 0)</f>
        <v>1</v>
      </c>
      <c r="Q653" s="5">
        <f t="shared" si="41"/>
        <v>37242.380000000005</v>
      </c>
      <c r="R653" s="5">
        <f t="shared" si="42"/>
        <v>36186.78</v>
      </c>
      <c r="S653" s="5">
        <f>Table1[[#This Row],[Total_Line_Spend]]-Table1[[#This Row],[Negotiated_Total]]</f>
        <v>1055.6000000000058</v>
      </c>
      <c r="T653" t="str">
        <f xml:space="preserve"> IF(Table1[[#This Row],[Delay_Days]] &gt; 4, "High Risk", IF(Table1[[#This Row],[Delay_Days]] &gt; 0, "Medium Risk", "Low Risk"))</f>
        <v>Low Risk</v>
      </c>
    </row>
    <row r="654" spans="1:20" x14ac:dyDescent="0.25">
      <c r="A654" t="s">
        <v>679</v>
      </c>
      <c r="B654" t="s">
        <v>806</v>
      </c>
      <c r="C654" s="1">
        <v>44840</v>
      </c>
      <c r="D654" s="1">
        <v>44852</v>
      </c>
      <c r="E654" t="s">
        <v>26</v>
      </c>
      <c r="F654" t="s">
        <v>33</v>
      </c>
      <c r="G654">
        <v>72</v>
      </c>
      <c r="H654" s="5">
        <v>103</v>
      </c>
      <c r="I654" s="5">
        <v>89.49</v>
      </c>
      <c r="J654">
        <v>1</v>
      </c>
      <c r="K654" t="s">
        <v>27</v>
      </c>
      <c r="L654">
        <f t="shared" si="43"/>
        <v>12</v>
      </c>
      <c r="M654">
        <v>11</v>
      </c>
      <c r="N654">
        <f t="shared" si="40"/>
        <v>1</v>
      </c>
      <c r="O654" t="str">
        <f xml:space="preserve"> IF(AND(Table1[[#This Row],[Actual_Lead_Time]] &lt;= Table1[[#This Row],[Standard_Lead_Time]], OR(ISBLANK(J654), J654 = 0)), "OTIF", "Non-OTIF")</f>
        <v>Non-OTIF</v>
      </c>
      <c r="P654">
        <f>IF(Table1[[#This Row],[OTIF_Status]] = "OTIF", 1, 0)</f>
        <v>0</v>
      </c>
      <c r="Q654" s="5">
        <f t="shared" si="41"/>
        <v>7416</v>
      </c>
      <c r="R654" s="5">
        <f t="shared" si="42"/>
        <v>6443.28</v>
      </c>
      <c r="S654" s="5">
        <f>Table1[[#This Row],[Total_Line_Spend]]-Table1[[#This Row],[Negotiated_Total]]</f>
        <v>972.72000000000025</v>
      </c>
      <c r="T654" t="str">
        <f xml:space="preserve"> IF(Table1[[#This Row],[Delay_Days]] &gt; 4, "High Risk", IF(Table1[[#This Row],[Delay_Days]] &gt; 0, "Medium Risk", "Low Risk"))</f>
        <v>Medium Risk</v>
      </c>
    </row>
    <row r="655" spans="1:20" x14ac:dyDescent="0.25">
      <c r="A655" t="s">
        <v>680</v>
      </c>
      <c r="B655" t="s">
        <v>806</v>
      </c>
      <c r="C655" s="1">
        <v>44905</v>
      </c>
      <c r="D655" s="1">
        <v>44915</v>
      </c>
      <c r="E655" t="s">
        <v>13</v>
      </c>
      <c r="F655" t="s">
        <v>18</v>
      </c>
      <c r="G655">
        <v>1835</v>
      </c>
      <c r="H655" s="5">
        <v>83.5</v>
      </c>
      <c r="I655" s="5">
        <v>82.36</v>
      </c>
      <c r="J655">
        <v>85</v>
      </c>
      <c r="K655" t="s">
        <v>27</v>
      </c>
      <c r="L655">
        <f t="shared" si="43"/>
        <v>10</v>
      </c>
      <c r="M655">
        <v>11</v>
      </c>
      <c r="N655">
        <f t="shared" si="40"/>
        <v>0</v>
      </c>
      <c r="O655" t="str">
        <f xml:space="preserve"> IF(AND(Table1[[#This Row],[Actual_Lead_Time]] &lt;= Table1[[#This Row],[Standard_Lead_Time]], OR(ISBLANK(J655), J655 = 0)), "OTIF", "Non-OTIF")</f>
        <v>Non-OTIF</v>
      </c>
      <c r="P655">
        <f>IF(Table1[[#This Row],[OTIF_Status]] = "OTIF", 1, 0)</f>
        <v>0</v>
      </c>
      <c r="Q655" s="5">
        <f t="shared" si="41"/>
        <v>153222.5</v>
      </c>
      <c r="R655" s="5">
        <f t="shared" si="42"/>
        <v>151130.6</v>
      </c>
      <c r="S655" s="5">
        <f>Table1[[#This Row],[Total_Line_Spend]]-Table1[[#This Row],[Negotiated_Total]]</f>
        <v>2091.8999999999942</v>
      </c>
      <c r="T655" t="str">
        <f xml:space="preserve"> IF(Table1[[#This Row],[Delay_Days]] &gt; 4, "High Risk", IF(Table1[[#This Row],[Delay_Days]] &gt; 0, "Medium Risk", "Low Risk"))</f>
        <v>Low Risk</v>
      </c>
    </row>
    <row r="656" spans="1:20" x14ac:dyDescent="0.25">
      <c r="A656" t="s">
        <v>681</v>
      </c>
      <c r="B656" t="s">
        <v>805</v>
      </c>
      <c r="C656" s="1">
        <v>44889</v>
      </c>
      <c r="D656" s="1">
        <v>44905</v>
      </c>
      <c r="E656" t="s">
        <v>39</v>
      </c>
      <c r="F656" t="s">
        <v>35</v>
      </c>
      <c r="G656">
        <v>571</v>
      </c>
      <c r="H656" s="5">
        <v>49.98</v>
      </c>
      <c r="I656" s="5">
        <v>45.58</v>
      </c>
      <c r="K656" t="s">
        <v>27</v>
      </c>
      <c r="L656">
        <f t="shared" si="43"/>
        <v>16</v>
      </c>
      <c r="M656">
        <v>11</v>
      </c>
      <c r="N656">
        <f t="shared" si="40"/>
        <v>5</v>
      </c>
      <c r="O656" t="str">
        <f xml:space="preserve"> IF(AND(Table1[[#This Row],[Actual_Lead_Time]] &lt;= Table1[[#This Row],[Standard_Lead_Time]], OR(ISBLANK(J656), J656 = 0)), "OTIF", "Non-OTIF")</f>
        <v>Non-OTIF</v>
      </c>
      <c r="P656">
        <f>IF(Table1[[#This Row],[OTIF_Status]] = "OTIF", 1, 0)</f>
        <v>0</v>
      </c>
      <c r="Q656" s="5">
        <f t="shared" si="41"/>
        <v>28538.579999999998</v>
      </c>
      <c r="R656" s="5">
        <f t="shared" si="42"/>
        <v>26026.18</v>
      </c>
      <c r="S656" s="5">
        <f>Table1[[#This Row],[Total_Line_Spend]]-Table1[[#This Row],[Negotiated_Total]]</f>
        <v>2512.3999999999978</v>
      </c>
      <c r="T656" t="str">
        <f xml:space="preserve"> IF(Table1[[#This Row],[Delay_Days]] &gt; 4, "High Risk", IF(Table1[[#This Row],[Delay_Days]] &gt; 0, "Medium Risk", "Low Risk"))</f>
        <v>High Risk</v>
      </c>
    </row>
    <row r="657" spans="1:20" x14ac:dyDescent="0.25">
      <c r="A657" t="s">
        <v>682</v>
      </c>
      <c r="B657" t="s">
        <v>808</v>
      </c>
      <c r="C657" s="1">
        <v>45115</v>
      </c>
      <c r="D657" s="1">
        <v>45116</v>
      </c>
      <c r="E657" t="s">
        <v>24</v>
      </c>
      <c r="F657" t="s">
        <v>18</v>
      </c>
      <c r="G657">
        <v>1831</v>
      </c>
      <c r="H657" s="5">
        <v>52.24</v>
      </c>
      <c r="I657" s="5">
        <v>50.44</v>
      </c>
      <c r="J657">
        <v>60</v>
      </c>
      <c r="K657" t="s">
        <v>15</v>
      </c>
      <c r="L657">
        <f t="shared" si="43"/>
        <v>1</v>
      </c>
      <c r="M657">
        <v>11</v>
      </c>
      <c r="N657">
        <f t="shared" si="40"/>
        <v>0</v>
      </c>
      <c r="O657" t="str">
        <f xml:space="preserve"> IF(AND(Table1[[#This Row],[Actual_Lead_Time]] &lt;= Table1[[#This Row],[Standard_Lead_Time]], OR(ISBLANK(J657), J657 = 0)), "OTIF", "Non-OTIF")</f>
        <v>Non-OTIF</v>
      </c>
      <c r="P657">
        <f>IF(Table1[[#This Row],[OTIF_Status]] = "OTIF", 1, 0)</f>
        <v>0</v>
      </c>
      <c r="Q657" s="5">
        <f t="shared" si="41"/>
        <v>95651.44</v>
      </c>
      <c r="R657" s="5">
        <f t="shared" si="42"/>
        <v>92355.64</v>
      </c>
      <c r="S657" s="5">
        <f>Table1[[#This Row],[Total_Line_Spend]]-Table1[[#This Row],[Negotiated_Total]]</f>
        <v>3295.8000000000029</v>
      </c>
      <c r="T657" t="str">
        <f xml:space="preserve"> IF(Table1[[#This Row],[Delay_Days]] &gt; 4, "High Risk", IF(Table1[[#This Row],[Delay_Days]] &gt; 0, "Medium Risk", "Low Risk"))</f>
        <v>Low Risk</v>
      </c>
    </row>
    <row r="658" spans="1:20" x14ac:dyDescent="0.25">
      <c r="A658" t="s">
        <v>683</v>
      </c>
      <c r="B658" t="s">
        <v>807</v>
      </c>
      <c r="C658" s="1">
        <v>44644</v>
      </c>
      <c r="D658" s="1">
        <v>44658</v>
      </c>
      <c r="E658" t="s">
        <v>13</v>
      </c>
      <c r="F658" t="s">
        <v>35</v>
      </c>
      <c r="G658">
        <v>1910</v>
      </c>
      <c r="H658" s="5">
        <v>77.150000000000006</v>
      </c>
      <c r="I658" s="5">
        <v>68.489999999999995</v>
      </c>
      <c r="J658">
        <v>170</v>
      </c>
      <c r="K658" t="s">
        <v>15</v>
      </c>
      <c r="L658">
        <f t="shared" si="43"/>
        <v>14</v>
      </c>
      <c r="M658">
        <v>11</v>
      </c>
      <c r="N658">
        <f t="shared" si="40"/>
        <v>3</v>
      </c>
      <c r="O658" t="str">
        <f xml:space="preserve"> IF(AND(Table1[[#This Row],[Actual_Lead_Time]] &lt;= Table1[[#This Row],[Standard_Lead_Time]], OR(ISBLANK(J658), J658 = 0)), "OTIF", "Non-OTIF")</f>
        <v>Non-OTIF</v>
      </c>
      <c r="P658">
        <f>IF(Table1[[#This Row],[OTIF_Status]] = "OTIF", 1, 0)</f>
        <v>0</v>
      </c>
      <c r="Q658" s="5">
        <f t="shared" si="41"/>
        <v>147356.5</v>
      </c>
      <c r="R658" s="5">
        <f t="shared" si="42"/>
        <v>130815.9</v>
      </c>
      <c r="S658" s="5">
        <f>Table1[[#This Row],[Total_Line_Spend]]-Table1[[#This Row],[Negotiated_Total]]</f>
        <v>16540.600000000006</v>
      </c>
      <c r="T658" t="str">
        <f xml:space="preserve"> IF(Table1[[#This Row],[Delay_Days]] &gt; 4, "High Risk", IF(Table1[[#This Row],[Delay_Days]] &gt; 0, "Medium Risk", "Low Risk"))</f>
        <v>Medium Risk</v>
      </c>
    </row>
    <row r="659" spans="1:20" x14ac:dyDescent="0.25">
      <c r="A659" t="s">
        <v>684</v>
      </c>
      <c r="B659" t="s">
        <v>806</v>
      </c>
      <c r="C659" s="1">
        <v>44703</v>
      </c>
      <c r="D659" s="1">
        <v>44712</v>
      </c>
      <c r="E659" t="s">
        <v>39</v>
      </c>
      <c r="F659" t="s">
        <v>33</v>
      </c>
      <c r="G659">
        <v>1173</v>
      </c>
      <c r="H659" s="5">
        <v>32.119999999999997</v>
      </c>
      <c r="I659" s="5">
        <v>29.18</v>
      </c>
      <c r="K659" t="s">
        <v>15</v>
      </c>
      <c r="L659">
        <f t="shared" si="43"/>
        <v>9</v>
      </c>
      <c r="M659">
        <v>11</v>
      </c>
      <c r="N659">
        <f t="shared" si="40"/>
        <v>0</v>
      </c>
      <c r="O659" t="str">
        <f xml:space="preserve"> IF(AND(Table1[[#This Row],[Actual_Lead_Time]] &lt;= Table1[[#This Row],[Standard_Lead_Time]], OR(ISBLANK(J659), J659 = 0)), "OTIF", "Non-OTIF")</f>
        <v>OTIF</v>
      </c>
      <c r="P659">
        <f>IF(Table1[[#This Row],[OTIF_Status]] = "OTIF", 1, 0)</f>
        <v>1</v>
      </c>
      <c r="Q659" s="5">
        <f t="shared" si="41"/>
        <v>37676.759999999995</v>
      </c>
      <c r="R659" s="5">
        <f t="shared" si="42"/>
        <v>34228.14</v>
      </c>
      <c r="S659" s="5">
        <f>Table1[[#This Row],[Total_Line_Spend]]-Table1[[#This Row],[Negotiated_Total]]</f>
        <v>3448.6199999999953</v>
      </c>
      <c r="T659" t="str">
        <f xml:space="preserve"> IF(Table1[[#This Row],[Delay_Days]] &gt; 4, "High Risk", IF(Table1[[#This Row],[Delay_Days]] &gt; 0, "Medium Risk", "Low Risk"))</f>
        <v>Low Risk</v>
      </c>
    </row>
    <row r="660" spans="1:20" x14ac:dyDescent="0.25">
      <c r="A660" t="s">
        <v>685</v>
      </c>
      <c r="B660" t="s">
        <v>808</v>
      </c>
      <c r="C660" s="1">
        <v>44716</v>
      </c>
      <c r="D660" s="1">
        <v>44729</v>
      </c>
      <c r="E660" t="s">
        <v>24</v>
      </c>
      <c r="F660" t="s">
        <v>33</v>
      </c>
      <c r="G660">
        <v>851</v>
      </c>
      <c r="H660" s="5">
        <v>20.440000000000001</v>
      </c>
      <c r="I660" s="5">
        <v>19.22</v>
      </c>
      <c r="J660">
        <v>22</v>
      </c>
      <c r="K660" t="s">
        <v>15</v>
      </c>
      <c r="L660">
        <f t="shared" si="43"/>
        <v>13</v>
      </c>
      <c r="M660">
        <v>11</v>
      </c>
      <c r="N660">
        <f t="shared" si="40"/>
        <v>2</v>
      </c>
      <c r="O660" t="str">
        <f xml:space="preserve"> IF(AND(Table1[[#This Row],[Actual_Lead_Time]] &lt;= Table1[[#This Row],[Standard_Lead_Time]], OR(ISBLANK(J660), J660 = 0)), "OTIF", "Non-OTIF")</f>
        <v>Non-OTIF</v>
      </c>
      <c r="P660">
        <f>IF(Table1[[#This Row],[OTIF_Status]] = "OTIF", 1, 0)</f>
        <v>0</v>
      </c>
      <c r="Q660" s="5">
        <f t="shared" si="41"/>
        <v>17394.440000000002</v>
      </c>
      <c r="R660" s="5">
        <f t="shared" si="42"/>
        <v>16356.22</v>
      </c>
      <c r="S660" s="5">
        <f>Table1[[#This Row],[Total_Line_Spend]]-Table1[[#This Row],[Negotiated_Total]]</f>
        <v>1038.220000000003</v>
      </c>
      <c r="T660" t="str">
        <f xml:space="preserve"> IF(Table1[[#This Row],[Delay_Days]] &gt; 4, "High Risk", IF(Table1[[#This Row],[Delay_Days]] &gt; 0, "Medium Risk", "Low Risk"))</f>
        <v>Medium Risk</v>
      </c>
    </row>
    <row r="661" spans="1:20" x14ac:dyDescent="0.25">
      <c r="A661" t="s">
        <v>686</v>
      </c>
      <c r="B661" t="s">
        <v>808</v>
      </c>
      <c r="C661" s="1">
        <v>44798</v>
      </c>
      <c r="D661" s="1">
        <v>44811</v>
      </c>
      <c r="E661" t="s">
        <v>21</v>
      </c>
      <c r="F661" t="s">
        <v>14</v>
      </c>
      <c r="G661">
        <v>1253</v>
      </c>
      <c r="H661" s="5">
        <v>43.38</v>
      </c>
      <c r="I661" s="5">
        <v>38.01</v>
      </c>
      <c r="J661">
        <v>34</v>
      </c>
      <c r="K661" t="s">
        <v>15</v>
      </c>
      <c r="L661">
        <f t="shared" si="43"/>
        <v>13</v>
      </c>
      <c r="M661">
        <v>11</v>
      </c>
      <c r="N661">
        <f t="shared" si="40"/>
        <v>2</v>
      </c>
      <c r="O661" t="str">
        <f xml:space="preserve"> IF(AND(Table1[[#This Row],[Actual_Lead_Time]] &lt;= Table1[[#This Row],[Standard_Lead_Time]], OR(ISBLANK(J661), J661 = 0)), "OTIF", "Non-OTIF")</f>
        <v>Non-OTIF</v>
      </c>
      <c r="P661">
        <f>IF(Table1[[#This Row],[OTIF_Status]] = "OTIF", 1, 0)</f>
        <v>0</v>
      </c>
      <c r="Q661" s="5">
        <f t="shared" si="41"/>
        <v>54355.140000000007</v>
      </c>
      <c r="R661" s="5">
        <f t="shared" si="42"/>
        <v>47626.53</v>
      </c>
      <c r="S661" s="5">
        <f>Table1[[#This Row],[Total_Line_Spend]]-Table1[[#This Row],[Negotiated_Total]]</f>
        <v>6728.6100000000079</v>
      </c>
      <c r="T661" t="str">
        <f xml:space="preserve"> IF(Table1[[#This Row],[Delay_Days]] &gt; 4, "High Risk", IF(Table1[[#This Row],[Delay_Days]] &gt; 0, "Medium Risk", "Low Risk"))</f>
        <v>Medium Risk</v>
      </c>
    </row>
    <row r="662" spans="1:20" x14ac:dyDescent="0.25">
      <c r="A662" t="s">
        <v>687</v>
      </c>
      <c r="B662" t="s">
        <v>804</v>
      </c>
      <c r="C662" s="1">
        <v>44954</v>
      </c>
      <c r="D662" s="1">
        <v>44972</v>
      </c>
      <c r="E662" t="s">
        <v>39</v>
      </c>
      <c r="F662" t="s">
        <v>18</v>
      </c>
      <c r="G662">
        <v>1296</v>
      </c>
      <c r="H662" s="5">
        <v>38</v>
      </c>
      <c r="I662" s="5">
        <v>33.42</v>
      </c>
      <c r="J662">
        <v>33</v>
      </c>
      <c r="K662" t="s">
        <v>15</v>
      </c>
      <c r="L662">
        <f t="shared" si="43"/>
        <v>18</v>
      </c>
      <c r="M662">
        <v>11</v>
      </c>
      <c r="N662">
        <f t="shared" si="40"/>
        <v>7</v>
      </c>
      <c r="O662" t="str">
        <f xml:space="preserve"> IF(AND(Table1[[#This Row],[Actual_Lead_Time]] &lt;= Table1[[#This Row],[Standard_Lead_Time]], OR(ISBLANK(J662), J662 = 0)), "OTIF", "Non-OTIF")</f>
        <v>Non-OTIF</v>
      </c>
      <c r="P662">
        <f>IF(Table1[[#This Row],[OTIF_Status]] = "OTIF", 1, 0)</f>
        <v>0</v>
      </c>
      <c r="Q662" s="5">
        <f t="shared" si="41"/>
        <v>49248</v>
      </c>
      <c r="R662" s="5">
        <f t="shared" si="42"/>
        <v>43312.32</v>
      </c>
      <c r="S662" s="5">
        <f>Table1[[#This Row],[Total_Line_Spend]]-Table1[[#This Row],[Negotiated_Total]]</f>
        <v>5935.68</v>
      </c>
      <c r="T662" t="str">
        <f xml:space="preserve"> IF(Table1[[#This Row],[Delay_Days]] &gt; 4, "High Risk", IF(Table1[[#This Row],[Delay_Days]] &gt; 0, "Medium Risk", "Low Risk"))</f>
        <v>High Risk</v>
      </c>
    </row>
    <row r="663" spans="1:20" x14ac:dyDescent="0.25">
      <c r="A663" t="s">
        <v>688</v>
      </c>
      <c r="B663" t="s">
        <v>807</v>
      </c>
      <c r="C663" s="1">
        <v>45272</v>
      </c>
      <c r="D663" s="1">
        <v>45290</v>
      </c>
      <c r="E663" t="s">
        <v>26</v>
      </c>
      <c r="F663" t="s">
        <v>18</v>
      </c>
      <c r="G663">
        <v>1979</v>
      </c>
      <c r="H663" s="5">
        <v>40.880000000000003</v>
      </c>
      <c r="I663" s="5">
        <v>39.46</v>
      </c>
      <c r="J663">
        <v>221</v>
      </c>
      <c r="K663" t="s">
        <v>15</v>
      </c>
      <c r="L663">
        <f t="shared" si="43"/>
        <v>18</v>
      </c>
      <c r="M663">
        <v>11</v>
      </c>
      <c r="N663">
        <f t="shared" si="40"/>
        <v>7</v>
      </c>
      <c r="O663" t="str">
        <f xml:space="preserve"> IF(AND(Table1[[#This Row],[Actual_Lead_Time]] &lt;= Table1[[#This Row],[Standard_Lead_Time]], OR(ISBLANK(J663), J663 = 0)), "OTIF", "Non-OTIF")</f>
        <v>Non-OTIF</v>
      </c>
      <c r="P663">
        <f>IF(Table1[[#This Row],[OTIF_Status]] = "OTIF", 1, 0)</f>
        <v>0</v>
      </c>
      <c r="Q663" s="5">
        <f t="shared" si="41"/>
        <v>80901.52</v>
      </c>
      <c r="R663" s="5">
        <f t="shared" si="42"/>
        <v>78091.34</v>
      </c>
      <c r="S663" s="5">
        <f>Table1[[#This Row],[Total_Line_Spend]]-Table1[[#This Row],[Negotiated_Total]]</f>
        <v>2810.1800000000076</v>
      </c>
      <c r="T663" t="str">
        <f xml:space="preserve"> IF(Table1[[#This Row],[Delay_Days]] &gt; 4, "High Risk", IF(Table1[[#This Row],[Delay_Days]] &gt; 0, "Medium Risk", "Low Risk"))</f>
        <v>High Risk</v>
      </c>
    </row>
    <row r="664" spans="1:20" x14ac:dyDescent="0.25">
      <c r="A664" t="s">
        <v>689</v>
      </c>
      <c r="B664" t="s">
        <v>806</v>
      </c>
      <c r="C664" s="1">
        <v>44718</v>
      </c>
      <c r="D664" s="1">
        <v>44731</v>
      </c>
      <c r="E664" t="s">
        <v>13</v>
      </c>
      <c r="F664" t="s">
        <v>18</v>
      </c>
      <c r="G664">
        <v>811</v>
      </c>
      <c r="H664" s="5">
        <v>31.8</v>
      </c>
      <c r="I664" s="5">
        <v>30.33</v>
      </c>
      <c r="J664">
        <v>58</v>
      </c>
      <c r="K664" t="s">
        <v>15</v>
      </c>
      <c r="L664">
        <f t="shared" si="43"/>
        <v>13</v>
      </c>
      <c r="M664">
        <v>11</v>
      </c>
      <c r="N664">
        <f t="shared" si="40"/>
        <v>2</v>
      </c>
      <c r="O664" t="str">
        <f xml:space="preserve"> IF(AND(Table1[[#This Row],[Actual_Lead_Time]] &lt;= Table1[[#This Row],[Standard_Lead_Time]], OR(ISBLANK(J664), J664 = 0)), "OTIF", "Non-OTIF")</f>
        <v>Non-OTIF</v>
      </c>
      <c r="P664">
        <f>IF(Table1[[#This Row],[OTIF_Status]] = "OTIF", 1, 0)</f>
        <v>0</v>
      </c>
      <c r="Q664" s="5">
        <f t="shared" si="41"/>
        <v>25789.8</v>
      </c>
      <c r="R664" s="5">
        <f t="shared" si="42"/>
        <v>24597.629999999997</v>
      </c>
      <c r="S664" s="5">
        <f>Table1[[#This Row],[Total_Line_Spend]]-Table1[[#This Row],[Negotiated_Total]]</f>
        <v>1192.1700000000019</v>
      </c>
      <c r="T664" t="str">
        <f xml:space="preserve"> IF(Table1[[#This Row],[Delay_Days]] &gt; 4, "High Risk", IF(Table1[[#This Row],[Delay_Days]] &gt; 0, "Medium Risk", "Low Risk"))</f>
        <v>Medium Risk</v>
      </c>
    </row>
    <row r="665" spans="1:20" x14ac:dyDescent="0.25">
      <c r="A665" t="s">
        <v>690</v>
      </c>
      <c r="B665" t="s">
        <v>804</v>
      </c>
      <c r="C665" s="1">
        <v>45285</v>
      </c>
      <c r="D665" s="1">
        <v>45303</v>
      </c>
      <c r="E665" t="s">
        <v>39</v>
      </c>
      <c r="F665" t="s">
        <v>18</v>
      </c>
      <c r="G665">
        <v>1732</v>
      </c>
      <c r="H665" s="5">
        <v>15.37</v>
      </c>
      <c r="I665" s="5">
        <v>14.7</v>
      </c>
      <c r="J665">
        <v>38</v>
      </c>
      <c r="K665" t="s">
        <v>15</v>
      </c>
      <c r="L665">
        <f t="shared" si="43"/>
        <v>18</v>
      </c>
      <c r="M665">
        <v>11</v>
      </c>
      <c r="N665">
        <f t="shared" si="40"/>
        <v>7</v>
      </c>
      <c r="O665" t="str">
        <f xml:space="preserve"> IF(AND(Table1[[#This Row],[Actual_Lead_Time]] &lt;= Table1[[#This Row],[Standard_Lead_Time]], OR(ISBLANK(J665), J665 = 0)), "OTIF", "Non-OTIF")</f>
        <v>Non-OTIF</v>
      </c>
      <c r="P665">
        <f>IF(Table1[[#This Row],[OTIF_Status]] = "OTIF", 1, 0)</f>
        <v>0</v>
      </c>
      <c r="Q665" s="5">
        <f t="shared" si="41"/>
        <v>26620.84</v>
      </c>
      <c r="R665" s="5">
        <f t="shared" si="42"/>
        <v>25460.399999999998</v>
      </c>
      <c r="S665" s="5">
        <f>Table1[[#This Row],[Total_Line_Spend]]-Table1[[#This Row],[Negotiated_Total]]</f>
        <v>1160.4400000000023</v>
      </c>
      <c r="T665" t="str">
        <f xml:space="preserve"> IF(Table1[[#This Row],[Delay_Days]] &gt; 4, "High Risk", IF(Table1[[#This Row],[Delay_Days]] &gt; 0, "Medium Risk", "Low Risk"))</f>
        <v>High Risk</v>
      </c>
    </row>
    <row r="666" spans="1:20" x14ac:dyDescent="0.25">
      <c r="A666" t="s">
        <v>691</v>
      </c>
      <c r="B666" t="s">
        <v>807</v>
      </c>
      <c r="C666" s="1">
        <v>44781</v>
      </c>
      <c r="D666" s="1">
        <v>44801</v>
      </c>
      <c r="E666" t="s">
        <v>24</v>
      </c>
      <c r="F666" t="s">
        <v>18</v>
      </c>
      <c r="G666">
        <v>491</v>
      </c>
      <c r="H666" s="5">
        <v>12.01</v>
      </c>
      <c r="I666" s="5">
        <v>11.67</v>
      </c>
      <c r="J666">
        <v>47</v>
      </c>
      <c r="K666" t="s">
        <v>15</v>
      </c>
      <c r="L666">
        <f t="shared" si="43"/>
        <v>20</v>
      </c>
      <c r="M666">
        <v>11</v>
      </c>
      <c r="N666">
        <f t="shared" si="40"/>
        <v>9</v>
      </c>
      <c r="O666" t="str">
        <f xml:space="preserve"> IF(AND(Table1[[#This Row],[Actual_Lead_Time]] &lt;= Table1[[#This Row],[Standard_Lead_Time]], OR(ISBLANK(J666), J666 = 0)), "OTIF", "Non-OTIF")</f>
        <v>Non-OTIF</v>
      </c>
      <c r="P666">
        <f>IF(Table1[[#This Row],[OTIF_Status]] = "OTIF", 1, 0)</f>
        <v>0</v>
      </c>
      <c r="Q666" s="5">
        <f t="shared" si="41"/>
        <v>5896.91</v>
      </c>
      <c r="R666" s="5">
        <f t="shared" si="42"/>
        <v>5729.97</v>
      </c>
      <c r="S666" s="5">
        <f>Table1[[#This Row],[Total_Line_Spend]]-Table1[[#This Row],[Negotiated_Total]]</f>
        <v>166.9399999999996</v>
      </c>
      <c r="T666" t="str">
        <f xml:space="preserve"> IF(Table1[[#This Row],[Delay_Days]] &gt; 4, "High Risk", IF(Table1[[#This Row],[Delay_Days]] &gt; 0, "Medium Risk", "Low Risk"))</f>
        <v>High Risk</v>
      </c>
    </row>
    <row r="667" spans="1:20" x14ac:dyDescent="0.25">
      <c r="A667" t="s">
        <v>692</v>
      </c>
      <c r="B667" t="s">
        <v>806</v>
      </c>
      <c r="C667" s="1">
        <v>44627</v>
      </c>
      <c r="D667" s="1">
        <v>44631</v>
      </c>
      <c r="E667" t="s">
        <v>24</v>
      </c>
      <c r="F667" t="s">
        <v>14</v>
      </c>
      <c r="G667">
        <v>1681</v>
      </c>
      <c r="H667" s="5">
        <v>99.88</v>
      </c>
      <c r="I667" s="5">
        <v>96.38</v>
      </c>
      <c r="J667">
        <v>90</v>
      </c>
      <c r="K667" t="s">
        <v>15</v>
      </c>
      <c r="L667">
        <f t="shared" si="43"/>
        <v>4</v>
      </c>
      <c r="M667">
        <v>11</v>
      </c>
      <c r="N667">
        <f t="shared" si="40"/>
        <v>0</v>
      </c>
      <c r="O667" t="str">
        <f xml:space="preserve"> IF(AND(Table1[[#This Row],[Actual_Lead_Time]] &lt;= Table1[[#This Row],[Standard_Lead_Time]], OR(ISBLANK(J667), J667 = 0)), "OTIF", "Non-OTIF")</f>
        <v>Non-OTIF</v>
      </c>
      <c r="P667">
        <f>IF(Table1[[#This Row],[OTIF_Status]] = "OTIF", 1, 0)</f>
        <v>0</v>
      </c>
      <c r="Q667" s="5">
        <f t="shared" si="41"/>
        <v>167898.28</v>
      </c>
      <c r="R667" s="5">
        <f t="shared" si="42"/>
        <v>162014.78</v>
      </c>
      <c r="S667" s="5">
        <f>Table1[[#This Row],[Total_Line_Spend]]-Table1[[#This Row],[Negotiated_Total]]</f>
        <v>5883.5</v>
      </c>
      <c r="T667" t="str">
        <f xml:space="preserve"> IF(Table1[[#This Row],[Delay_Days]] &gt; 4, "High Risk", IF(Table1[[#This Row],[Delay_Days]] &gt; 0, "Medium Risk", "Low Risk"))</f>
        <v>Low Risk</v>
      </c>
    </row>
    <row r="668" spans="1:20" x14ac:dyDescent="0.25">
      <c r="A668" t="s">
        <v>693</v>
      </c>
      <c r="B668" t="s">
        <v>804</v>
      </c>
      <c r="C668" s="1">
        <v>44986</v>
      </c>
      <c r="D668" s="1">
        <v>44990</v>
      </c>
      <c r="E668" t="s">
        <v>26</v>
      </c>
      <c r="F668" t="s">
        <v>33</v>
      </c>
      <c r="G668">
        <v>818</v>
      </c>
      <c r="H668" s="5">
        <v>51.89</v>
      </c>
      <c r="I668" s="5">
        <v>47.85</v>
      </c>
      <c r="J668">
        <v>12</v>
      </c>
      <c r="K668" t="s">
        <v>15</v>
      </c>
      <c r="L668">
        <f t="shared" si="43"/>
        <v>4</v>
      </c>
      <c r="M668">
        <v>11</v>
      </c>
      <c r="N668">
        <f t="shared" si="40"/>
        <v>0</v>
      </c>
      <c r="O668" t="str">
        <f xml:space="preserve"> IF(AND(Table1[[#This Row],[Actual_Lead_Time]] &lt;= Table1[[#This Row],[Standard_Lead_Time]], OR(ISBLANK(J668), J668 = 0)), "OTIF", "Non-OTIF")</f>
        <v>Non-OTIF</v>
      </c>
      <c r="P668">
        <f>IF(Table1[[#This Row],[OTIF_Status]] = "OTIF", 1, 0)</f>
        <v>0</v>
      </c>
      <c r="Q668" s="5">
        <f t="shared" si="41"/>
        <v>42446.020000000004</v>
      </c>
      <c r="R668" s="5">
        <f t="shared" si="42"/>
        <v>39141.300000000003</v>
      </c>
      <c r="S668" s="5">
        <f>Table1[[#This Row],[Total_Line_Spend]]-Table1[[#This Row],[Negotiated_Total]]</f>
        <v>3304.7200000000012</v>
      </c>
      <c r="T668" t="str">
        <f xml:space="preserve"> IF(Table1[[#This Row],[Delay_Days]] &gt; 4, "High Risk", IF(Table1[[#This Row],[Delay_Days]] &gt; 0, "Medium Risk", "Low Risk"))</f>
        <v>Low Risk</v>
      </c>
    </row>
    <row r="669" spans="1:20" x14ac:dyDescent="0.25">
      <c r="A669" t="s">
        <v>694</v>
      </c>
      <c r="B669" t="s">
        <v>807</v>
      </c>
      <c r="C669" s="1">
        <v>44979</v>
      </c>
      <c r="D669" s="1">
        <v>44990</v>
      </c>
      <c r="E669" t="s">
        <v>13</v>
      </c>
      <c r="F669" t="s">
        <v>18</v>
      </c>
      <c r="G669">
        <v>1065</v>
      </c>
      <c r="H669" s="5">
        <v>47.49</v>
      </c>
      <c r="I669" s="5">
        <v>41.42</v>
      </c>
      <c r="J669">
        <v>113</v>
      </c>
      <c r="K669" t="s">
        <v>15</v>
      </c>
      <c r="L669">
        <f t="shared" si="43"/>
        <v>11</v>
      </c>
      <c r="M669">
        <v>11</v>
      </c>
      <c r="N669">
        <f t="shared" si="40"/>
        <v>0</v>
      </c>
      <c r="O669" t="str">
        <f xml:space="preserve"> IF(AND(Table1[[#This Row],[Actual_Lead_Time]] &lt;= Table1[[#This Row],[Standard_Lead_Time]], OR(ISBLANK(J669), J669 = 0)), "OTIF", "Non-OTIF")</f>
        <v>Non-OTIF</v>
      </c>
      <c r="P669">
        <f>IF(Table1[[#This Row],[OTIF_Status]] = "OTIF", 1, 0)</f>
        <v>0</v>
      </c>
      <c r="Q669" s="5">
        <f t="shared" si="41"/>
        <v>50576.85</v>
      </c>
      <c r="R669" s="5">
        <f t="shared" si="42"/>
        <v>44112.3</v>
      </c>
      <c r="S669" s="5">
        <f>Table1[[#This Row],[Total_Line_Spend]]-Table1[[#This Row],[Negotiated_Total]]</f>
        <v>6464.5499999999956</v>
      </c>
      <c r="T669" t="str">
        <f xml:space="preserve"> IF(Table1[[#This Row],[Delay_Days]] &gt; 4, "High Risk", IF(Table1[[#This Row],[Delay_Days]] &gt; 0, "Medium Risk", "Low Risk"))</f>
        <v>Low Risk</v>
      </c>
    </row>
    <row r="670" spans="1:20" x14ac:dyDescent="0.25">
      <c r="A670" t="s">
        <v>695</v>
      </c>
      <c r="B670" t="s">
        <v>806</v>
      </c>
      <c r="C670" s="1">
        <v>44900</v>
      </c>
      <c r="D670" s="1">
        <v>44912</v>
      </c>
      <c r="E670" t="s">
        <v>24</v>
      </c>
      <c r="F670" t="s">
        <v>18</v>
      </c>
      <c r="G670">
        <v>1398</v>
      </c>
      <c r="H670" s="5">
        <v>75.08</v>
      </c>
      <c r="I670" s="5">
        <v>67.09</v>
      </c>
      <c r="J670">
        <v>57</v>
      </c>
      <c r="K670" t="s">
        <v>15</v>
      </c>
      <c r="L670">
        <f t="shared" si="43"/>
        <v>12</v>
      </c>
      <c r="M670">
        <v>11</v>
      </c>
      <c r="N670">
        <f t="shared" si="40"/>
        <v>1</v>
      </c>
      <c r="O670" t="str">
        <f xml:space="preserve"> IF(AND(Table1[[#This Row],[Actual_Lead_Time]] &lt;= Table1[[#This Row],[Standard_Lead_Time]], OR(ISBLANK(J670), J670 = 0)), "OTIF", "Non-OTIF")</f>
        <v>Non-OTIF</v>
      </c>
      <c r="P670">
        <f>IF(Table1[[#This Row],[OTIF_Status]] = "OTIF", 1, 0)</f>
        <v>0</v>
      </c>
      <c r="Q670" s="5">
        <f t="shared" si="41"/>
        <v>104961.84</v>
      </c>
      <c r="R670" s="5">
        <f t="shared" si="42"/>
        <v>93791.82</v>
      </c>
      <c r="S670" s="5">
        <f>Table1[[#This Row],[Total_Line_Spend]]-Table1[[#This Row],[Negotiated_Total]]</f>
        <v>11170.01999999999</v>
      </c>
      <c r="T670" t="str">
        <f xml:space="preserve"> IF(Table1[[#This Row],[Delay_Days]] &gt; 4, "High Risk", IF(Table1[[#This Row],[Delay_Days]] &gt; 0, "Medium Risk", "Low Risk"))</f>
        <v>Medium Risk</v>
      </c>
    </row>
    <row r="671" spans="1:20" x14ac:dyDescent="0.25">
      <c r="A671" t="s">
        <v>696</v>
      </c>
      <c r="B671" t="s">
        <v>807</v>
      </c>
      <c r="C671" s="1">
        <v>45117</v>
      </c>
      <c r="D671" s="1">
        <v>45124</v>
      </c>
      <c r="E671" t="s">
        <v>24</v>
      </c>
      <c r="F671" t="s">
        <v>18</v>
      </c>
      <c r="G671">
        <v>565</v>
      </c>
      <c r="H671" s="5">
        <v>32.31</v>
      </c>
      <c r="I671" s="5">
        <v>29.76</v>
      </c>
      <c r="J671">
        <v>60</v>
      </c>
      <c r="K671" t="s">
        <v>15</v>
      </c>
      <c r="L671">
        <f t="shared" si="43"/>
        <v>7</v>
      </c>
      <c r="M671">
        <v>11</v>
      </c>
      <c r="N671">
        <f t="shared" si="40"/>
        <v>0</v>
      </c>
      <c r="O671" t="str">
        <f xml:space="preserve"> IF(AND(Table1[[#This Row],[Actual_Lead_Time]] &lt;= Table1[[#This Row],[Standard_Lead_Time]], OR(ISBLANK(J671), J671 = 0)), "OTIF", "Non-OTIF")</f>
        <v>Non-OTIF</v>
      </c>
      <c r="P671">
        <f>IF(Table1[[#This Row],[OTIF_Status]] = "OTIF", 1, 0)</f>
        <v>0</v>
      </c>
      <c r="Q671" s="5">
        <f t="shared" si="41"/>
        <v>18255.150000000001</v>
      </c>
      <c r="R671" s="5">
        <f t="shared" si="42"/>
        <v>16814.400000000001</v>
      </c>
      <c r="S671" s="5">
        <f>Table1[[#This Row],[Total_Line_Spend]]-Table1[[#This Row],[Negotiated_Total]]</f>
        <v>1440.75</v>
      </c>
      <c r="T671" t="str">
        <f xml:space="preserve"> IF(Table1[[#This Row],[Delay_Days]] &gt; 4, "High Risk", IF(Table1[[#This Row],[Delay_Days]] &gt; 0, "Medium Risk", "Low Risk"))</f>
        <v>Low Risk</v>
      </c>
    </row>
    <row r="672" spans="1:20" x14ac:dyDescent="0.25">
      <c r="A672" t="s">
        <v>697</v>
      </c>
      <c r="B672" t="s">
        <v>808</v>
      </c>
      <c r="C672" s="1">
        <v>45039</v>
      </c>
      <c r="D672" s="1">
        <v>45052</v>
      </c>
      <c r="E672" t="s">
        <v>24</v>
      </c>
      <c r="F672" t="s">
        <v>35</v>
      </c>
      <c r="G672">
        <v>1089</v>
      </c>
      <c r="H672" s="5">
        <v>102.66</v>
      </c>
      <c r="I672" s="5">
        <v>89.21</v>
      </c>
      <c r="J672">
        <v>33</v>
      </c>
      <c r="K672" t="s">
        <v>15</v>
      </c>
      <c r="L672">
        <f t="shared" si="43"/>
        <v>13</v>
      </c>
      <c r="M672">
        <v>11</v>
      </c>
      <c r="N672">
        <f t="shared" si="40"/>
        <v>2</v>
      </c>
      <c r="O672" t="str">
        <f xml:space="preserve"> IF(AND(Table1[[#This Row],[Actual_Lead_Time]] &lt;= Table1[[#This Row],[Standard_Lead_Time]], OR(ISBLANK(J672), J672 = 0)), "OTIF", "Non-OTIF")</f>
        <v>Non-OTIF</v>
      </c>
      <c r="P672">
        <f>IF(Table1[[#This Row],[OTIF_Status]] = "OTIF", 1, 0)</f>
        <v>0</v>
      </c>
      <c r="Q672" s="5">
        <f t="shared" si="41"/>
        <v>111796.73999999999</v>
      </c>
      <c r="R672" s="5">
        <f t="shared" si="42"/>
        <v>97149.689999999988</v>
      </c>
      <c r="S672" s="5">
        <f>Table1[[#This Row],[Total_Line_Spend]]-Table1[[#This Row],[Negotiated_Total]]</f>
        <v>14647.050000000003</v>
      </c>
      <c r="T672" t="str">
        <f xml:space="preserve"> IF(Table1[[#This Row],[Delay_Days]] &gt; 4, "High Risk", IF(Table1[[#This Row],[Delay_Days]] &gt; 0, "Medium Risk", "Low Risk"))</f>
        <v>Medium Risk</v>
      </c>
    </row>
    <row r="673" spans="1:20" x14ac:dyDescent="0.25">
      <c r="A673" t="s">
        <v>698</v>
      </c>
      <c r="B673" t="s">
        <v>805</v>
      </c>
      <c r="C673" s="1">
        <v>44987</v>
      </c>
      <c r="D673" s="1">
        <v>44989</v>
      </c>
      <c r="E673" t="s">
        <v>39</v>
      </c>
      <c r="F673" t="s">
        <v>18</v>
      </c>
      <c r="G673">
        <v>841</v>
      </c>
      <c r="H673" s="5">
        <v>86.43</v>
      </c>
      <c r="I673" s="5">
        <v>83.77</v>
      </c>
      <c r="J673">
        <v>125</v>
      </c>
      <c r="K673" t="s">
        <v>27</v>
      </c>
      <c r="L673">
        <f t="shared" si="43"/>
        <v>2</v>
      </c>
      <c r="M673">
        <v>11</v>
      </c>
      <c r="N673">
        <f t="shared" si="40"/>
        <v>0</v>
      </c>
      <c r="O673" t="str">
        <f xml:space="preserve"> IF(AND(Table1[[#This Row],[Actual_Lead_Time]] &lt;= Table1[[#This Row],[Standard_Lead_Time]], OR(ISBLANK(J673), J673 = 0)), "OTIF", "Non-OTIF")</f>
        <v>Non-OTIF</v>
      </c>
      <c r="P673">
        <f>IF(Table1[[#This Row],[OTIF_Status]] = "OTIF", 1, 0)</f>
        <v>0</v>
      </c>
      <c r="Q673" s="5">
        <f t="shared" si="41"/>
        <v>72687.63</v>
      </c>
      <c r="R673" s="5">
        <f t="shared" si="42"/>
        <v>70450.569999999992</v>
      </c>
      <c r="S673" s="5">
        <f>Table1[[#This Row],[Total_Line_Spend]]-Table1[[#This Row],[Negotiated_Total]]</f>
        <v>2237.0600000000122</v>
      </c>
      <c r="T673" t="str">
        <f xml:space="preserve"> IF(Table1[[#This Row],[Delay_Days]] &gt; 4, "High Risk", IF(Table1[[#This Row],[Delay_Days]] &gt; 0, "Medium Risk", "Low Risk"))</f>
        <v>Low Risk</v>
      </c>
    </row>
    <row r="674" spans="1:20" x14ac:dyDescent="0.25">
      <c r="A674" t="s">
        <v>699</v>
      </c>
      <c r="B674" t="s">
        <v>805</v>
      </c>
      <c r="C674" s="1">
        <v>44625</v>
      </c>
      <c r="D674" s="1">
        <v>44636</v>
      </c>
      <c r="E674" t="s">
        <v>39</v>
      </c>
      <c r="F674" t="s">
        <v>18</v>
      </c>
      <c r="G674">
        <v>385</v>
      </c>
      <c r="H674" s="5">
        <v>18.23</v>
      </c>
      <c r="I674" s="5">
        <v>17.739999999999998</v>
      </c>
      <c r="K674" t="s">
        <v>15</v>
      </c>
      <c r="L674">
        <f t="shared" si="43"/>
        <v>11</v>
      </c>
      <c r="M674">
        <v>11</v>
      </c>
      <c r="N674">
        <f t="shared" si="40"/>
        <v>0</v>
      </c>
      <c r="O674" t="str">
        <f xml:space="preserve"> IF(AND(Table1[[#This Row],[Actual_Lead_Time]] &lt;= Table1[[#This Row],[Standard_Lead_Time]], OR(ISBLANK(J674), J674 = 0)), "OTIF", "Non-OTIF")</f>
        <v>OTIF</v>
      </c>
      <c r="P674">
        <f>IF(Table1[[#This Row],[OTIF_Status]] = "OTIF", 1, 0)</f>
        <v>1</v>
      </c>
      <c r="Q674" s="5">
        <f t="shared" si="41"/>
        <v>7018.55</v>
      </c>
      <c r="R674" s="5">
        <f t="shared" si="42"/>
        <v>6829.9</v>
      </c>
      <c r="S674" s="5">
        <f>Table1[[#This Row],[Total_Line_Spend]]-Table1[[#This Row],[Negotiated_Total]]</f>
        <v>188.65000000000055</v>
      </c>
      <c r="T674" t="str">
        <f xml:space="preserve"> IF(Table1[[#This Row],[Delay_Days]] &gt; 4, "High Risk", IF(Table1[[#This Row],[Delay_Days]] &gt; 0, "Medium Risk", "Low Risk"))</f>
        <v>Low Risk</v>
      </c>
    </row>
    <row r="675" spans="1:20" x14ac:dyDescent="0.25">
      <c r="A675" t="s">
        <v>700</v>
      </c>
      <c r="B675" t="s">
        <v>808</v>
      </c>
      <c r="C675" s="1">
        <v>44773</v>
      </c>
      <c r="D675" s="1">
        <v>44790</v>
      </c>
      <c r="E675" t="s">
        <v>13</v>
      </c>
      <c r="F675" t="s">
        <v>18</v>
      </c>
      <c r="G675">
        <v>1832</v>
      </c>
      <c r="H675" s="5">
        <v>49.01</v>
      </c>
      <c r="I675" s="5">
        <v>41.86</v>
      </c>
      <c r="J675">
        <v>52</v>
      </c>
      <c r="K675" t="s">
        <v>15</v>
      </c>
      <c r="L675">
        <f t="shared" si="43"/>
        <v>17</v>
      </c>
      <c r="M675">
        <v>11</v>
      </c>
      <c r="N675">
        <f t="shared" si="40"/>
        <v>6</v>
      </c>
      <c r="O675" t="str">
        <f xml:space="preserve"> IF(AND(Table1[[#This Row],[Actual_Lead_Time]] &lt;= Table1[[#This Row],[Standard_Lead_Time]], OR(ISBLANK(J675), J675 = 0)), "OTIF", "Non-OTIF")</f>
        <v>Non-OTIF</v>
      </c>
      <c r="P675">
        <f>IF(Table1[[#This Row],[OTIF_Status]] = "OTIF", 1, 0)</f>
        <v>0</v>
      </c>
      <c r="Q675" s="5">
        <f t="shared" si="41"/>
        <v>89786.319999999992</v>
      </c>
      <c r="R675" s="5">
        <f t="shared" si="42"/>
        <v>76687.520000000004</v>
      </c>
      <c r="S675" s="5">
        <f>Table1[[#This Row],[Total_Line_Spend]]-Table1[[#This Row],[Negotiated_Total]]</f>
        <v>13098.799999999988</v>
      </c>
      <c r="T675" t="str">
        <f xml:space="preserve"> IF(Table1[[#This Row],[Delay_Days]] &gt; 4, "High Risk", IF(Table1[[#This Row],[Delay_Days]] &gt; 0, "Medium Risk", "Low Risk"))</f>
        <v>High Risk</v>
      </c>
    </row>
    <row r="676" spans="1:20" x14ac:dyDescent="0.25">
      <c r="A676" t="s">
        <v>701</v>
      </c>
      <c r="B676" t="s">
        <v>807</v>
      </c>
      <c r="C676" s="1">
        <v>44992</v>
      </c>
      <c r="D676" s="1">
        <v>45012</v>
      </c>
      <c r="E676" t="s">
        <v>26</v>
      </c>
      <c r="F676" t="s">
        <v>18</v>
      </c>
      <c r="G676">
        <v>307</v>
      </c>
      <c r="H676" s="5">
        <v>95.36</v>
      </c>
      <c r="I676" s="5">
        <v>83.63</v>
      </c>
      <c r="J676">
        <v>29</v>
      </c>
      <c r="K676" t="s">
        <v>15</v>
      </c>
      <c r="L676">
        <f t="shared" si="43"/>
        <v>20</v>
      </c>
      <c r="M676">
        <v>11</v>
      </c>
      <c r="N676">
        <f t="shared" si="40"/>
        <v>9</v>
      </c>
      <c r="O676" t="str">
        <f xml:space="preserve"> IF(AND(Table1[[#This Row],[Actual_Lead_Time]] &lt;= Table1[[#This Row],[Standard_Lead_Time]], OR(ISBLANK(J676), J676 = 0)), "OTIF", "Non-OTIF")</f>
        <v>Non-OTIF</v>
      </c>
      <c r="P676">
        <f>IF(Table1[[#This Row],[OTIF_Status]] = "OTIF", 1, 0)</f>
        <v>0</v>
      </c>
      <c r="Q676" s="5">
        <f t="shared" si="41"/>
        <v>29275.52</v>
      </c>
      <c r="R676" s="5">
        <f t="shared" si="42"/>
        <v>25674.41</v>
      </c>
      <c r="S676" s="5">
        <f>Table1[[#This Row],[Total_Line_Spend]]-Table1[[#This Row],[Negotiated_Total]]</f>
        <v>3601.1100000000006</v>
      </c>
      <c r="T676" t="str">
        <f xml:space="preserve"> IF(Table1[[#This Row],[Delay_Days]] &gt; 4, "High Risk", IF(Table1[[#This Row],[Delay_Days]] &gt; 0, "Medium Risk", "Low Risk"))</f>
        <v>High Risk</v>
      </c>
    </row>
    <row r="677" spans="1:20" x14ac:dyDescent="0.25">
      <c r="A677" t="s">
        <v>702</v>
      </c>
      <c r="B677" t="s">
        <v>808</v>
      </c>
      <c r="C677" s="1">
        <v>44960</v>
      </c>
      <c r="D677" s="1">
        <v>44965</v>
      </c>
      <c r="E677" t="s">
        <v>13</v>
      </c>
      <c r="F677" t="s">
        <v>18</v>
      </c>
      <c r="G677">
        <v>546</v>
      </c>
      <c r="H677" s="5">
        <v>101.2</v>
      </c>
      <c r="I677" s="5">
        <v>97.82</v>
      </c>
      <c r="J677">
        <v>21</v>
      </c>
      <c r="K677" t="s">
        <v>15</v>
      </c>
      <c r="L677">
        <f t="shared" si="43"/>
        <v>5</v>
      </c>
      <c r="M677">
        <v>11</v>
      </c>
      <c r="N677">
        <f t="shared" si="40"/>
        <v>0</v>
      </c>
      <c r="O677" t="str">
        <f xml:space="preserve"> IF(AND(Table1[[#This Row],[Actual_Lead_Time]] &lt;= Table1[[#This Row],[Standard_Lead_Time]], OR(ISBLANK(J677), J677 = 0)), "OTIF", "Non-OTIF")</f>
        <v>Non-OTIF</v>
      </c>
      <c r="P677">
        <f>IF(Table1[[#This Row],[OTIF_Status]] = "OTIF", 1, 0)</f>
        <v>0</v>
      </c>
      <c r="Q677" s="5">
        <f t="shared" si="41"/>
        <v>55255.200000000004</v>
      </c>
      <c r="R677" s="5">
        <f t="shared" si="42"/>
        <v>53409.719999999994</v>
      </c>
      <c r="S677" s="5">
        <f>Table1[[#This Row],[Total_Line_Spend]]-Table1[[#This Row],[Negotiated_Total]]</f>
        <v>1845.4800000000105</v>
      </c>
      <c r="T677" t="str">
        <f xml:space="preserve"> IF(Table1[[#This Row],[Delay_Days]] &gt; 4, "High Risk", IF(Table1[[#This Row],[Delay_Days]] &gt; 0, "Medium Risk", "Low Risk"))</f>
        <v>Low Risk</v>
      </c>
    </row>
    <row r="678" spans="1:20" x14ac:dyDescent="0.25">
      <c r="A678" t="s">
        <v>703</v>
      </c>
      <c r="B678" t="s">
        <v>805</v>
      </c>
      <c r="C678" s="1">
        <v>45160</v>
      </c>
      <c r="D678" s="1">
        <v>45180</v>
      </c>
      <c r="E678" t="s">
        <v>26</v>
      </c>
      <c r="F678" t="s">
        <v>18</v>
      </c>
      <c r="G678">
        <v>945</v>
      </c>
      <c r="H678" s="5">
        <v>57.01</v>
      </c>
      <c r="I678" s="5">
        <v>55.14</v>
      </c>
      <c r="J678">
        <v>147</v>
      </c>
      <c r="K678" t="s">
        <v>27</v>
      </c>
      <c r="L678">
        <f t="shared" si="43"/>
        <v>20</v>
      </c>
      <c r="M678">
        <v>11</v>
      </c>
      <c r="N678">
        <f t="shared" si="40"/>
        <v>9</v>
      </c>
      <c r="O678" t="str">
        <f xml:space="preserve"> IF(AND(Table1[[#This Row],[Actual_Lead_Time]] &lt;= Table1[[#This Row],[Standard_Lead_Time]], OR(ISBLANK(J678), J678 = 0)), "OTIF", "Non-OTIF")</f>
        <v>Non-OTIF</v>
      </c>
      <c r="P678">
        <f>IF(Table1[[#This Row],[OTIF_Status]] = "OTIF", 1, 0)</f>
        <v>0</v>
      </c>
      <c r="Q678" s="5">
        <f t="shared" si="41"/>
        <v>53874.45</v>
      </c>
      <c r="R678" s="5">
        <f t="shared" si="42"/>
        <v>52107.3</v>
      </c>
      <c r="S678" s="5">
        <f>Table1[[#This Row],[Total_Line_Spend]]-Table1[[#This Row],[Negotiated_Total]]</f>
        <v>1767.1499999999942</v>
      </c>
      <c r="T678" t="str">
        <f xml:space="preserve"> IF(Table1[[#This Row],[Delay_Days]] &gt; 4, "High Risk", IF(Table1[[#This Row],[Delay_Days]] &gt; 0, "Medium Risk", "Low Risk"))</f>
        <v>High Risk</v>
      </c>
    </row>
    <row r="679" spans="1:20" x14ac:dyDescent="0.25">
      <c r="A679" t="s">
        <v>704</v>
      </c>
      <c r="B679" t="s">
        <v>805</v>
      </c>
      <c r="C679" s="1">
        <v>45274</v>
      </c>
      <c r="D679" s="1">
        <v>45287</v>
      </c>
      <c r="E679" t="s">
        <v>21</v>
      </c>
      <c r="F679" t="s">
        <v>35</v>
      </c>
      <c r="G679">
        <v>209</v>
      </c>
      <c r="H679" s="5">
        <v>72.709999999999994</v>
      </c>
      <c r="I679" s="5">
        <v>64.34</v>
      </c>
      <c r="J679">
        <v>39</v>
      </c>
      <c r="K679" t="s">
        <v>15</v>
      </c>
      <c r="L679">
        <f t="shared" si="43"/>
        <v>13</v>
      </c>
      <c r="M679">
        <v>11</v>
      </c>
      <c r="N679">
        <f t="shared" si="40"/>
        <v>2</v>
      </c>
      <c r="O679" t="str">
        <f xml:space="preserve"> IF(AND(Table1[[#This Row],[Actual_Lead_Time]] &lt;= Table1[[#This Row],[Standard_Lead_Time]], OR(ISBLANK(J679), J679 = 0)), "OTIF", "Non-OTIF")</f>
        <v>Non-OTIF</v>
      </c>
      <c r="P679">
        <f>IF(Table1[[#This Row],[OTIF_Status]] = "OTIF", 1, 0)</f>
        <v>0</v>
      </c>
      <c r="Q679" s="5">
        <f t="shared" si="41"/>
        <v>15196.39</v>
      </c>
      <c r="R679" s="5">
        <f t="shared" si="42"/>
        <v>13447.060000000001</v>
      </c>
      <c r="S679" s="5">
        <f>Table1[[#This Row],[Total_Line_Spend]]-Table1[[#This Row],[Negotiated_Total]]</f>
        <v>1749.3299999999981</v>
      </c>
      <c r="T679" t="str">
        <f xml:space="preserve"> IF(Table1[[#This Row],[Delay_Days]] &gt; 4, "High Risk", IF(Table1[[#This Row],[Delay_Days]] &gt; 0, "Medium Risk", "Low Risk"))</f>
        <v>Medium Risk</v>
      </c>
    </row>
    <row r="680" spans="1:20" x14ac:dyDescent="0.25">
      <c r="A680" t="s">
        <v>705</v>
      </c>
      <c r="B680" t="s">
        <v>807</v>
      </c>
      <c r="C680" s="1">
        <v>44582</v>
      </c>
      <c r="D680" s="1">
        <v>44593</v>
      </c>
      <c r="E680" t="s">
        <v>24</v>
      </c>
      <c r="F680" t="s">
        <v>18</v>
      </c>
      <c r="G680">
        <v>1548</v>
      </c>
      <c r="H680" s="5">
        <v>25.03</v>
      </c>
      <c r="I680" s="5">
        <v>22.87</v>
      </c>
      <c r="K680" t="s">
        <v>15</v>
      </c>
      <c r="L680">
        <f t="shared" si="43"/>
        <v>11</v>
      </c>
      <c r="M680">
        <v>11</v>
      </c>
      <c r="N680">
        <f t="shared" si="40"/>
        <v>0</v>
      </c>
      <c r="O680" t="str">
        <f xml:space="preserve"> IF(AND(Table1[[#This Row],[Actual_Lead_Time]] &lt;= Table1[[#This Row],[Standard_Lead_Time]], OR(ISBLANK(J680), J680 = 0)), "OTIF", "Non-OTIF")</f>
        <v>OTIF</v>
      </c>
      <c r="P680">
        <f>IF(Table1[[#This Row],[OTIF_Status]] = "OTIF", 1, 0)</f>
        <v>1</v>
      </c>
      <c r="Q680" s="5">
        <f t="shared" si="41"/>
        <v>38746.44</v>
      </c>
      <c r="R680" s="5">
        <f t="shared" si="42"/>
        <v>35402.76</v>
      </c>
      <c r="S680" s="5">
        <f>Table1[[#This Row],[Total_Line_Spend]]-Table1[[#This Row],[Negotiated_Total]]</f>
        <v>3343.6800000000003</v>
      </c>
      <c r="T680" t="str">
        <f xml:space="preserve"> IF(Table1[[#This Row],[Delay_Days]] &gt; 4, "High Risk", IF(Table1[[#This Row],[Delay_Days]] &gt; 0, "Medium Risk", "Low Risk"))</f>
        <v>Low Risk</v>
      </c>
    </row>
    <row r="681" spans="1:20" x14ac:dyDescent="0.25">
      <c r="A681" t="s">
        <v>706</v>
      </c>
      <c r="B681" t="s">
        <v>805</v>
      </c>
      <c r="C681" s="1">
        <v>45151</v>
      </c>
      <c r="D681" s="1">
        <v>45161</v>
      </c>
      <c r="E681" t="s">
        <v>26</v>
      </c>
      <c r="F681" t="s">
        <v>18</v>
      </c>
      <c r="G681">
        <v>901</v>
      </c>
      <c r="H681" s="5">
        <v>108.63</v>
      </c>
      <c r="I681" s="5">
        <v>106.3</v>
      </c>
      <c r="J681">
        <v>141</v>
      </c>
      <c r="K681" t="s">
        <v>15</v>
      </c>
      <c r="L681">
        <f t="shared" si="43"/>
        <v>10</v>
      </c>
      <c r="M681">
        <v>11</v>
      </c>
      <c r="N681">
        <f t="shared" si="40"/>
        <v>0</v>
      </c>
      <c r="O681" t="str">
        <f xml:space="preserve"> IF(AND(Table1[[#This Row],[Actual_Lead_Time]] &lt;= Table1[[#This Row],[Standard_Lead_Time]], OR(ISBLANK(J681), J681 = 0)), "OTIF", "Non-OTIF")</f>
        <v>Non-OTIF</v>
      </c>
      <c r="P681">
        <f>IF(Table1[[#This Row],[OTIF_Status]] = "OTIF", 1, 0)</f>
        <v>0</v>
      </c>
      <c r="Q681" s="5">
        <f t="shared" si="41"/>
        <v>97875.62999999999</v>
      </c>
      <c r="R681" s="5">
        <f t="shared" si="42"/>
        <v>95776.3</v>
      </c>
      <c r="S681" s="5">
        <f>Table1[[#This Row],[Total_Line_Spend]]-Table1[[#This Row],[Negotiated_Total]]</f>
        <v>2099.3299999999872</v>
      </c>
      <c r="T681" t="str">
        <f xml:space="preserve"> IF(Table1[[#This Row],[Delay_Days]] &gt; 4, "High Risk", IF(Table1[[#This Row],[Delay_Days]] &gt; 0, "Medium Risk", "Low Risk"))</f>
        <v>Low Risk</v>
      </c>
    </row>
    <row r="682" spans="1:20" x14ac:dyDescent="0.25">
      <c r="A682" t="s">
        <v>707</v>
      </c>
      <c r="B682" t="s">
        <v>808</v>
      </c>
      <c r="C682" s="1">
        <v>44951</v>
      </c>
      <c r="D682" s="1">
        <v>44968</v>
      </c>
      <c r="E682" t="s">
        <v>24</v>
      </c>
      <c r="F682" t="s">
        <v>18</v>
      </c>
      <c r="G682">
        <v>1737</v>
      </c>
      <c r="H682" s="5">
        <v>32.700000000000003</v>
      </c>
      <c r="I682" s="5">
        <v>31.02</v>
      </c>
      <c r="J682">
        <v>48</v>
      </c>
      <c r="K682" t="s">
        <v>15</v>
      </c>
      <c r="L682">
        <f t="shared" si="43"/>
        <v>17</v>
      </c>
      <c r="M682">
        <v>11</v>
      </c>
      <c r="N682">
        <f t="shared" si="40"/>
        <v>6</v>
      </c>
      <c r="O682" t="str">
        <f xml:space="preserve"> IF(AND(Table1[[#This Row],[Actual_Lead_Time]] &lt;= Table1[[#This Row],[Standard_Lead_Time]], OR(ISBLANK(J682), J682 = 0)), "OTIF", "Non-OTIF")</f>
        <v>Non-OTIF</v>
      </c>
      <c r="P682">
        <f>IF(Table1[[#This Row],[OTIF_Status]] = "OTIF", 1, 0)</f>
        <v>0</v>
      </c>
      <c r="Q682" s="5">
        <f t="shared" si="41"/>
        <v>56799.9</v>
      </c>
      <c r="R682" s="5">
        <f t="shared" si="42"/>
        <v>53881.74</v>
      </c>
      <c r="S682" s="5">
        <f>Table1[[#This Row],[Total_Line_Spend]]-Table1[[#This Row],[Negotiated_Total]]</f>
        <v>2918.1600000000035</v>
      </c>
      <c r="T682" t="str">
        <f xml:space="preserve"> IF(Table1[[#This Row],[Delay_Days]] &gt; 4, "High Risk", IF(Table1[[#This Row],[Delay_Days]] &gt; 0, "Medium Risk", "Low Risk"))</f>
        <v>High Risk</v>
      </c>
    </row>
    <row r="683" spans="1:20" x14ac:dyDescent="0.25">
      <c r="A683" t="s">
        <v>708</v>
      </c>
      <c r="B683" t="s">
        <v>807</v>
      </c>
      <c r="C683" s="1">
        <v>45050</v>
      </c>
      <c r="D683" s="1">
        <v>45068</v>
      </c>
      <c r="E683" t="s">
        <v>26</v>
      </c>
      <c r="F683" t="s">
        <v>18</v>
      </c>
      <c r="G683">
        <v>1981</v>
      </c>
      <c r="H683" s="5">
        <v>102.43</v>
      </c>
      <c r="I683" s="5">
        <v>90.99</v>
      </c>
      <c r="J683">
        <v>204</v>
      </c>
      <c r="K683" t="s">
        <v>15</v>
      </c>
      <c r="L683">
        <f t="shared" si="43"/>
        <v>18</v>
      </c>
      <c r="M683">
        <v>11</v>
      </c>
      <c r="N683">
        <f t="shared" si="40"/>
        <v>7</v>
      </c>
      <c r="O683" t="str">
        <f xml:space="preserve"> IF(AND(Table1[[#This Row],[Actual_Lead_Time]] &lt;= Table1[[#This Row],[Standard_Lead_Time]], OR(ISBLANK(J683), J683 = 0)), "OTIF", "Non-OTIF")</f>
        <v>Non-OTIF</v>
      </c>
      <c r="P683">
        <f>IF(Table1[[#This Row],[OTIF_Status]] = "OTIF", 1, 0)</f>
        <v>0</v>
      </c>
      <c r="Q683" s="5">
        <f t="shared" si="41"/>
        <v>202913.83000000002</v>
      </c>
      <c r="R683" s="5">
        <f t="shared" si="42"/>
        <v>180251.19</v>
      </c>
      <c r="S683" s="5">
        <f>Table1[[#This Row],[Total_Line_Spend]]-Table1[[#This Row],[Negotiated_Total]]</f>
        <v>22662.640000000014</v>
      </c>
      <c r="T683" t="str">
        <f xml:space="preserve"> IF(Table1[[#This Row],[Delay_Days]] &gt; 4, "High Risk", IF(Table1[[#This Row],[Delay_Days]] &gt; 0, "Medium Risk", "Low Risk"))</f>
        <v>High Risk</v>
      </c>
    </row>
    <row r="684" spans="1:20" x14ac:dyDescent="0.25">
      <c r="A684" t="s">
        <v>709</v>
      </c>
      <c r="B684" t="s">
        <v>808</v>
      </c>
      <c r="C684" s="1">
        <v>44568</v>
      </c>
      <c r="D684" s="1">
        <v>44587</v>
      </c>
      <c r="E684" t="s">
        <v>21</v>
      </c>
      <c r="F684" t="s">
        <v>35</v>
      </c>
      <c r="G684">
        <v>739</v>
      </c>
      <c r="H684" s="5">
        <v>68.47</v>
      </c>
      <c r="I684" s="5">
        <v>66.09</v>
      </c>
      <c r="J684">
        <v>19</v>
      </c>
      <c r="K684" t="s">
        <v>15</v>
      </c>
      <c r="L684">
        <f t="shared" si="43"/>
        <v>19</v>
      </c>
      <c r="M684">
        <v>11</v>
      </c>
      <c r="N684">
        <f t="shared" si="40"/>
        <v>8</v>
      </c>
      <c r="O684" t="str">
        <f xml:space="preserve"> IF(AND(Table1[[#This Row],[Actual_Lead_Time]] &lt;= Table1[[#This Row],[Standard_Lead_Time]], OR(ISBLANK(J684), J684 = 0)), "OTIF", "Non-OTIF")</f>
        <v>Non-OTIF</v>
      </c>
      <c r="P684">
        <f>IF(Table1[[#This Row],[OTIF_Status]] = "OTIF", 1, 0)</f>
        <v>0</v>
      </c>
      <c r="Q684" s="5">
        <f t="shared" si="41"/>
        <v>50599.33</v>
      </c>
      <c r="R684" s="5">
        <f t="shared" si="42"/>
        <v>48840.51</v>
      </c>
      <c r="S684" s="5">
        <f>Table1[[#This Row],[Total_Line_Spend]]-Table1[[#This Row],[Negotiated_Total]]</f>
        <v>1758.8199999999997</v>
      </c>
      <c r="T684" t="str">
        <f xml:space="preserve"> IF(Table1[[#This Row],[Delay_Days]] &gt; 4, "High Risk", IF(Table1[[#This Row],[Delay_Days]] &gt; 0, "Medium Risk", "Low Risk"))</f>
        <v>High Risk</v>
      </c>
    </row>
    <row r="685" spans="1:20" x14ac:dyDescent="0.25">
      <c r="A685" t="s">
        <v>710</v>
      </c>
      <c r="B685" t="s">
        <v>807</v>
      </c>
      <c r="C685" s="1">
        <v>44922</v>
      </c>
      <c r="D685" s="1">
        <v>44923</v>
      </c>
      <c r="E685" t="s">
        <v>26</v>
      </c>
      <c r="F685" t="s">
        <v>18</v>
      </c>
      <c r="G685">
        <v>1748</v>
      </c>
      <c r="H685" s="5">
        <v>68.25</v>
      </c>
      <c r="I685" s="5">
        <v>62.84</v>
      </c>
      <c r="J685">
        <v>171</v>
      </c>
      <c r="K685" t="s">
        <v>15</v>
      </c>
      <c r="L685">
        <f t="shared" si="43"/>
        <v>1</v>
      </c>
      <c r="M685">
        <v>11</v>
      </c>
      <c r="N685">
        <f t="shared" si="40"/>
        <v>0</v>
      </c>
      <c r="O685" t="str">
        <f xml:space="preserve"> IF(AND(Table1[[#This Row],[Actual_Lead_Time]] &lt;= Table1[[#This Row],[Standard_Lead_Time]], OR(ISBLANK(J685), J685 = 0)), "OTIF", "Non-OTIF")</f>
        <v>Non-OTIF</v>
      </c>
      <c r="P685">
        <f>IF(Table1[[#This Row],[OTIF_Status]] = "OTIF", 1, 0)</f>
        <v>0</v>
      </c>
      <c r="Q685" s="5">
        <f t="shared" si="41"/>
        <v>119301</v>
      </c>
      <c r="R685" s="5">
        <f t="shared" si="42"/>
        <v>109844.32</v>
      </c>
      <c r="S685" s="5">
        <f>Table1[[#This Row],[Total_Line_Spend]]-Table1[[#This Row],[Negotiated_Total]]</f>
        <v>9456.679999999993</v>
      </c>
      <c r="T685" t="str">
        <f xml:space="preserve"> IF(Table1[[#This Row],[Delay_Days]] &gt; 4, "High Risk", IF(Table1[[#This Row],[Delay_Days]] &gt; 0, "Medium Risk", "Low Risk"))</f>
        <v>Low Risk</v>
      </c>
    </row>
    <row r="686" spans="1:20" x14ac:dyDescent="0.25">
      <c r="A686" t="s">
        <v>711</v>
      </c>
      <c r="B686" t="s">
        <v>805</v>
      </c>
      <c r="C686" s="1">
        <v>44867</v>
      </c>
      <c r="D686" s="1">
        <v>44871</v>
      </c>
      <c r="E686" t="s">
        <v>13</v>
      </c>
      <c r="F686" t="s">
        <v>14</v>
      </c>
      <c r="G686">
        <v>429</v>
      </c>
      <c r="H686" s="5">
        <v>58.95</v>
      </c>
      <c r="I686" s="5">
        <v>55.35</v>
      </c>
      <c r="J686">
        <v>59</v>
      </c>
      <c r="K686" t="s">
        <v>27</v>
      </c>
      <c r="L686">
        <f t="shared" si="43"/>
        <v>4</v>
      </c>
      <c r="M686">
        <v>11</v>
      </c>
      <c r="N686">
        <f t="shared" si="40"/>
        <v>0</v>
      </c>
      <c r="O686" t="str">
        <f xml:space="preserve"> IF(AND(Table1[[#This Row],[Actual_Lead_Time]] &lt;= Table1[[#This Row],[Standard_Lead_Time]], OR(ISBLANK(J686), J686 = 0)), "OTIF", "Non-OTIF")</f>
        <v>Non-OTIF</v>
      </c>
      <c r="P686">
        <f>IF(Table1[[#This Row],[OTIF_Status]] = "OTIF", 1, 0)</f>
        <v>0</v>
      </c>
      <c r="Q686" s="5">
        <f t="shared" si="41"/>
        <v>25289.550000000003</v>
      </c>
      <c r="R686" s="5">
        <f t="shared" si="42"/>
        <v>23745.15</v>
      </c>
      <c r="S686" s="5">
        <f>Table1[[#This Row],[Total_Line_Spend]]-Table1[[#This Row],[Negotiated_Total]]</f>
        <v>1544.4000000000015</v>
      </c>
      <c r="T686" t="str">
        <f xml:space="preserve"> IF(Table1[[#This Row],[Delay_Days]] &gt; 4, "High Risk", IF(Table1[[#This Row],[Delay_Days]] &gt; 0, "Medium Risk", "Low Risk"))</f>
        <v>Low Risk</v>
      </c>
    </row>
    <row r="687" spans="1:20" x14ac:dyDescent="0.25">
      <c r="A687" t="s">
        <v>712</v>
      </c>
      <c r="B687" t="s">
        <v>806</v>
      </c>
      <c r="C687" s="1">
        <v>44961</v>
      </c>
      <c r="D687" s="1">
        <v>44971</v>
      </c>
      <c r="E687" t="s">
        <v>39</v>
      </c>
      <c r="F687" t="s">
        <v>18</v>
      </c>
      <c r="G687">
        <v>1618</v>
      </c>
      <c r="H687" s="5">
        <v>32.76</v>
      </c>
      <c r="I687" s="5">
        <v>28.41</v>
      </c>
      <c r="J687">
        <v>62</v>
      </c>
      <c r="K687" t="s">
        <v>15</v>
      </c>
      <c r="L687">
        <f t="shared" si="43"/>
        <v>10</v>
      </c>
      <c r="M687">
        <v>11</v>
      </c>
      <c r="N687">
        <f t="shared" si="40"/>
        <v>0</v>
      </c>
      <c r="O687" t="str">
        <f xml:space="preserve"> IF(AND(Table1[[#This Row],[Actual_Lead_Time]] &lt;= Table1[[#This Row],[Standard_Lead_Time]], OR(ISBLANK(J687), J687 = 0)), "OTIF", "Non-OTIF")</f>
        <v>Non-OTIF</v>
      </c>
      <c r="P687">
        <f>IF(Table1[[#This Row],[OTIF_Status]] = "OTIF", 1, 0)</f>
        <v>0</v>
      </c>
      <c r="Q687" s="5">
        <f t="shared" si="41"/>
        <v>53005.68</v>
      </c>
      <c r="R687" s="5">
        <f t="shared" si="42"/>
        <v>45967.38</v>
      </c>
      <c r="S687" s="5">
        <f>Table1[[#This Row],[Total_Line_Spend]]-Table1[[#This Row],[Negotiated_Total]]</f>
        <v>7038.3000000000029</v>
      </c>
      <c r="T687" t="str">
        <f xml:space="preserve"> IF(Table1[[#This Row],[Delay_Days]] &gt; 4, "High Risk", IF(Table1[[#This Row],[Delay_Days]] &gt; 0, "Medium Risk", "Low Risk"))</f>
        <v>Low Risk</v>
      </c>
    </row>
    <row r="688" spans="1:20" x14ac:dyDescent="0.25">
      <c r="A688" t="s">
        <v>713</v>
      </c>
      <c r="B688" t="s">
        <v>807</v>
      </c>
      <c r="C688" s="1">
        <v>44991</v>
      </c>
      <c r="D688" s="1">
        <v>44992</v>
      </c>
      <c r="E688" t="s">
        <v>24</v>
      </c>
      <c r="F688" t="s">
        <v>18</v>
      </c>
      <c r="G688">
        <v>1006</v>
      </c>
      <c r="H688" s="5">
        <v>27.7</v>
      </c>
      <c r="I688" s="5">
        <v>23.66</v>
      </c>
      <c r="J688">
        <v>101</v>
      </c>
      <c r="K688" t="s">
        <v>27</v>
      </c>
      <c r="L688">
        <f t="shared" si="43"/>
        <v>1</v>
      </c>
      <c r="M688">
        <v>11</v>
      </c>
      <c r="N688">
        <f t="shared" si="40"/>
        <v>0</v>
      </c>
      <c r="O688" t="str">
        <f xml:space="preserve"> IF(AND(Table1[[#This Row],[Actual_Lead_Time]] &lt;= Table1[[#This Row],[Standard_Lead_Time]], OR(ISBLANK(J688), J688 = 0)), "OTIF", "Non-OTIF")</f>
        <v>Non-OTIF</v>
      </c>
      <c r="P688">
        <f>IF(Table1[[#This Row],[OTIF_Status]] = "OTIF", 1, 0)</f>
        <v>0</v>
      </c>
      <c r="Q688" s="5">
        <f t="shared" si="41"/>
        <v>27866.2</v>
      </c>
      <c r="R688" s="5">
        <f t="shared" si="42"/>
        <v>23801.96</v>
      </c>
      <c r="S688" s="5">
        <f>Table1[[#This Row],[Total_Line_Spend]]-Table1[[#This Row],[Negotiated_Total]]</f>
        <v>4064.2400000000016</v>
      </c>
      <c r="T688" t="str">
        <f xml:space="preserve"> IF(Table1[[#This Row],[Delay_Days]] &gt; 4, "High Risk", IF(Table1[[#This Row],[Delay_Days]] &gt; 0, "Medium Risk", "Low Risk"))</f>
        <v>Low Risk</v>
      </c>
    </row>
    <row r="689" spans="1:20" x14ac:dyDescent="0.25">
      <c r="A689" t="s">
        <v>714</v>
      </c>
      <c r="B689" t="s">
        <v>807</v>
      </c>
      <c r="C689" s="1">
        <v>45113</v>
      </c>
      <c r="D689" s="1">
        <v>45122</v>
      </c>
      <c r="E689" t="s">
        <v>39</v>
      </c>
      <c r="F689" t="s">
        <v>33</v>
      </c>
      <c r="G689">
        <v>740</v>
      </c>
      <c r="H689" s="5">
        <v>32.53</v>
      </c>
      <c r="I689" s="5">
        <v>29.35</v>
      </c>
      <c r="J689">
        <v>84</v>
      </c>
      <c r="K689" t="s">
        <v>15</v>
      </c>
      <c r="L689">
        <f t="shared" si="43"/>
        <v>9</v>
      </c>
      <c r="M689">
        <v>11</v>
      </c>
      <c r="N689">
        <f t="shared" si="40"/>
        <v>0</v>
      </c>
      <c r="O689" t="str">
        <f xml:space="preserve"> IF(AND(Table1[[#This Row],[Actual_Lead_Time]] &lt;= Table1[[#This Row],[Standard_Lead_Time]], OR(ISBLANK(J689), J689 = 0)), "OTIF", "Non-OTIF")</f>
        <v>Non-OTIF</v>
      </c>
      <c r="P689">
        <f>IF(Table1[[#This Row],[OTIF_Status]] = "OTIF", 1, 0)</f>
        <v>0</v>
      </c>
      <c r="Q689" s="5">
        <f t="shared" si="41"/>
        <v>24072.2</v>
      </c>
      <c r="R689" s="5">
        <f t="shared" si="42"/>
        <v>21719</v>
      </c>
      <c r="S689" s="5">
        <f>Table1[[#This Row],[Total_Line_Spend]]-Table1[[#This Row],[Negotiated_Total]]</f>
        <v>2353.2000000000007</v>
      </c>
      <c r="T689" t="str">
        <f xml:space="preserve"> IF(Table1[[#This Row],[Delay_Days]] &gt; 4, "High Risk", IF(Table1[[#This Row],[Delay_Days]] &gt; 0, "Medium Risk", "Low Risk"))</f>
        <v>Low Risk</v>
      </c>
    </row>
    <row r="690" spans="1:20" x14ac:dyDescent="0.25">
      <c r="A690" t="s">
        <v>715</v>
      </c>
      <c r="B690" t="s">
        <v>806</v>
      </c>
      <c r="C690" s="1">
        <v>45121</v>
      </c>
      <c r="D690" s="1">
        <v>45131</v>
      </c>
      <c r="E690" t="s">
        <v>26</v>
      </c>
      <c r="F690" t="s">
        <v>18</v>
      </c>
      <c r="G690">
        <v>1500</v>
      </c>
      <c r="H690" s="5">
        <v>29.19</v>
      </c>
      <c r="I690" s="5">
        <v>27.24</v>
      </c>
      <c r="J690">
        <v>72</v>
      </c>
      <c r="K690" t="s">
        <v>15</v>
      </c>
      <c r="L690">
        <f t="shared" si="43"/>
        <v>10</v>
      </c>
      <c r="M690">
        <v>11</v>
      </c>
      <c r="N690">
        <f t="shared" si="40"/>
        <v>0</v>
      </c>
      <c r="O690" t="str">
        <f xml:space="preserve"> IF(AND(Table1[[#This Row],[Actual_Lead_Time]] &lt;= Table1[[#This Row],[Standard_Lead_Time]], OR(ISBLANK(J690), J690 = 0)), "OTIF", "Non-OTIF")</f>
        <v>Non-OTIF</v>
      </c>
      <c r="P690">
        <f>IF(Table1[[#This Row],[OTIF_Status]] = "OTIF", 1, 0)</f>
        <v>0</v>
      </c>
      <c r="Q690" s="5">
        <f t="shared" si="41"/>
        <v>43785</v>
      </c>
      <c r="R690" s="5">
        <f t="shared" si="42"/>
        <v>40860</v>
      </c>
      <c r="S690" s="5">
        <f>Table1[[#This Row],[Total_Line_Spend]]-Table1[[#This Row],[Negotiated_Total]]</f>
        <v>2925</v>
      </c>
      <c r="T690" t="str">
        <f xml:space="preserve"> IF(Table1[[#This Row],[Delay_Days]] &gt; 4, "High Risk", IF(Table1[[#This Row],[Delay_Days]] &gt; 0, "Medium Risk", "Low Risk"))</f>
        <v>Low Risk</v>
      </c>
    </row>
    <row r="691" spans="1:20" x14ac:dyDescent="0.25">
      <c r="A691" t="s">
        <v>716</v>
      </c>
      <c r="B691" t="s">
        <v>805</v>
      </c>
      <c r="C691" s="1">
        <v>45179</v>
      </c>
      <c r="D691" s="1">
        <v>45198</v>
      </c>
      <c r="E691" t="s">
        <v>13</v>
      </c>
      <c r="F691" t="s">
        <v>14</v>
      </c>
      <c r="G691">
        <v>1686</v>
      </c>
      <c r="H691" s="5">
        <v>88.18</v>
      </c>
      <c r="I691" s="5">
        <v>77.150000000000006</v>
      </c>
      <c r="K691" t="s">
        <v>15</v>
      </c>
      <c r="L691">
        <f t="shared" si="43"/>
        <v>19</v>
      </c>
      <c r="M691">
        <v>11</v>
      </c>
      <c r="N691">
        <f t="shared" si="40"/>
        <v>8</v>
      </c>
      <c r="O691" t="str">
        <f xml:space="preserve"> IF(AND(Table1[[#This Row],[Actual_Lead_Time]] &lt;= Table1[[#This Row],[Standard_Lead_Time]], OR(ISBLANK(J691), J691 = 0)), "OTIF", "Non-OTIF")</f>
        <v>Non-OTIF</v>
      </c>
      <c r="P691">
        <f>IF(Table1[[#This Row],[OTIF_Status]] = "OTIF", 1, 0)</f>
        <v>0</v>
      </c>
      <c r="Q691" s="5">
        <f t="shared" si="41"/>
        <v>148671.48000000001</v>
      </c>
      <c r="R691" s="5">
        <f t="shared" si="42"/>
        <v>130074.90000000001</v>
      </c>
      <c r="S691" s="5">
        <f>Table1[[#This Row],[Total_Line_Spend]]-Table1[[#This Row],[Negotiated_Total]]</f>
        <v>18596.580000000002</v>
      </c>
      <c r="T691" t="str">
        <f xml:space="preserve"> IF(Table1[[#This Row],[Delay_Days]] &gt; 4, "High Risk", IF(Table1[[#This Row],[Delay_Days]] &gt; 0, "Medium Risk", "Low Risk"))</f>
        <v>High Risk</v>
      </c>
    </row>
    <row r="692" spans="1:20" x14ac:dyDescent="0.25">
      <c r="A692" t="s">
        <v>717</v>
      </c>
      <c r="B692" t="s">
        <v>808</v>
      </c>
      <c r="C692" s="1">
        <v>44787</v>
      </c>
      <c r="D692" s="1">
        <v>44789</v>
      </c>
      <c r="E692" t="s">
        <v>26</v>
      </c>
      <c r="F692" t="s">
        <v>14</v>
      </c>
      <c r="G692">
        <v>1341</v>
      </c>
      <c r="H692" s="5">
        <v>42.96</v>
      </c>
      <c r="I692" s="5">
        <v>41.75</v>
      </c>
      <c r="J692">
        <v>39</v>
      </c>
      <c r="K692" t="s">
        <v>15</v>
      </c>
      <c r="L692">
        <f t="shared" si="43"/>
        <v>2</v>
      </c>
      <c r="M692">
        <v>11</v>
      </c>
      <c r="N692">
        <f t="shared" si="40"/>
        <v>0</v>
      </c>
      <c r="O692" t="str">
        <f xml:space="preserve"> IF(AND(Table1[[#This Row],[Actual_Lead_Time]] &lt;= Table1[[#This Row],[Standard_Lead_Time]], OR(ISBLANK(J692), J692 = 0)), "OTIF", "Non-OTIF")</f>
        <v>Non-OTIF</v>
      </c>
      <c r="P692">
        <f>IF(Table1[[#This Row],[OTIF_Status]] = "OTIF", 1, 0)</f>
        <v>0</v>
      </c>
      <c r="Q692" s="5">
        <f t="shared" si="41"/>
        <v>57609.36</v>
      </c>
      <c r="R692" s="5">
        <f t="shared" si="42"/>
        <v>55986.75</v>
      </c>
      <c r="S692" s="5">
        <f>Table1[[#This Row],[Total_Line_Spend]]-Table1[[#This Row],[Negotiated_Total]]</f>
        <v>1622.6100000000006</v>
      </c>
      <c r="T692" t="str">
        <f xml:space="preserve"> IF(Table1[[#This Row],[Delay_Days]] &gt; 4, "High Risk", IF(Table1[[#This Row],[Delay_Days]] &gt; 0, "Medium Risk", "Low Risk"))</f>
        <v>Low Risk</v>
      </c>
    </row>
    <row r="693" spans="1:20" x14ac:dyDescent="0.25">
      <c r="A693" t="s">
        <v>718</v>
      </c>
      <c r="B693" t="s">
        <v>804</v>
      </c>
      <c r="C693" s="1">
        <v>45061</v>
      </c>
      <c r="D693" s="1">
        <v>45067</v>
      </c>
      <c r="E693" t="s">
        <v>21</v>
      </c>
      <c r="F693" t="s">
        <v>14</v>
      </c>
      <c r="G693">
        <v>1908</v>
      </c>
      <c r="H693" s="5">
        <v>16.420000000000002</v>
      </c>
      <c r="I693" s="5">
        <v>15.31</v>
      </c>
      <c r="J693">
        <v>36</v>
      </c>
      <c r="K693" t="s">
        <v>15</v>
      </c>
      <c r="L693">
        <f t="shared" si="43"/>
        <v>6</v>
      </c>
      <c r="M693">
        <v>11</v>
      </c>
      <c r="N693">
        <f t="shared" si="40"/>
        <v>0</v>
      </c>
      <c r="O693" t="str">
        <f xml:space="preserve"> IF(AND(Table1[[#This Row],[Actual_Lead_Time]] &lt;= Table1[[#This Row],[Standard_Lead_Time]], OR(ISBLANK(J693), J693 = 0)), "OTIF", "Non-OTIF")</f>
        <v>Non-OTIF</v>
      </c>
      <c r="P693">
        <f>IF(Table1[[#This Row],[OTIF_Status]] = "OTIF", 1, 0)</f>
        <v>0</v>
      </c>
      <c r="Q693" s="5">
        <f t="shared" si="41"/>
        <v>31329.360000000004</v>
      </c>
      <c r="R693" s="5">
        <f t="shared" si="42"/>
        <v>29211.48</v>
      </c>
      <c r="S693" s="5">
        <f>Table1[[#This Row],[Total_Line_Spend]]-Table1[[#This Row],[Negotiated_Total]]</f>
        <v>2117.8800000000047</v>
      </c>
      <c r="T693" t="str">
        <f xml:space="preserve"> IF(Table1[[#This Row],[Delay_Days]] &gt; 4, "High Risk", IF(Table1[[#This Row],[Delay_Days]] &gt; 0, "Medium Risk", "Low Risk"))</f>
        <v>Low Risk</v>
      </c>
    </row>
    <row r="694" spans="1:20" x14ac:dyDescent="0.25">
      <c r="A694" t="s">
        <v>719</v>
      </c>
      <c r="B694" t="s">
        <v>806</v>
      </c>
      <c r="C694" s="1">
        <v>44786</v>
      </c>
      <c r="D694" s="1">
        <v>44806</v>
      </c>
      <c r="E694" t="s">
        <v>21</v>
      </c>
      <c r="F694" t="s">
        <v>33</v>
      </c>
      <c r="G694">
        <v>1650</v>
      </c>
      <c r="H694" s="5">
        <v>100.62</v>
      </c>
      <c r="I694" s="5">
        <v>90.45</v>
      </c>
      <c r="J694">
        <v>85</v>
      </c>
      <c r="K694" t="s">
        <v>15</v>
      </c>
      <c r="L694">
        <f t="shared" si="43"/>
        <v>20</v>
      </c>
      <c r="M694">
        <v>11</v>
      </c>
      <c r="N694">
        <f t="shared" si="40"/>
        <v>9</v>
      </c>
      <c r="O694" t="str">
        <f xml:space="preserve"> IF(AND(Table1[[#This Row],[Actual_Lead_Time]] &lt;= Table1[[#This Row],[Standard_Lead_Time]], OR(ISBLANK(J694), J694 = 0)), "OTIF", "Non-OTIF")</f>
        <v>Non-OTIF</v>
      </c>
      <c r="P694">
        <f>IF(Table1[[#This Row],[OTIF_Status]] = "OTIF", 1, 0)</f>
        <v>0</v>
      </c>
      <c r="Q694" s="5">
        <f t="shared" si="41"/>
        <v>166023</v>
      </c>
      <c r="R694" s="5">
        <f t="shared" si="42"/>
        <v>149242.5</v>
      </c>
      <c r="S694" s="5">
        <f>Table1[[#This Row],[Total_Line_Spend]]-Table1[[#This Row],[Negotiated_Total]]</f>
        <v>16780.5</v>
      </c>
      <c r="T694" t="str">
        <f xml:space="preserve"> IF(Table1[[#This Row],[Delay_Days]] &gt; 4, "High Risk", IF(Table1[[#This Row],[Delay_Days]] &gt; 0, "Medium Risk", "Low Risk"))</f>
        <v>High Risk</v>
      </c>
    </row>
    <row r="695" spans="1:20" x14ac:dyDescent="0.25">
      <c r="A695" t="s">
        <v>720</v>
      </c>
      <c r="B695" t="s">
        <v>804</v>
      </c>
      <c r="C695" s="1">
        <v>44841</v>
      </c>
      <c r="D695" s="1">
        <v>44854</v>
      </c>
      <c r="E695" t="s">
        <v>21</v>
      </c>
      <c r="F695" t="s">
        <v>18</v>
      </c>
      <c r="G695">
        <v>1490</v>
      </c>
      <c r="H695" s="5">
        <v>93.57</v>
      </c>
      <c r="I695" s="5">
        <v>81.680000000000007</v>
      </c>
      <c r="J695">
        <v>29</v>
      </c>
      <c r="K695" t="s">
        <v>15</v>
      </c>
      <c r="L695">
        <f t="shared" si="43"/>
        <v>13</v>
      </c>
      <c r="M695">
        <v>11</v>
      </c>
      <c r="N695">
        <f t="shared" si="40"/>
        <v>2</v>
      </c>
      <c r="O695" t="str">
        <f xml:space="preserve"> IF(AND(Table1[[#This Row],[Actual_Lead_Time]] &lt;= Table1[[#This Row],[Standard_Lead_Time]], OR(ISBLANK(J695), J695 = 0)), "OTIF", "Non-OTIF")</f>
        <v>Non-OTIF</v>
      </c>
      <c r="P695">
        <f>IF(Table1[[#This Row],[OTIF_Status]] = "OTIF", 1, 0)</f>
        <v>0</v>
      </c>
      <c r="Q695" s="5">
        <f t="shared" si="41"/>
        <v>139419.29999999999</v>
      </c>
      <c r="R695" s="5">
        <f t="shared" si="42"/>
        <v>121703.20000000001</v>
      </c>
      <c r="S695" s="5">
        <f>Table1[[#This Row],[Total_Line_Spend]]-Table1[[#This Row],[Negotiated_Total]]</f>
        <v>17716.099999999977</v>
      </c>
      <c r="T695" t="str">
        <f xml:space="preserve"> IF(Table1[[#This Row],[Delay_Days]] &gt; 4, "High Risk", IF(Table1[[#This Row],[Delay_Days]] &gt; 0, "Medium Risk", "Low Risk"))</f>
        <v>Medium Risk</v>
      </c>
    </row>
    <row r="696" spans="1:20" x14ac:dyDescent="0.25">
      <c r="A696" t="s">
        <v>721</v>
      </c>
      <c r="B696" t="s">
        <v>805</v>
      </c>
      <c r="C696" s="1">
        <v>45008</v>
      </c>
      <c r="D696" s="1">
        <v>45016</v>
      </c>
      <c r="E696" t="s">
        <v>26</v>
      </c>
      <c r="F696" t="s">
        <v>18</v>
      </c>
      <c r="G696">
        <v>1241</v>
      </c>
      <c r="H696" s="5">
        <v>100.04</v>
      </c>
      <c r="I696" s="5">
        <v>97.56</v>
      </c>
      <c r="J696">
        <v>187</v>
      </c>
      <c r="K696" t="s">
        <v>15</v>
      </c>
      <c r="L696">
        <f t="shared" si="43"/>
        <v>8</v>
      </c>
      <c r="M696">
        <v>11</v>
      </c>
      <c r="N696">
        <f t="shared" si="40"/>
        <v>0</v>
      </c>
      <c r="O696" t="str">
        <f xml:space="preserve"> IF(AND(Table1[[#This Row],[Actual_Lead_Time]] &lt;= Table1[[#This Row],[Standard_Lead_Time]], OR(ISBLANK(J696), J696 = 0)), "OTIF", "Non-OTIF")</f>
        <v>Non-OTIF</v>
      </c>
      <c r="P696">
        <f>IF(Table1[[#This Row],[OTIF_Status]] = "OTIF", 1, 0)</f>
        <v>0</v>
      </c>
      <c r="Q696" s="5">
        <f t="shared" si="41"/>
        <v>124149.64000000001</v>
      </c>
      <c r="R696" s="5">
        <f t="shared" si="42"/>
        <v>121071.96</v>
      </c>
      <c r="S696" s="5">
        <f>Table1[[#This Row],[Total_Line_Spend]]-Table1[[#This Row],[Negotiated_Total]]</f>
        <v>3077.6800000000076</v>
      </c>
      <c r="T696" t="str">
        <f xml:space="preserve"> IF(Table1[[#This Row],[Delay_Days]] &gt; 4, "High Risk", IF(Table1[[#This Row],[Delay_Days]] &gt; 0, "Medium Risk", "Low Risk"))</f>
        <v>Low Risk</v>
      </c>
    </row>
    <row r="697" spans="1:20" x14ac:dyDescent="0.25">
      <c r="A697" t="s">
        <v>722</v>
      </c>
      <c r="B697" t="s">
        <v>807</v>
      </c>
      <c r="C697" s="1">
        <v>45059</v>
      </c>
      <c r="D697" s="1">
        <v>45063</v>
      </c>
      <c r="E697" t="s">
        <v>21</v>
      </c>
      <c r="F697" t="s">
        <v>18</v>
      </c>
      <c r="G697">
        <v>1915</v>
      </c>
      <c r="H697" s="5">
        <v>107.51</v>
      </c>
      <c r="I697" s="5">
        <v>102.66</v>
      </c>
      <c r="J697">
        <v>184</v>
      </c>
      <c r="K697" t="s">
        <v>15</v>
      </c>
      <c r="L697">
        <f t="shared" si="43"/>
        <v>4</v>
      </c>
      <c r="M697">
        <v>11</v>
      </c>
      <c r="N697">
        <f t="shared" si="40"/>
        <v>0</v>
      </c>
      <c r="O697" t="str">
        <f xml:space="preserve"> IF(AND(Table1[[#This Row],[Actual_Lead_Time]] &lt;= Table1[[#This Row],[Standard_Lead_Time]], OR(ISBLANK(J697), J697 = 0)), "OTIF", "Non-OTIF")</f>
        <v>Non-OTIF</v>
      </c>
      <c r="P697">
        <f>IF(Table1[[#This Row],[OTIF_Status]] = "OTIF", 1, 0)</f>
        <v>0</v>
      </c>
      <c r="Q697" s="5">
        <f t="shared" si="41"/>
        <v>205881.65000000002</v>
      </c>
      <c r="R697" s="5">
        <f t="shared" si="42"/>
        <v>196593.9</v>
      </c>
      <c r="S697" s="5">
        <f>Table1[[#This Row],[Total_Line_Spend]]-Table1[[#This Row],[Negotiated_Total]]</f>
        <v>9287.7500000000291</v>
      </c>
      <c r="T697" t="str">
        <f xml:space="preserve"> IF(Table1[[#This Row],[Delay_Days]] &gt; 4, "High Risk", IF(Table1[[#This Row],[Delay_Days]] &gt; 0, "Medium Risk", "Low Risk"))</f>
        <v>Low Risk</v>
      </c>
    </row>
    <row r="698" spans="1:20" x14ac:dyDescent="0.25">
      <c r="A698" t="s">
        <v>723</v>
      </c>
      <c r="B698" t="s">
        <v>807</v>
      </c>
      <c r="C698" s="1">
        <v>44591</v>
      </c>
      <c r="D698" s="1">
        <v>44606</v>
      </c>
      <c r="E698" t="s">
        <v>26</v>
      </c>
      <c r="F698" t="s">
        <v>18</v>
      </c>
      <c r="G698">
        <v>1116</v>
      </c>
      <c r="H698" s="5">
        <v>25.65</v>
      </c>
      <c r="I698" s="5">
        <v>24.28</v>
      </c>
      <c r="J698">
        <v>121</v>
      </c>
      <c r="K698" t="s">
        <v>15</v>
      </c>
      <c r="L698">
        <f t="shared" si="43"/>
        <v>15</v>
      </c>
      <c r="M698">
        <v>11</v>
      </c>
      <c r="N698">
        <f t="shared" si="40"/>
        <v>4</v>
      </c>
      <c r="O698" t="str">
        <f xml:space="preserve"> IF(AND(Table1[[#This Row],[Actual_Lead_Time]] &lt;= Table1[[#This Row],[Standard_Lead_Time]], OR(ISBLANK(J698), J698 = 0)), "OTIF", "Non-OTIF")</f>
        <v>Non-OTIF</v>
      </c>
      <c r="P698">
        <f>IF(Table1[[#This Row],[OTIF_Status]] = "OTIF", 1, 0)</f>
        <v>0</v>
      </c>
      <c r="Q698" s="5">
        <f t="shared" si="41"/>
        <v>28625.399999999998</v>
      </c>
      <c r="R698" s="5">
        <f t="shared" si="42"/>
        <v>27096.48</v>
      </c>
      <c r="S698" s="5">
        <f>Table1[[#This Row],[Total_Line_Spend]]-Table1[[#This Row],[Negotiated_Total]]</f>
        <v>1528.9199999999983</v>
      </c>
      <c r="T698" t="str">
        <f xml:space="preserve"> IF(Table1[[#This Row],[Delay_Days]] &gt; 4, "High Risk", IF(Table1[[#This Row],[Delay_Days]] &gt; 0, "Medium Risk", "Low Risk"))</f>
        <v>Medium Risk</v>
      </c>
    </row>
    <row r="699" spans="1:20" x14ac:dyDescent="0.25">
      <c r="A699" t="s">
        <v>724</v>
      </c>
      <c r="B699" t="s">
        <v>805</v>
      </c>
      <c r="C699" s="1">
        <v>44960</v>
      </c>
      <c r="D699" s="1">
        <v>44965</v>
      </c>
      <c r="E699" t="s">
        <v>26</v>
      </c>
      <c r="F699" t="s">
        <v>18</v>
      </c>
      <c r="G699">
        <v>1629</v>
      </c>
      <c r="H699" s="5">
        <v>48.63</v>
      </c>
      <c r="I699" s="5">
        <v>43.28</v>
      </c>
      <c r="J699">
        <v>260</v>
      </c>
      <c r="K699" t="s">
        <v>15</v>
      </c>
      <c r="L699">
        <f t="shared" si="43"/>
        <v>5</v>
      </c>
      <c r="M699">
        <v>11</v>
      </c>
      <c r="N699">
        <f t="shared" si="40"/>
        <v>0</v>
      </c>
      <c r="O699" t="str">
        <f xml:space="preserve"> IF(AND(Table1[[#This Row],[Actual_Lead_Time]] &lt;= Table1[[#This Row],[Standard_Lead_Time]], OR(ISBLANK(J699), J699 = 0)), "OTIF", "Non-OTIF")</f>
        <v>Non-OTIF</v>
      </c>
      <c r="P699">
        <f>IF(Table1[[#This Row],[OTIF_Status]] = "OTIF", 1, 0)</f>
        <v>0</v>
      </c>
      <c r="Q699" s="5">
        <f t="shared" si="41"/>
        <v>79218.27</v>
      </c>
      <c r="R699" s="5">
        <f t="shared" si="42"/>
        <v>70503.12</v>
      </c>
      <c r="S699" s="5">
        <f>Table1[[#This Row],[Total_Line_Spend]]-Table1[[#This Row],[Negotiated_Total]]</f>
        <v>8715.1500000000087</v>
      </c>
      <c r="T699" t="str">
        <f xml:space="preserve"> IF(Table1[[#This Row],[Delay_Days]] &gt; 4, "High Risk", IF(Table1[[#This Row],[Delay_Days]] &gt; 0, "Medium Risk", "Low Risk"))</f>
        <v>Low Risk</v>
      </c>
    </row>
    <row r="700" spans="1:20" x14ac:dyDescent="0.25">
      <c r="A700" t="s">
        <v>725</v>
      </c>
      <c r="B700" t="s">
        <v>808</v>
      </c>
      <c r="C700" s="1">
        <v>44906</v>
      </c>
      <c r="D700" s="1">
        <v>44913</v>
      </c>
      <c r="E700" t="s">
        <v>13</v>
      </c>
      <c r="F700" t="s">
        <v>18</v>
      </c>
      <c r="G700">
        <v>334</v>
      </c>
      <c r="H700" s="5">
        <v>82.54</v>
      </c>
      <c r="I700" s="5">
        <v>74.63</v>
      </c>
      <c r="K700" t="s">
        <v>15</v>
      </c>
      <c r="L700">
        <f t="shared" si="43"/>
        <v>7</v>
      </c>
      <c r="M700">
        <v>11</v>
      </c>
      <c r="N700">
        <f t="shared" si="40"/>
        <v>0</v>
      </c>
      <c r="O700" t="str">
        <f xml:space="preserve"> IF(AND(Table1[[#This Row],[Actual_Lead_Time]] &lt;= Table1[[#This Row],[Standard_Lead_Time]], OR(ISBLANK(J700), J700 = 0)), "OTIF", "Non-OTIF")</f>
        <v>OTIF</v>
      </c>
      <c r="P700">
        <f>IF(Table1[[#This Row],[OTIF_Status]] = "OTIF", 1, 0)</f>
        <v>1</v>
      </c>
      <c r="Q700" s="5">
        <f t="shared" si="41"/>
        <v>27568.36</v>
      </c>
      <c r="R700" s="5">
        <f t="shared" si="42"/>
        <v>24926.42</v>
      </c>
      <c r="S700" s="5">
        <f>Table1[[#This Row],[Total_Line_Spend]]-Table1[[#This Row],[Negotiated_Total]]</f>
        <v>2641.9400000000023</v>
      </c>
      <c r="T700" t="str">
        <f xml:space="preserve"> IF(Table1[[#This Row],[Delay_Days]] &gt; 4, "High Risk", IF(Table1[[#This Row],[Delay_Days]] &gt; 0, "Medium Risk", "Low Risk"))</f>
        <v>Low Risk</v>
      </c>
    </row>
    <row r="701" spans="1:20" x14ac:dyDescent="0.25">
      <c r="A701" t="s">
        <v>726</v>
      </c>
      <c r="B701" t="s">
        <v>808</v>
      </c>
      <c r="C701" s="1">
        <v>45246</v>
      </c>
      <c r="D701" s="1">
        <v>45266</v>
      </c>
      <c r="E701" t="s">
        <v>24</v>
      </c>
      <c r="F701" t="s">
        <v>18</v>
      </c>
      <c r="G701">
        <v>446</v>
      </c>
      <c r="H701" s="5">
        <v>80.63</v>
      </c>
      <c r="I701" s="5">
        <v>70.37</v>
      </c>
      <c r="K701" t="s">
        <v>15</v>
      </c>
      <c r="L701">
        <f t="shared" si="43"/>
        <v>20</v>
      </c>
      <c r="M701">
        <v>11</v>
      </c>
      <c r="N701">
        <f t="shared" si="40"/>
        <v>9</v>
      </c>
      <c r="O701" t="str">
        <f xml:space="preserve"> IF(AND(Table1[[#This Row],[Actual_Lead_Time]] &lt;= Table1[[#This Row],[Standard_Lead_Time]], OR(ISBLANK(J701), J701 = 0)), "OTIF", "Non-OTIF")</f>
        <v>Non-OTIF</v>
      </c>
      <c r="P701">
        <f>IF(Table1[[#This Row],[OTIF_Status]] = "OTIF", 1, 0)</f>
        <v>0</v>
      </c>
      <c r="Q701" s="5">
        <f t="shared" si="41"/>
        <v>35960.979999999996</v>
      </c>
      <c r="R701" s="5">
        <f t="shared" si="42"/>
        <v>31385.02</v>
      </c>
      <c r="S701" s="5">
        <f>Table1[[#This Row],[Total_Line_Spend]]-Table1[[#This Row],[Negotiated_Total]]</f>
        <v>4575.9599999999955</v>
      </c>
      <c r="T701" t="str">
        <f xml:space="preserve"> IF(Table1[[#This Row],[Delay_Days]] &gt; 4, "High Risk", IF(Table1[[#This Row],[Delay_Days]] &gt; 0, "Medium Risk", "Low Risk"))</f>
        <v>High Risk</v>
      </c>
    </row>
    <row r="702" spans="1:20" x14ac:dyDescent="0.25">
      <c r="A702" t="s">
        <v>727</v>
      </c>
      <c r="B702" t="s">
        <v>805</v>
      </c>
      <c r="C702" s="1">
        <v>45257</v>
      </c>
      <c r="D702" s="1">
        <v>45268</v>
      </c>
      <c r="E702" t="s">
        <v>39</v>
      </c>
      <c r="F702" t="s">
        <v>18</v>
      </c>
      <c r="G702">
        <v>61</v>
      </c>
      <c r="H702" s="5">
        <v>26.47</v>
      </c>
      <c r="I702" s="5">
        <v>24.62</v>
      </c>
      <c r="J702">
        <v>6</v>
      </c>
      <c r="K702" t="s">
        <v>15</v>
      </c>
      <c r="L702">
        <f t="shared" si="43"/>
        <v>11</v>
      </c>
      <c r="M702">
        <v>11</v>
      </c>
      <c r="N702">
        <f t="shared" si="40"/>
        <v>0</v>
      </c>
      <c r="O702" t="str">
        <f xml:space="preserve"> IF(AND(Table1[[#This Row],[Actual_Lead_Time]] &lt;= Table1[[#This Row],[Standard_Lead_Time]], OR(ISBLANK(J702), J702 = 0)), "OTIF", "Non-OTIF")</f>
        <v>Non-OTIF</v>
      </c>
      <c r="P702">
        <f>IF(Table1[[#This Row],[OTIF_Status]] = "OTIF", 1, 0)</f>
        <v>0</v>
      </c>
      <c r="Q702" s="5">
        <f t="shared" si="41"/>
        <v>1614.6699999999998</v>
      </c>
      <c r="R702" s="5">
        <f t="shared" si="42"/>
        <v>1501.8200000000002</v>
      </c>
      <c r="S702" s="5">
        <f>Table1[[#This Row],[Total_Line_Spend]]-Table1[[#This Row],[Negotiated_Total]]</f>
        <v>112.84999999999968</v>
      </c>
      <c r="T702" t="str">
        <f xml:space="preserve"> IF(Table1[[#This Row],[Delay_Days]] &gt; 4, "High Risk", IF(Table1[[#This Row],[Delay_Days]] &gt; 0, "Medium Risk", "Low Risk"))</f>
        <v>Low Risk</v>
      </c>
    </row>
    <row r="703" spans="1:20" x14ac:dyDescent="0.25">
      <c r="A703" t="s">
        <v>728</v>
      </c>
      <c r="B703" t="s">
        <v>805</v>
      </c>
      <c r="C703" s="1">
        <v>44976</v>
      </c>
      <c r="D703" s="1">
        <v>44978</v>
      </c>
      <c r="E703" t="s">
        <v>24</v>
      </c>
      <c r="F703" t="s">
        <v>18</v>
      </c>
      <c r="G703">
        <v>1680</v>
      </c>
      <c r="H703" s="5">
        <v>88.85</v>
      </c>
      <c r="I703" s="5">
        <v>87.53</v>
      </c>
      <c r="K703" t="s">
        <v>15</v>
      </c>
      <c r="L703">
        <f t="shared" si="43"/>
        <v>2</v>
      </c>
      <c r="M703">
        <v>11</v>
      </c>
      <c r="N703">
        <f t="shared" si="40"/>
        <v>0</v>
      </c>
      <c r="O703" t="str">
        <f xml:space="preserve"> IF(AND(Table1[[#This Row],[Actual_Lead_Time]] &lt;= Table1[[#This Row],[Standard_Lead_Time]], OR(ISBLANK(J703), J703 = 0)), "OTIF", "Non-OTIF")</f>
        <v>OTIF</v>
      </c>
      <c r="P703">
        <f>IF(Table1[[#This Row],[OTIF_Status]] = "OTIF", 1, 0)</f>
        <v>1</v>
      </c>
      <c r="Q703" s="5">
        <f t="shared" si="41"/>
        <v>149268</v>
      </c>
      <c r="R703" s="5">
        <f t="shared" si="42"/>
        <v>147050.4</v>
      </c>
      <c r="S703" s="5">
        <f>Table1[[#This Row],[Total_Line_Spend]]-Table1[[#This Row],[Negotiated_Total]]</f>
        <v>2217.6000000000058</v>
      </c>
      <c r="T703" t="str">
        <f xml:space="preserve"> IF(Table1[[#This Row],[Delay_Days]] &gt; 4, "High Risk", IF(Table1[[#This Row],[Delay_Days]] &gt; 0, "Medium Risk", "Low Risk"))</f>
        <v>Low Risk</v>
      </c>
    </row>
    <row r="704" spans="1:20" x14ac:dyDescent="0.25">
      <c r="A704" t="s">
        <v>729</v>
      </c>
      <c r="B704" t="s">
        <v>805</v>
      </c>
      <c r="C704" s="1">
        <v>44731</v>
      </c>
      <c r="D704" s="1">
        <v>44748</v>
      </c>
      <c r="E704" t="s">
        <v>39</v>
      </c>
      <c r="F704" t="s">
        <v>18</v>
      </c>
      <c r="G704">
        <v>1375</v>
      </c>
      <c r="H704" s="5">
        <v>30.95</v>
      </c>
      <c r="I704" s="5">
        <v>30.02</v>
      </c>
      <c r="J704">
        <v>223</v>
      </c>
      <c r="K704" t="s">
        <v>15</v>
      </c>
      <c r="L704">
        <f t="shared" si="43"/>
        <v>17</v>
      </c>
      <c r="M704">
        <v>11</v>
      </c>
      <c r="N704">
        <f t="shared" si="40"/>
        <v>6</v>
      </c>
      <c r="O704" t="str">
        <f xml:space="preserve"> IF(AND(Table1[[#This Row],[Actual_Lead_Time]] &lt;= Table1[[#This Row],[Standard_Lead_Time]], OR(ISBLANK(J704), J704 = 0)), "OTIF", "Non-OTIF")</f>
        <v>Non-OTIF</v>
      </c>
      <c r="P704">
        <f>IF(Table1[[#This Row],[OTIF_Status]] = "OTIF", 1, 0)</f>
        <v>0</v>
      </c>
      <c r="Q704" s="5">
        <f t="shared" si="41"/>
        <v>42556.25</v>
      </c>
      <c r="R704" s="5">
        <f t="shared" si="42"/>
        <v>41277.5</v>
      </c>
      <c r="S704" s="5">
        <f>Table1[[#This Row],[Total_Line_Spend]]-Table1[[#This Row],[Negotiated_Total]]</f>
        <v>1278.75</v>
      </c>
      <c r="T704" t="str">
        <f xml:space="preserve"> IF(Table1[[#This Row],[Delay_Days]] &gt; 4, "High Risk", IF(Table1[[#This Row],[Delay_Days]] &gt; 0, "Medium Risk", "Low Risk"))</f>
        <v>High Risk</v>
      </c>
    </row>
    <row r="705" spans="1:20" x14ac:dyDescent="0.25">
      <c r="A705" t="s">
        <v>730</v>
      </c>
      <c r="B705" t="s">
        <v>805</v>
      </c>
      <c r="C705" s="1">
        <v>45040</v>
      </c>
      <c r="D705" s="1">
        <v>45051</v>
      </c>
      <c r="E705" t="s">
        <v>39</v>
      </c>
      <c r="F705" t="s">
        <v>33</v>
      </c>
      <c r="G705">
        <v>1971</v>
      </c>
      <c r="H705" s="5">
        <v>32.4</v>
      </c>
      <c r="I705" s="5">
        <v>30.48</v>
      </c>
      <c r="J705">
        <v>321</v>
      </c>
      <c r="K705" t="s">
        <v>15</v>
      </c>
      <c r="L705">
        <f t="shared" si="43"/>
        <v>11</v>
      </c>
      <c r="M705">
        <v>11</v>
      </c>
      <c r="N705">
        <f t="shared" si="40"/>
        <v>0</v>
      </c>
      <c r="O705" t="str">
        <f xml:space="preserve"> IF(AND(Table1[[#This Row],[Actual_Lead_Time]] &lt;= Table1[[#This Row],[Standard_Lead_Time]], OR(ISBLANK(J705), J705 = 0)), "OTIF", "Non-OTIF")</f>
        <v>Non-OTIF</v>
      </c>
      <c r="P705">
        <f>IF(Table1[[#This Row],[OTIF_Status]] = "OTIF", 1, 0)</f>
        <v>0</v>
      </c>
      <c r="Q705" s="5">
        <f t="shared" si="41"/>
        <v>63860.399999999994</v>
      </c>
      <c r="R705" s="5">
        <f t="shared" si="42"/>
        <v>60076.08</v>
      </c>
      <c r="S705" s="5">
        <f>Table1[[#This Row],[Total_Line_Spend]]-Table1[[#This Row],[Negotiated_Total]]</f>
        <v>3784.3199999999924</v>
      </c>
      <c r="T705" t="str">
        <f xml:space="preserve"> IF(Table1[[#This Row],[Delay_Days]] &gt; 4, "High Risk", IF(Table1[[#This Row],[Delay_Days]] &gt; 0, "Medium Risk", "Low Risk"))</f>
        <v>Low Risk</v>
      </c>
    </row>
    <row r="706" spans="1:20" x14ac:dyDescent="0.25">
      <c r="A706" t="s">
        <v>731</v>
      </c>
      <c r="B706" t="s">
        <v>805</v>
      </c>
      <c r="C706" s="1">
        <v>44692</v>
      </c>
      <c r="D706" s="1">
        <v>44703</v>
      </c>
      <c r="E706" t="s">
        <v>26</v>
      </c>
      <c r="F706" t="s">
        <v>35</v>
      </c>
      <c r="G706">
        <v>1326</v>
      </c>
      <c r="H706" s="5">
        <v>59.49</v>
      </c>
      <c r="I706" s="5">
        <v>56.21</v>
      </c>
      <c r="K706" t="s">
        <v>15</v>
      </c>
      <c r="L706">
        <f t="shared" si="43"/>
        <v>11</v>
      </c>
      <c r="M706">
        <v>11</v>
      </c>
      <c r="N706">
        <f t="shared" ref="N706:N769" si="44">MAX(0, L706-M706)</f>
        <v>0</v>
      </c>
      <c r="O706" t="str">
        <f xml:space="preserve"> IF(AND(Table1[[#This Row],[Actual_Lead_Time]] &lt;= Table1[[#This Row],[Standard_Lead_Time]], OR(ISBLANK(J706), J706 = 0)), "OTIF", "Non-OTIF")</f>
        <v>OTIF</v>
      </c>
      <c r="P706">
        <f>IF(Table1[[#This Row],[OTIF_Status]] = "OTIF", 1, 0)</f>
        <v>1</v>
      </c>
      <c r="Q706" s="5">
        <f t="shared" ref="Q706:Q769" si="45" xml:space="preserve"> IFERROR(G706 * H706, 0)</f>
        <v>78883.740000000005</v>
      </c>
      <c r="R706" s="5">
        <f t="shared" ref="R706:R769" si="46" xml:space="preserve"> IFERROR(G706 * I706, 0)</f>
        <v>74534.460000000006</v>
      </c>
      <c r="S706" s="5">
        <f>Table1[[#This Row],[Total_Line_Spend]]-Table1[[#This Row],[Negotiated_Total]]</f>
        <v>4349.2799999999988</v>
      </c>
      <c r="T706" t="str">
        <f xml:space="preserve"> IF(Table1[[#This Row],[Delay_Days]] &gt; 4, "High Risk", IF(Table1[[#This Row],[Delay_Days]] &gt; 0, "Medium Risk", "Low Risk"))</f>
        <v>Low Risk</v>
      </c>
    </row>
    <row r="707" spans="1:20" x14ac:dyDescent="0.25">
      <c r="A707" t="s">
        <v>732</v>
      </c>
      <c r="B707" t="s">
        <v>805</v>
      </c>
      <c r="C707" s="1">
        <v>45199</v>
      </c>
      <c r="D707" s="1">
        <v>45212</v>
      </c>
      <c r="E707" t="s">
        <v>21</v>
      </c>
      <c r="F707" t="s">
        <v>14</v>
      </c>
      <c r="G707">
        <v>548</v>
      </c>
      <c r="H707" s="5">
        <v>69.7</v>
      </c>
      <c r="I707" s="5">
        <v>61.87</v>
      </c>
      <c r="J707">
        <v>90</v>
      </c>
      <c r="K707" t="s">
        <v>15</v>
      </c>
      <c r="L707">
        <f t="shared" ref="L707:L770" si="47" xml:space="preserve"> INT(D707) - INT(C707)</f>
        <v>13</v>
      </c>
      <c r="M707">
        <v>11</v>
      </c>
      <c r="N707">
        <f t="shared" si="44"/>
        <v>2</v>
      </c>
      <c r="O707" t="str">
        <f xml:space="preserve"> IF(AND(Table1[[#This Row],[Actual_Lead_Time]] &lt;= Table1[[#This Row],[Standard_Lead_Time]], OR(ISBLANK(J707), J707 = 0)), "OTIF", "Non-OTIF")</f>
        <v>Non-OTIF</v>
      </c>
      <c r="P707">
        <f>IF(Table1[[#This Row],[OTIF_Status]] = "OTIF", 1, 0)</f>
        <v>0</v>
      </c>
      <c r="Q707" s="5">
        <f t="shared" si="45"/>
        <v>38195.599999999999</v>
      </c>
      <c r="R707" s="5">
        <f t="shared" si="46"/>
        <v>33904.76</v>
      </c>
      <c r="S707" s="5">
        <f>Table1[[#This Row],[Total_Line_Spend]]-Table1[[#This Row],[Negotiated_Total]]</f>
        <v>4290.8399999999965</v>
      </c>
      <c r="T707" t="str">
        <f xml:space="preserve"> IF(Table1[[#This Row],[Delay_Days]] &gt; 4, "High Risk", IF(Table1[[#This Row],[Delay_Days]] &gt; 0, "Medium Risk", "Low Risk"))</f>
        <v>Medium Risk</v>
      </c>
    </row>
    <row r="708" spans="1:20" x14ac:dyDescent="0.25">
      <c r="A708" t="s">
        <v>733</v>
      </c>
      <c r="B708" t="s">
        <v>807</v>
      </c>
      <c r="C708" s="1">
        <v>45108</v>
      </c>
      <c r="D708" s="1">
        <v>45114</v>
      </c>
      <c r="E708" t="s">
        <v>21</v>
      </c>
      <c r="F708" t="s">
        <v>18</v>
      </c>
      <c r="G708">
        <v>803</v>
      </c>
      <c r="H708" s="5">
        <v>67.81</v>
      </c>
      <c r="I708" s="5">
        <v>61.53</v>
      </c>
      <c r="J708">
        <v>78</v>
      </c>
      <c r="K708" t="s">
        <v>15</v>
      </c>
      <c r="L708">
        <f t="shared" si="47"/>
        <v>6</v>
      </c>
      <c r="M708">
        <v>11</v>
      </c>
      <c r="N708">
        <f t="shared" si="44"/>
        <v>0</v>
      </c>
      <c r="O708" t="str">
        <f xml:space="preserve"> IF(AND(Table1[[#This Row],[Actual_Lead_Time]] &lt;= Table1[[#This Row],[Standard_Lead_Time]], OR(ISBLANK(J708), J708 = 0)), "OTIF", "Non-OTIF")</f>
        <v>Non-OTIF</v>
      </c>
      <c r="P708">
        <f>IF(Table1[[#This Row],[OTIF_Status]] = "OTIF", 1, 0)</f>
        <v>0</v>
      </c>
      <c r="Q708" s="5">
        <f t="shared" si="45"/>
        <v>54451.43</v>
      </c>
      <c r="R708" s="5">
        <f t="shared" si="46"/>
        <v>49408.590000000004</v>
      </c>
      <c r="S708" s="5">
        <f>Table1[[#This Row],[Total_Line_Spend]]-Table1[[#This Row],[Negotiated_Total]]</f>
        <v>5042.8399999999965</v>
      </c>
      <c r="T708" t="str">
        <f xml:space="preserve"> IF(Table1[[#This Row],[Delay_Days]] &gt; 4, "High Risk", IF(Table1[[#This Row],[Delay_Days]] &gt; 0, "Medium Risk", "Low Risk"))</f>
        <v>Low Risk</v>
      </c>
    </row>
    <row r="709" spans="1:20" x14ac:dyDescent="0.25">
      <c r="A709" t="s">
        <v>734</v>
      </c>
      <c r="B709" t="s">
        <v>804</v>
      </c>
      <c r="C709" s="1">
        <v>44589</v>
      </c>
      <c r="D709" s="1">
        <v>44607</v>
      </c>
      <c r="E709" t="s">
        <v>21</v>
      </c>
      <c r="F709" t="s">
        <v>18</v>
      </c>
      <c r="G709">
        <v>84</v>
      </c>
      <c r="H709" s="5">
        <v>18.23</v>
      </c>
      <c r="I709" s="5">
        <v>15.55</v>
      </c>
      <c r="J709">
        <v>0</v>
      </c>
      <c r="K709" t="s">
        <v>15</v>
      </c>
      <c r="L709">
        <f t="shared" si="47"/>
        <v>18</v>
      </c>
      <c r="M709">
        <v>11</v>
      </c>
      <c r="N709">
        <f t="shared" si="44"/>
        <v>7</v>
      </c>
      <c r="O709" t="str">
        <f xml:space="preserve"> IF(AND(Table1[[#This Row],[Actual_Lead_Time]] &lt;= Table1[[#This Row],[Standard_Lead_Time]], OR(ISBLANK(J709), J709 = 0)), "OTIF", "Non-OTIF")</f>
        <v>Non-OTIF</v>
      </c>
      <c r="P709">
        <f>IF(Table1[[#This Row],[OTIF_Status]] = "OTIF", 1, 0)</f>
        <v>0</v>
      </c>
      <c r="Q709" s="5">
        <f t="shared" si="45"/>
        <v>1531.32</v>
      </c>
      <c r="R709" s="5">
        <f t="shared" si="46"/>
        <v>1306.2</v>
      </c>
      <c r="S709" s="5">
        <f>Table1[[#This Row],[Total_Line_Spend]]-Table1[[#This Row],[Negotiated_Total]]</f>
        <v>225.11999999999989</v>
      </c>
      <c r="T709" t="str">
        <f xml:space="preserve"> IF(Table1[[#This Row],[Delay_Days]] &gt; 4, "High Risk", IF(Table1[[#This Row],[Delay_Days]] &gt; 0, "Medium Risk", "Low Risk"))</f>
        <v>High Risk</v>
      </c>
    </row>
    <row r="710" spans="1:20" x14ac:dyDescent="0.25">
      <c r="A710" t="s">
        <v>735</v>
      </c>
      <c r="B710" t="s">
        <v>808</v>
      </c>
      <c r="C710" s="1">
        <v>44965</v>
      </c>
      <c r="D710" s="1">
        <v>44977</v>
      </c>
      <c r="E710" t="s">
        <v>24</v>
      </c>
      <c r="F710" t="s">
        <v>18</v>
      </c>
      <c r="G710">
        <v>776</v>
      </c>
      <c r="H710" s="5">
        <v>94.75</v>
      </c>
      <c r="I710" s="5">
        <v>90.89</v>
      </c>
      <c r="J710">
        <v>19</v>
      </c>
      <c r="K710" t="s">
        <v>15</v>
      </c>
      <c r="L710">
        <f t="shared" si="47"/>
        <v>12</v>
      </c>
      <c r="M710">
        <v>11</v>
      </c>
      <c r="N710">
        <f t="shared" si="44"/>
        <v>1</v>
      </c>
      <c r="O710" t="str">
        <f xml:space="preserve"> IF(AND(Table1[[#This Row],[Actual_Lead_Time]] &lt;= Table1[[#This Row],[Standard_Lead_Time]], OR(ISBLANK(J710), J710 = 0)), "OTIF", "Non-OTIF")</f>
        <v>Non-OTIF</v>
      </c>
      <c r="P710">
        <f>IF(Table1[[#This Row],[OTIF_Status]] = "OTIF", 1, 0)</f>
        <v>0</v>
      </c>
      <c r="Q710" s="5">
        <f t="shared" si="45"/>
        <v>73526</v>
      </c>
      <c r="R710" s="5">
        <f t="shared" si="46"/>
        <v>70530.64</v>
      </c>
      <c r="S710" s="5">
        <f>Table1[[#This Row],[Total_Line_Spend]]-Table1[[#This Row],[Negotiated_Total]]</f>
        <v>2995.3600000000006</v>
      </c>
      <c r="T710" t="str">
        <f xml:space="preserve"> IF(Table1[[#This Row],[Delay_Days]] &gt; 4, "High Risk", IF(Table1[[#This Row],[Delay_Days]] &gt; 0, "Medium Risk", "Low Risk"))</f>
        <v>Medium Risk</v>
      </c>
    </row>
    <row r="711" spans="1:20" x14ac:dyDescent="0.25">
      <c r="A711" t="s">
        <v>736</v>
      </c>
      <c r="B711" t="s">
        <v>804</v>
      </c>
      <c r="C711" s="1">
        <v>45168</v>
      </c>
      <c r="D711" s="1">
        <v>45177</v>
      </c>
      <c r="E711" t="s">
        <v>21</v>
      </c>
      <c r="F711" t="s">
        <v>18</v>
      </c>
      <c r="G711">
        <v>898</v>
      </c>
      <c r="H711" s="5">
        <v>37.119999999999997</v>
      </c>
      <c r="I711" s="5">
        <v>35.54</v>
      </c>
      <c r="J711">
        <v>18</v>
      </c>
      <c r="K711" t="s">
        <v>27</v>
      </c>
      <c r="L711">
        <f t="shared" si="47"/>
        <v>9</v>
      </c>
      <c r="M711">
        <v>11</v>
      </c>
      <c r="N711">
        <f t="shared" si="44"/>
        <v>0</v>
      </c>
      <c r="O711" t="str">
        <f xml:space="preserve"> IF(AND(Table1[[#This Row],[Actual_Lead_Time]] &lt;= Table1[[#This Row],[Standard_Lead_Time]], OR(ISBLANK(J711), J711 = 0)), "OTIF", "Non-OTIF")</f>
        <v>Non-OTIF</v>
      </c>
      <c r="P711">
        <f>IF(Table1[[#This Row],[OTIF_Status]] = "OTIF", 1, 0)</f>
        <v>0</v>
      </c>
      <c r="Q711" s="5">
        <f t="shared" si="45"/>
        <v>33333.759999999995</v>
      </c>
      <c r="R711" s="5">
        <f t="shared" si="46"/>
        <v>31914.92</v>
      </c>
      <c r="S711" s="5">
        <f>Table1[[#This Row],[Total_Line_Spend]]-Table1[[#This Row],[Negotiated_Total]]</f>
        <v>1418.8399999999965</v>
      </c>
      <c r="T711" t="str">
        <f xml:space="preserve"> IF(Table1[[#This Row],[Delay_Days]] &gt; 4, "High Risk", IF(Table1[[#This Row],[Delay_Days]] &gt; 0, "Medium Risk", "Low Risk"))</f>
        <v>Low Risk</v>
      </c>
    </row>
    <row r="712" spans="1:20" x14ac:dyDescent="0.25">
      <c r="A712" t="s">
        <v>737</v>
      </c>
      <c r="B712" t="s">
        <v>807</v>
      </c>
      <c r="C712" s="1">
        <v>45139</v>
      </c>
      <c r="D712" s="1">
        <v>45146</v>
      </c>
      <c r="E712" t="s">
        <v>13</v>
      </c>
      <c r="F712" t="s">
        <v>14</v>
      </c>
      <c r="G712">
        <v>139</v>
      </c>
      <c r="H712" s="5">
        <v>23.71</v>
      </c>
      <c r="I712" s="5">
        <v>20.18</v>
      </c>
      <c r="J712">
        <v>14</v>
      </c>
      <c r="K712" t="s">
        <v>15</v>
      </c>
      <c r="L712">
        <f t="shared" si="47"/>
        <v>7</v>
      </c>
      <c r="M712">
        <v>11</v>
      </c>
      <c r="N712">
        <f t="shared" si="44"/>
        <v>0</v>
      </c>
      <c r="O712" t="str">
        <f xml:space="preserve"> IF(AND(Table1[[#This Row],[Actual_Lead_Time]] &lt;= Table1[[#This Row],[Standard_Lead_Time]], OR(ISBLANK(J712), J712 = 0)), "OTIF", "Non-OTIF")</f>
        <v>Non-OTIF</v>
      </c>
      <c r="P712">
        <f>IF(Table1[[#This Row],[OTIF_Status]] = "OTIF", 1, 0)</f>
        <v>0</v>
      </c>
      <c r="Q712" s="5">
        <f t="shared" si="45"/>
        <v>3295.69</v>
      </c>
      <c r="R712" s="5">
        <f t="shared" si="46"/>
        <v>2805.02</v>
      </c>
      <c r="S712" s="5">
        <f>Table1[[#This Row],[Total_Line_Spend]]-Table1[[#This Row],[Negotiated_Total]]</f>
        <v>490.67000000000007</v>
      </c>
      <c r="T712" t="str">
        <f xml:space="preserve"> IF(Table1[[#This Row],[Delay_Days]] &gt; 4, "High Risk", IF(Table1[[#This Row],[Delay_Days]] &gt; 0, "Medium Risk", "Low Risk"))</f>
        <v>Low Risk</v>
      </c>
    </row>
    <row r="713" spans="1:20" x14ac:dyDescent="0.25">
      <c r="A713" t="s">
        <v>738</v>
      </c>
      <c r="B713" t="s">
        <v>806</v>
      </c>
      <c r="C713" s="1">
        <v>45240</v>
      </c>
      <c r="D713" s="1">
        <v>45250</v>
      </c>
      <c r="E713" t="s">
        <v>26</v>
      </c>
      <c r="F713" t="s">
        <v>18</v>
      </c>
      <c r="G713">
        <v>825</v>
      </c>
      <c r="H713" s="5">
        <v>99.89</v>
      </c>
      <c r="I713" s="5">
        <v>97.65</v>
      </c>
      <c r="J713">
        <v>30</v>
      </c>
      <c r="K713" t="s">
        <v>15</v>
      </c>
      <c r="L713">
        <f t="shared" si="47"/>
        <v>10</v>
      </c>
      <c r="M713">
        <v>11</v>
      </c>
      <c r="N713">
        <f t="shared" si="44"/>
        <v>0</v>
      </c>
      <c r="O713" t="str">
        <f xml:space="preserve"> IF(AND(Table1[[#This Row],[Actual_Lead_Time]] &lt;= Table1[[#This Row],[Standard_Lead_Time]], OR(ISBLANK(J713), J713 = 0)), "OTIF", "Non-OTIF")</f>
        <v>Non-OTIF</v>
      </c>
      <c r="P713">
        <f>IF(Table1[[#This Row],[OTIF_Status]] = "OTIF", 1, 0)</f>
        <v>0</v>
      </c>
      <c r="Q713" s="5">
        <f t="shared" si="45"/>
        <v>82409.25</v>
      </c>
      <c r="R713" s="5">
        <f t="shared" si="46"/>
        <v>80561.25</v>
      </c>
      <c r="S713" s="5">
        <f>Table1[[#This Row],[Total_Line_Spend]]-Table1[[#This Row],[Negotiated_Total]]</f>
        <v>1848</v>
      </c>
      <c r="T713" t="str">
        <f xml:space="preserve"> IF(Table1[[#This Row],[Delay_Days]] &gt; 4, "High Risk", IF(Table1[[#This Row],[Delay_Days]] &gt; 0, "Medium Risk", "Low Risk"))</f>
        <v>Low Risk</v>
      </c>
    </row>
    <row r="714" spans="1:20" x14ac:dyDescent="0.25">
      <c r="A714" t="s">
        <v>739</v>
      </c>
      <c r="B714" t="s">
        <v>804</v>
      </c>
      <c r="C714" s="1">
        <v>44589</v>
      </c>
      <c r="D714" s="1">
        <v>44599</v>
      </c>
      <c r="E714" t="s">
        <v>21</v>
      </c>
      <c r="F714" t="s">
        <v>18</v>
      </c>
      <c r="G714">
        <v>654</v>
      </c>
      <c r="H714" s="5">
        <v>96.01</v>
      </c>
      <c r="I714" s="5">
        <v>90.31</v>
      </c>
      <c r="J714">
        <v>10</v>
      </c>
      <c r="K714" t="s">
        <v>15</v>
      </c>
      <c r="L714">
        <f t="shared" si="47"/>
        <v>10</v>
      </c>
      <c r="M714">
        <v>11</v>
      </c>
      <c r="N714">
        <f t="shared" si="44"/>
        <v>0</v>
      </c>
      <c r="O714" t="str">
        <f xml:space="preserve"> IF(AND(Table1[[#This Row],[Actual_Lead_Time]] &lt;= Table1[[#This Row],[Standard_Lead_Time]], OR(ISBLANK(J714), J714 = 0)), "OTIF", "Non-OTIF")</f>
        <v>Non-OTIF</v>
      </c>
      <c r="P714">
        <f>IF(Table1[[#This Row],[OTIF_Status]] = "OTIF", 1, 0)</f>
        <v>0</v>
      </c>
      <c r="Q714" s="5">
        <f t="shared" si="45"/>
        <v>62790.54</v>
      </c>
      <c r="R714" s="5">
        <f t="shared" si="46"/>
        <v>59062.74</v>
      </c>
      <c r="S714" s="5">
        <f>Table1[[#This Row],[Total_Line_Spend]]-Table1[[#This Row],[Negotiated_Total]]</f>
        <v>3727.8000000000029</v>
      </c>
      <c r="T714" t="str">
        <f xml:space="preserve"> IF(Table1[[#This Row],[Delay_Days]] &gt; 4, "High Risk", IF(Table1[[#This Row],[Delay_Days]] &gt; 0, "Medium Risk", "Low Risk"))</f>
        <v>Low Risk</v>
      </c>
    </row>
    <row r="715" spans="1:20" x14ac:dyDescent="0.25">
      <c r="A715" t="s">
        <v>740</v>
      </c>
      <c r="B715" t="s">
        <v>806</v>
      </c>
      <c r="C715" s="1">
        <v>44647</v>
      </c>
      <c r="D715" s="1">
        <v>44657</v>
      </c>
      <c r="E715" t="s">
        <v>21</v>
      </c>
      <c r="F715" t="s">
        <v>18</v>
      </c>
      <c r="G715">
        <v>1995</v>
      </c>
      <c r="H715" s="5">
        <v>88.47</v>
      </c>
      <c r="I715" s="5">
        <v>82.65</v>
      </c>
      <c r="J715">
        <v>87</v>
      </c>
      <c r="K715" t="s">
        <v>27</v>
      </c>
      <c r="L715">
        <f t="shared" si="47"/>
        <v>10</v>
      </c>
      <c r="M715">
        <v>11</v>
      </c>
      <c r="N715">
        <f t="shared" si="44"/>
        <v>0</v>
      </c>
      <c r="O715" t="str">
        <f xml:space="preserve"> IF(AND(Table1[[#This Row],[Actual_Lead_Time]] &lt;= Table1[[#This Row],[Standard_Lead_Time]], OR(ISBLANK(J715), J715 = 0)), "OTIF", "Non-OTIF")</f>
        <v>Non-OTIF</v>
      </c>
      <c r="P715">
        <f>IF(Table1[[#This Row],[OTIF_Status]] = "OTIF", 1, 0)</f>
        <v>0</v>
      </c>
      <c r="Q715" s="5">
        <f t="shared" si="45"/>
        <v>176497.65</v>
      </c>
      <c r="R715" s="5">
        <f t="shared" si="46"/>
        <v>164886.75</v>
      </c>
      <c r="S715" s="5">
        <f>Table1[[#This Row],[Total_Line_Spend]]-Table1[[#This Row],[Negotiated_Total]]</f>
        <v>11610.899999999994</v>
      </c>
      <c r="T715" t="str">
        <f xml:space="preserve"> IF(Table1[[#This Row],[Delay_Days]] &gt; 4, "High Risk", IF(Table1[[#This Row],[Delay_Days]] &gt; 0, "Medium Risk", "Low Risk"))</f>
        <v>Low Risk</v>
      </c>
    </row>
    <row r="716" spans="1:20" x14ac:dyDescent="0.25">
      <c r="A716" t="s">
        <v>741</v>
      </c>
      <c r="B716" t="s">
        <v>807</v>
      </c>
      <c r="C716" s="1">
        <v>45220</v>
      </c>
      <c r="D716" s="1">
        <v>45227</v>
      </c>
      <c r="E716" t="s">
        <v>21</v>
      </c>
      <c r="F716" t="s">
        <v>18</v>
      </c>
      <c r="G716">
        <v>1019</v>
      </c>
      <c r="H716" s="5">
        <v>91.56</v>
      </c>
      <c r="I716" s="5">
        <v>77.930000000000007</v>
      </c>
      <c r="J716">
        <v>111</v>
      </c>
      <c r="K716" t="s">
        <v>27</v>
      </c>
      <c r="L716">
        <f t="shared" si="47"/>
        <v>7</v>
      </c>
      <c r="M716">
        <v>11</v>
      </c>
      <c r="N716">
        <f t="shared" si="44"/>
        <v>0</v>
      </c>
      <c r="O716" t="str">
        <f xml:space="preserve"> IF(AND(Table1[[#This Row],[Actual_Lead_Time]] &lt;= Table1[[#This Row],[Standard_Lead_Time]], OR(ISBLANK(J716), J716 = 0)), "OTIF", "Non-OTIF")</f>
        <v>Non-OTIF</v>
      </c>
      <c r="P716">
        <f>IF(Table1[[#This Row],[OTIF_Status]] = "OTIF", 1, 0)</f>
        <v>0</v>
      </c>
      <c r="Q716" s="5">
        <f t="shared" si="45"/>
        <v>93299.64</v>
      </c>
      <c r="R716" s="5">
        <f t="shared" si="46"/>
        <v>79410.670000000013</v>
      </c>
      <c r="S716" s="5">
        <f>Table1[[#This Row],[Total_Line_Spend]]-Table1[[#This Row],[Negotiated_Total]]</f>
        <v>13888.969999999987</v>
      </c>
      <c r="T716" t="str">
        <f xml:space="preserve"> IF(Table1[[#This Row],[Delay_Days]] &gt; 4, "High Risk", IF(Table1[[#This Row],[Delay_Days]] &gt; 0, "Medium Risk", "Low Risk"))</f>
        <v>Low Risk</v>
      </c>
    </row>
    <row r="717" spans="1:20" x14ac:dyDescent="0.25">
      <c r="A717" t="s">
        <v>742</v>
      </c>
      <c r="B717" t="s">
        <v>808</v>
      </c>
      <c r="C717" s="1">
        <v>45000</v>
      </c>
      <c r="D717" s="1">
        <v>45016</v>
      </c>
      <c r="E717" t="s">
        <v>24</v>
      </c>
      <c r="F717" t="s">
        <v>35</v>
      </c>
      <c r="G717">
        <v>1675</v>
      </c>
      <c r="H717" s="5">
        <v>73.8</v>
      </c>
      <c r="I717" s="5">
        <v>65.34</v>
      </c>
      <c r="J717">
        <v>42</v>
      </c>
      <c r="K717" t="s">
        <v>15</v>
      </c>
      <c r="L717">
        <f t="shared" si="47"/>
        <v>16</v>
      </c>
      <c r="M717">
        <v>11</v>
      </c>
      <c r="N717">
        <f t="shared" si="44"/>
        <v>5</v>
      </c>
      <c r="O717" t="str">
        <f xml:space="preserve"> IF(AND(Table1[[#This Row],[Actual_Lead_Time]] &lt;= Table1[[#This Row],[Standard_Lead_Time]], OR(ISBLANK(J717), J717 = 0)), "OTIF", "Non-OTIF")</f>
        <v>Non-OTIF</v>
      </c>
      <c r="P717">
        <f>IF(Table1[[#This Row],[OTIF_Status]] = "OTIF", 1, 0)</f>
        <v>0</v>
      </c>
      <c r="Q717" s="5">
        <f t="shared" si="45"/>
        <v>123615</v>
      </c>
      <c r="R717" s="5">
        <f t="shared" si="46"/>
        <v>109444.5</v>
      </c>
      <c r="S717" s="5">
        <f>Table1[[#This Row],[Total_Line_Spend]]-Table1[[#This Row],[Negotiated_Total]]</f>
        <v>14170.5</v>
      </c>
      <c r="T717" t="str">
        <f xml:space="preserve"> IF(Table1[[#This Row],[Delay_Days]] &gt; 4, "High Risk", IF(Table1[[#This Row],[Delay_Days]] &gt; 0, "Medium Risk", "Low Risk"))</f>
        <v>High Risk</v>
      </c>
    </row>
    <row r="718" spans="1:20" x14ac:dyDescent="0.25">
      <c r="A718" t="s">
        <v>743</v>
      </c>
      <c r="B718" t="s">
        <v>806</v>
      </c>
      <c r="C718" s="1">
        <v>44700</v>
      </c>
      <c r="D718" s="1">
        <v>44712</v>
      </c>
      <c r="E718" t="s">
        <v>26</v>
      </c>
      <c r="F718" t="s">
        <v>35</v>
      </c>
      <c r="G718">
        <v>1071</v>
      </c>
      <c r="H718" s="5">
        <v>60.77</v>
      </c>
      <c r="I718" s="5">
        <v>58.5</v>
      </c>
      <c r="K718" t="s">
        <v>15</v>
      </c>
      <c r="L718">
        <f t="shared" si="47"/>
        <v>12</v>
      </c>
      <c r="M718">
        <v>11</v>
      </c>
      <c r="N718">
        <f t="shared" si="44"/>
        <v>1</v>
      </c>
      <c r="O718" t="str">
        <f xml:space="preserve"> IF(AND(Table1[[#This Row],[Actual_Lead_Time]] &lt;= Table1[[#This Row],[Standard_Lead_Time]], OR(ISBLANK(J718), J718 = 0)), "OTIF", "Non-OTIF")</f>
        <v>Non-OTIF</v>
      </c>
      <c r="P718">
        <f>IF(Table1[[#This Row],[OTIF_Status]] = "OTIF", 1, 0)</f>
        <v>0</v>
      </c>
      <c r="Q718" s="5">
        <f t="shared" si="45"/>
        <v>65084.670000000006</v>
      </c>
      <c r="R718" s="5">
        <f t="shared" si="46"/>
        <v>62653.5</v>
      </c>
      <c r="S718" s="5">
        <f>Table1[[#This Row],[Total_Line_Spend]]-Table1[[#This Row],[Negotiated_Total]]</f>
        <v>2431.1700000000055</v>
      </c>
      <c r="T718" t="str">
        <f xml:space="preserve"> IF(Table1[[#This Row],[Delay_Days]] &gt; 4, "High Risk", IF(Table1[[#This Row],[Delay_Days]] &gt; 0, "Medium Risk", "Low Risk"))</f>
        <v>Medium Risk</v>
      </c>
    </row>
    <row r="719" spans="1:20" x14ac:dyDescent="0.25">
      <c r="A719" t="s">
        <v>744</v>
      </c>
      <c r="B719" t="s">
        <v>807</v>
      </c>
      <c r="C719" s="1">
        <v>45034</v>
      </c>
      <c r="D719" s="1">
        <v>45043</v>
      </c>
      <c r="E719" t="s">
        <v>13</v>
      </c>
      <c r="F719" t="s">
        <v>18</v>
      </c>
      <c r="G719">
        <v>467</v>
      </c>
      <c r="H719" s="5">
        <v>19.170000000000002</v>
      </c>
      <c r="I719" s="5">
        <v>17.11</v>
      </c>
      <c r="J719">
        <v>49</v>
      </c>
      <c r="K719" t="s">
        <v>15</v>
      </c>
      <c r="L719">
        <f t="shared" si="47"/>
        <v>9</v>
      </c>
      <c r="M719">
        <v>11</v>
      </c>
      <c r="N719">
        <f t="shared" si="44"/>
        <v>0</v>
      </c>
      <c r="O719" t="str">
        <f xml:space="preserve"> IF(AND(Table1[[#This Row],[Actual_Lead_Time]] &lt;= Table1[[#This Row],[Standard_Lead_Time]], OR(ISBLANK(J719), J719 = 0)), "OTIF", "Non-OTIF")</f>
        <v>Non-OTIF</v>
      </c>
      <c r="P719">
        <f>IF(Table1[[#This Row],[OTIF_Status]] = "OTIF", 1, 0)</f>
        <v>0</v>
      </c>
      <c r="Q719" s="5">
        <f t="shared" si="45"/>
        <v>8952.3900000000012</v>
      </c>
      <c r="R719" s="5">
        <f t="shared" si="46"/>
        <v>7990.37</v>
      </c>
      <c r="S719" s="5">
        <f>Table1[[#This Row],[Total_Line_Spend]]-Table1[[#This Row],[Negotiated_Total]]</f>
        <v>962.02000000000135</v>
      </c>
      <c r="T719" t="str">
        <f xml:space="preserve"> IF(Table1[[#This Row],[Delay_Days]] &gt; 4, "High Risk", IF(Table1[[#This Row],[Delay_Days]] &gt; 0, "Medium Risk", "Low Risk"))</f>
        <v>Low Risk</v>
      </c>
    </row>
    <row r="720" spans="1:20" x14ac:dyDescent="0.25">
      <c r="A720" t="s">
        <v>745</v>
      </c>
      <c r="B720" t="s">
        <v>805</v>
      </c>
      <c r="C720" s="1">
        <v>44748</v>
      </c>
      <c r="D720" s="1">
        <v>44767</v>
      </c>
      <c r="E720" t="s">
        <v>21</v>
      </c>
      <c r="F720" t="s">
        <v>35</v>
      </c>
      <c r="G720">
        <v>164</v>
      </c>
      <c r="H720" s="5">
        <v>48.16</v>
      </c>
      <c r="I720" s="5">
        <v>47.46</v>
      </c>
      <c r="J720">
        <v>27</v>
      </c>
      <c r="K720" t="s">
        <v>15</v>
      </c>
      <c r="L720">
        <f t="shared" si="47"/>
        <v>19</v>
      </c>
      <c r="M720">
        <v>11</v>
      </c>
      <c r="N720">
        <f t="shared" si="44"/>
        <v>8</v>
      </c>
      <c r="O720" t="str">
        <f xml:space="preserve"> IF(AND(Table1[[#This Row],[Actual_Lead_Time]] &lt;= Table1[[#This Row],[Standard_Lead_Time]], OR(ISBLANK(J720), J720 = 0)), "OTIF", "Non-OTIF")</f>
        <v>Non-OTIF</v>
      </c>
      <c r="P720">
        <f>IF(Table1[[#This Row],[OTIF_Status]] = "OTIF", 1, 0)</f>
        <v>0</v>
      </c>
      <c r="Q720" s="5">
        <f t="shared" si="45"/>
        <v>7898.24</v>
      </c>
      <c r="R720" s="5">
        <f t="shared" si="46"/>
        <v>7783.4400000000005</v>
      </c>
      <c r="S720" s="5">
        <f>Table1[[#This Row],[Total_Line_Spend]]-Table1[[#This Row],[Negotiated_Total]]</f>
        <v>114.79999999999927</v>
      </c>
      <c r="T720" t="str">
        <f xml:space="preserve"> IF(Table1[[#This Row],[Delay_Days]] &gt; 4, "High Risk", IF(Table1[[#This Row],[Delay_Days]] &gt; 0, "Medium Risk", "Low Risk"))</f>
        <v>High Risk</v>
      </c>
    </row>
    <row r="721" spans="1:20" x14ac:dyDescent="0.25">
      <c r="A721" t="s">
        <v>746</v>
      </c>
      <c r="B721" t="s">
        <v>808</v>
      </c>
      <c r="C721" s="1">
        <v>44613</v>
      </c>
      <c r="D721" s="1">
        <v>44626</v>
      </c>
      <c r="E721" t="s">
        <v>39</v>
      </c>
      <c r="F721" t="s">
        <v>14</v>
      </c>
      <c r="G721">
        <v>666</v>
      </c>
      <c r="H721" s="5">
        <v>43.76</v>
      </c>
      <c r="I721" s="5">
        <v>41.13</v>
      </c>
      <c r="J721">
        <v>18</v>
      </c>
      <c r="K721" t="s">
        <v>15</v>
      </c>
      <c r="L721">
        <f t="shared" si="47"/>
        <v>13</v>
      </c>
      <c r="M721">
        <v>11</v>
      </c>
      <c r="N721">
        <f t="shared" si="44"/>
        <v>2</v>
      </c>
      <c r="O721" t="str">
        <f xml:space="preserve"> IF(AND(Table1[[#This Row],[Actual_Lead_Time]] &lt;= Table1[[#This Row],[Standard_Lead_Time]], OR(ISBLANK(J721), J721 = 0)), "OTIF", "Non-OTIF")</f>
        <v>Non-OTIF</v>
      </c>
      <c r="P721">
        <f>IF(Table1[[#This Row],[OTIF_Status]] = "OTIF", 1, 0)</f>
        <v>0</v>
      </c>
      <c r="Q721" s="5">
        <f t="shared" si="45"/>
        <v>29144.16</v>
      </c>
      <c r="R721" s="5">
        <f t="shared" si="46"/>
        <v>27392.58</v>
      </c>
      <c r="S721" s="5">
        <f>Table1[[#This Row],[Total_Line_Spend]]-Table1[[#This Row],[Negotiated_Total]]</f>
        <v>1751.5799999999981</v>
      </c>
      <c r="T721" t="str">
        <f xml:space="preserve"> IF(Table1[[#This Row],[Delay_Days]] &gt; 4, "High Risk", IF(Table1[[#This Row],[Delay_Days]] &gt; 0, "Medium Risk", "Low Risk"))</f>
        <v>Medium Risk</v>
      </c>
    </row>
    <row r="722" spans="1:20" x14ac:dyDescent="0.25">
      <c r="A722" t="s">
        <v>747</v>
      </c>
      <c r="B722" t="s">
        <v>805</v>
      </c>
      <c r="C722" s="1">
        <v>44828</v>
      </c>
      <c r="D722" s="1">
        <v>44841</v>
      </c>
      <c r="E722" t="s">
        <v>24</v>
      </c>
      <c r="F722" t="s">
        <v>33</v>
      </c>
      <c r="G722">
        <v>1976</v>
      </c>
      <c r="H722" s="5">
        <v>34.71</v>
      </c>
      <c r="I722" s="5">
        <v>31.56</v>
      </c>
      <c r="J722">
        <v>286</v>
      </c>
      <c r="K722" t="s">
        <v>27</v>
      </c>
      <c r="L722">
        <f t="shared" si="47"/>
        <v>13</v>
      </c>
      <c r="M722">
        <v>11</v>
      </c>
      <c r="N722">
        <f t="shared" si="44"/>
        <v>2</v>
      </c>
      <c r="O722" t="str">
        <f xml:space="preserve"> IF(AND(Table1[[#This Row],[Actual_Lead_Time]] &lt;= Table1[[#This Row],[Standard_Lead_Time]], OR(ISBLANK(J722), J722 = 0)), "OTIF", "Non-OTIF")</f>
        <v>Non-OTIF</v>
      </c>
      <c r="P722">
        <f>IF(Table1[[#This Row],[OTIF_Status]] = "OTIF", 1, 0)</f>
        <v>0</v>
      </c>
      <c r="Q722" s="5">
        <f t="shared" si="45"/>
        <v>68586.960000000006</v>
      </c>
      <c r="R722" s="5">
        <f t="shared" si="46"/>
        <v>62362.559999999998</v>
      </c>
      <c r="S722" s="5">
        <f>Table1[[#This Row],[Total_Line_Spend]]-Table1[[#This Row],[Negotiated_Total]]</f>
        <v>6224.4000000000087</v>
      </c>
      <c r="T722" t="str">
        <f xml:space="preserve"> IF(Table1[[#This Row],[Delay_Days]] &gt; 4, "High Risk", IF(Table1[[#This Row],[Delay_Days]] &gt; 0, "Medium Risk", "Low Risk"))</f>
        <v>Medium Risk</v>
      </c>
    </row>
    <row r="723" spans="1:20" x14ac:dyDescent="0.25">
      <c r="A723" t="s">
        <v>748</v>
      </c>
      <c r="B723" t="s">
        <v>808</v>
      </c>
      <c r="C723" s="1">
        <v>44950</v>
      </c>
      <c r="D723" s="1">
        <v>44955</v>
      </c>
      <c r="E723" t="s">
        <v>21</v>
      </c>
      <c r="F723" t="s">
        <v>18</v>
      </c>
      <c r="G723">
        <v>1269</v>
      </c>
      <c r="H723" s="5">
        <v>79.61</v>
      </c>
      <c r="I723" s="5">
        <v>71.86</v>
      </c>
      <c r="J723">
        <v>47</v>
      </c>
      <c r="K723" t="s">
        <v>15</v>
      </c>
      <c r="L723">
        <f t="shared" si="47"/>
        <v>5</v>
      </c>
      <c r="M723">
        <v>11</v>
      </c>
      <c r="N723">
        <f t="shared" si="44"/>
        <v>0</v>
      </c>
      <c r="O723" t="str">
        <f xml:space="preserve"> IF(AND(Table1[[#This Row],[Actual_Lead_Time]] &lt;= Table1[[#This Row],[Standard_Lead_Time]], OR(ISBLANK(J723), J723 = 0)), "OTIF", "Non-OTIF")</f>
        <v>Non-OTIF</v>
      </c>
      <c r="P723">
        <f>IF(Table1[[#This Row],[OTIF_Status]] = "OTIF", 1, 0)</f>
        <v>0</v>
      </c>
      <c r="Q723" s="5">
        <f t="shared" si="45"/>
        <v>101025.09</v>
      </c>
      <c r="R723" s="5">
        <f t="shared" si="46"/>
        <v>91190.34</v>
      </c>
      <c r="S723" s="5">
        <f>Table1[[#This Row],[Total_Line_Spend]]-Table1[[#This Row],[Negotiated_Total]]</f>
        <v>9834.75</v>
      </c>
      <c r="T723" t="str">
        <f xml:space="preserve"> IF(Table1[[#This Row],[Delay_Days]] &gt; 4, "High Risk", IF(Table1[[#This Row],[Delay_Days]] &gt; 0, "Medium Risk", "Low Risk"))</f>
        <v>Low Risk</v>
      </c>
    </row>
    <row r="724" spans="1:20" x14ac:dyDescent="0.25">
      <c r="A724" t="s">
        <v>749</v>
      </c>
      <c r="B724" t="s">
        <v>808</v>
      </c>
      <c r="C724" s="1">
        <v>44897</v>
      </c>
      <c r="D724" s="1">
        <v>44907</v>
      </c>
      <c r="E724" t="s">
        <v>21</v>
      </c>
      <c r="F724" t="s">
        <v>18</v>
      </c>
      <c r="G724">
        <v>875</v>
      </c>
      <c r="H724" s="5">
        <v>57.63</v>
      </c>
      <c r="I724" s="5">
        <v>51.8</v>
      </c>
      <c r="J724">
        <v>16</v>
      </c>
      <c r="K724" t="s">
        <v>15</v>
      </c>
      <c r="L724">
        <f t="shared" si="47"/>
        <v>10</v>
      </c>
      <c r="M724">
        <v>11</v>
      </c>
      <c r="N724">
        <f t="shared" si="44"/>
        <v>0</v>
      </c>
      <c r="O724" t="str">
        <f xml:space="preserve"> IF(AND(Table1[[#This Row],[Actual_Lead_Time]] &lt;= Table1[[#This Row],[Standard_Lead_Time]], OR(ISBLANK(J724), J724 = 0)), "OTIF", "Non-OTIF")</f>
        <v>Non-OTIF</v>
      </c>
      <c r="P724">
        <f>IF(Table1[[#This Row],[OTIF_Status]] = "OTIF", 1, 0)</f>
        <v>0</v>
      </c>
      <c r="Q724" s="5">
        <f t="shared" si="45"/>
        <v>50426.25</v>
      </c>
      <c r="R724" s="5">
        <f t="shared" si="46"/>
        <v>45325</v>
      </c>
      <c r="S724" s="5">
        <f>Table1[[#This Row],[Total_Line_Spend]]-Table1[[#This Row],[Negotiated_Total]]</f>
        <v>5101.25</v>
      </c>
      <c r="T724" t="str">
        <f xml:space="preserve"> IF(Table1[[#This Row],[Delay_Days]] &gt; 4, "High Risk", IF(Table1[[#This Row],[Delay_Days]] &gt; 0, "Medium Risk", "Low Risk"))</f>
        <v>Low Risk</v>
      </c>
    </row>
    <row r="725" spans="1:20" x14ac:dyDescent="0.25">
      <c r="A725" t="s">
        <v>750</v>
      </c>
      <c r="B725" t="s">
        <v>804</v>
      </c>
      <c r="C725" s="1">
        <v>44778</v>
      </c>
      <c r="D725" s="1">
        <v>44789</v>
      </c>
      <c r="E725" t="s">
        <v>24</v>
      </c>
      <c r="F725" t="s">
        <v>33</v>
      </c>
      <c r="G725">
        <v>1574</v>
      </c>
      <c r="H725" s="5">
        <v>17.899999999999999</v>
      </c>
      <c r="I725" s="5">
        <v>15.85</v>
      </c>
      <c r="J725">
        <v>31</v>
      </c>
      <c r="K725" t="s">
        <v>15</v>
      </c>
      <c r="L725">
        <f t="shared" si="47"/>
        <v>11</v>
      </c>
      <c r="M725">
        <v>11</v>
      </c>
      <c r="N725">
        <f t="shared" si="44"/>
        <v>0</v>
      </c>
      <c r="O725" t="str">
        <f xml:space="preserve"> IF(AND(Table1[[#This Row],[Actual_Lead_Time]] &lt;= Table1[[#This Row],[Standard_Lead_Time]], OR(ISBLANK(J725), J725 = 0)), "OTIF", "Non-OTIF")</f>
        <v>Non-OTIF</v>
      </c>
      <c r="P725">
        <f>IF(Table1[[#This Row],[OTIF_Status]] = "OTIF", 1, 0)</f>
        <v>0</v>
      </c>
      <c r="Q725" s="5">
        <f t="shared" si="45"/>
        <v>28174.6</v>
      </c>
      <c r="R725" s="5">
        <f t="shared" si="46"/>
        <v>24947.899999999998</v>
      </c>
      <c r="S725" s="5">
        <f>Table1[[#This Row],[Total_Line_Spend]]-Table1[[#This Row],[Negotiated_Total]]</f>
        <v>3226.7000000000007</v>
      </c>
      <c r="T725" t="str">
        <f xml:space="preserve"> IF(Table1[[#This Row],[Delay_Days]] &gt; 4, "High Risk", IF(Table1[[#This Row],[Delay_Days]] &gt; 0, "Medium Risk", "Low Risk"))</f>
        <v>Low Risk</v>
      </c>
    </row>
    <row r="726" spans="1:20" x14ac:dyDescent="0.25">
      <c r="A726" t="s">
        <v>751</v>
      </c>
      <c r="B726" t="s">
        <v>808</v>
      </c>
      <c r="C726" s="1">
        <v>45027</v>
      </c>
      <c r="D726" s="1">
        <v>45042</v>
      </c>
      <c r="E726" t="s">
        <v>13</v>
      </c>
      <c r="F726" t="s">
        <v>33</v>
      </c>
      <c r="G726">
        <v>1699</v>
      </c>
      <c r="H726" s="5">
        <v>32.049999999999997</v>
      </c>
      <c r="I726" s="5">
        <v>29.34</v>
      </c>
      <c r="J726">
        <v>69</v>
      </c>
      <c r="K726" t="s">
        <v>15</v>
      </c>
      <c r="L726">
        <f t="shared" si="47"/>
        <v>15</v>
      </c>
      <c r="M726">
        <v>11</v>
      </c>
      <c r="N726">
        <f t="shared" si="44"/>
        <v>4</v>
      </c>
      <c r="O726" t="str">
        <f xml:space="preserve"> IF(AND(Table1[[#This Row],[Actual_Lead_Time]] &lt;= Table1[[#This Row],[Standard_Lead_Time]], OR(ISBLANK(J726), J726 = 0)), "OTIF", "Non-OTIF")</f>
        <v>Non-OTIF</v>
      </c>
      <c r="P726">
        <f>IF(Table1[[#This Row],[OTIF_Status]] = "OTIF", 1, 0)</f>
        <v>0</v>
      </c>
      <c r="Q726" s="5">
        <f t="shared" si="45"/>
        <v>54452.95</v>
      </c>
      <c r="R726" s="5">
        <f t="shared" si="46"/>
        <v>49848.659999999996</v>
      </c>
      <c r="S726" s="5">
        <f>Table1[[#This Row],[Total_Line_Spend]]-Table1[[#This Row],[Negotiated_Total]]</f>
        <v>4604.2900000000009</v>
      </c>
      <c r="T726" t="str">
        <f xml:space="preserve"> IF(Table1[[#This Row],[Delay_Days]] &gt; 4, "High Risk", IF(Table1[[#This Row],[Delay_Days]] &gt; 0, "Medium Risk", "Low Risk"))</f>
        <v>Medium Risk</v>
      </c>
    </row>
    <row r="727" spans="1:20" x14ac:dyDescent="0.25">
      <c r="A727" t="s">
        <v>752</v>
      </c>
      <c r="B727" t="s">
        <v>804</v>
      </c>
      <c r="C727" s="1">
        <v>44896</v>
      </c>
      <c r="D727" s="1">
        <v>44912</v>
      </c>
      <c r="E727" t="s">
        <v>39</v>
      </c>
      <c r="F727" t="s">
        <v>18</v>
      </c>
      <c r="G727">
        <v>1566</v>
      </c>
      <c r="H727" s="5">
        <v>75.430000000000007</v>
      </c>
      <c r="I727" s="5">
        <v>71.27</v>
      </c>
      <c r="J727">
        <v>27</v>
      </c>
      <c r="K727" t="s">
        <v>15</v>
      </c>
      <c r="L727">
        <f t="shared" si="47"/>
        <v>16</v>
      </c>
      <c r="M727">
        <v>11</v>
      </c>
      <c r="N727">
        <f t="shared" si="44"/>
        <v>5</v>
      </c>
      <c r="O727" t="str">
        <f xml:space="preserve"> IF(AND(Table1[[#This Row],[Actual_Lead_Time]] &lt;= Table1[[#This Row],[Standard_Lead_Time]], OR(ISBLANK(J727), J727 = 0)), "OTIF", "Non-OTIF")</f>
        <v>Non-OTIF</v>
      </c>
      <c r="P727">
        <f>IF(Table1[[#This Row],[OTIF_Status]] = "OTIF", 1, 0)</f>
        <v>0</v>
      </c>
      <c r="Q727" s="5">
        <f t="shared" si="45"/>
        <v>118123.38</v>
      </c>
      <c r="R727" s="5">
        <f t="shared" si="46"/>
        <v>111608.81999999999</v>
      </c>
      <c r="S727" s="5">
        <f>Table1[[#This Row],[Total_Line_Spend]]-Table1[[#This Row],[Negotiated_Total]]</f>
        <v>6514.5600000000122</v>
      </c>
      <c r="T727" t="str">
        <f xml:space="preserve"> IF(Table1[[#This Row],[Delay_Days]] &gt; 4, "High Risk", IF(Table1[[#This Row],[Delay_Days]] &gt; 0, "Medium Risk", "Low Risk"))</f>
        <v>High Risk</v>
      </c>
    </row>
    <row r="728" spans="1:20" x14ac:dyDescent="0.25">
      <c r="A728" t="s">
        <v>753</v>
      </c>
      <c r="B728" t="s">
        <v>806</v>
      </c>
      <c r="C728" s="1">
        <v>44907</v>
      </c>
      <c r="D728" s="1">
        <v>44925</v>
      </c>
      <c r="E728" t="s">
        <v>39</v>
      </c>
      <c r="F728" t="s">
        <v>18</v>
      </c>
      <c r="G728">
        <v>1148</v>
      </c>
      <c r="H728" s="5">
        <v>17.78</v>
      </c>
      <c r="I728" s="5">
        <v>17.16</v>
      </c>
      <c r="J728">
        <v>61</v>
      </c>
      <c r="K728" t="s">
        <v>15</v>
      </c>
      <c r="L728">
        <f t="shared" si="47"/>
        <v>18</v>
      </c>
      <c r="M728">
        <v>11</v>
      </c>
      <c r="N728">
        <f t="shared" si="44"/>
        <v>7</v>
      </c>
      <c r="O728" t="str">
        <f xml:space="preserve"> IF(AND(Table1[[#This Row],[Actual_Lead_Time]] &lt;= Table1[[#This Row],[Standard_Lead_Time]], OR(ISBLANK(J728), J728 = 0)), "OTIF", "Non-OTIF")</f>
        <v>Non-OTIF</v>
      </c>
      <c r="P728">
        <f>IF(Table1[[#This Row],[OTIF_Status]] = "OTIF", 1, 0)</f>
        <v>0</v>
      </c>
      <c r="Q728" s="5">
        <f t="shared" si="45"/>
        <v>20411.440000000002</v>
      </c>
      <c r="R728" s="5">
        <f t="shared" si="46"/>
        <v>19699.68</v>
      </c>
      <c r="S728" s="5">
        <f>Table1[[#This Row],[Total_Line_Spend]]-Table1[[#This Row],[Negotiated_Total]]</f>
        <v>711.76000000000204</v>
      </c>
      <c r="T728" t="str">
        <f xml:space="preserve"> IF(Table1[[#This Row],[Delay_Days]] &gt; 4, "High Risk", IF(Table1[[#This Row],[Delay_Days]] &gt; 0, "Medium Risk", "Low Risk"))</f>
        <v>High Risk</v>
      </c>
    </row>
    <row r="729" spans="1:20" x14ac:dyDescent="0.25">
      <c r="A729" t="s">
        <v>754</v>
      </c>
      <c r="B729" t="s">
        <v>808</v>
      </c>
      <c r="C729" s="1">
        <v>44950</v>
      </c>
      <c r="D729" s="1">
        <v>44968</v>
      </c>
      <c r="E729" t="s">
        <v>13</v>
      </c>
      <c r="F729" t="s">
        <v>18</v>
      </c>
      <c r="G729">
        <v>462</v>
      </c>
      <c r="H729" s="5">
        <v>91.81</v>
      </c>
      <c r="I729" s="5">
        <v>83.14</v>
      </c>
      <c r="J729">
        <v>11</v>
      </c>
      <c r="K729" t="s">
        <v>15</v>
      </c>
      <c r="L729">
        <f t="shared" si="47"/>
        <v>18</v>
      </c>
      <c r="M729">
        <v>11</v>
      </c>
      <c r="N729">
        <f t="shared" si="44"/>
        <v>7</v>
      </c>
      <c r="O729" t="str">
        <f xml:space="preserve"> IF(AND(Table1[[#This Row],[Actual_Lead_Time]] &lt;= Table1[[#This Row],[Standard_Lead_Time]], OR(ISBLANK(J729), J729 = 0)), "OTIF", "Non-OTIF")</f>
        <v>Non-OTIF</v>
      </c>
      <c r="P729">
        <f>IF(Table1[[#This Row],[OTIF_Status]] = "OTIF", 1, 0)</f>
        <v>0</v>
      </c>
      <c r="Q729" s="5">
        <f t="shared" si="45"/>
        <v>42416.22</v>
      </c>
      <c r="R729" s="5">
        <f t="shared" si="46"/>
        <v>38410.68</v>
      </c>
      <c r="S729" s="5">
        <f>Table1[[#This Row],[Total_Line_Spend]]-Table1[[#This Row],[Negotiated_Total]]</f>
        <v>4005.5400000000009</v>
      </c>
      <c r="T729" t="str">
        <f xml:space="preserve"> IF(Table1[[#This Row],[Delay_Days]] &gt; 4, "High Risk", IF(Table1[[#This Row],[Delay_Days]] &gt; 0, "Medium Risk", "Low Risk"))</f>
        <v>High Risk</v>
      </c>
    </row>
    <row r="730" spans="1:20" x14ac:dyDescent="0.25">
      <c r="A730" t="s">
        <v>755</v>
      </c>
      <c r="B730" t="s">
        <v>806</v>
      </c>
      <c r="C730" s="1">
        <v>44846</v>
      </c>
      <c r="D730" s="1">
        <v>44851</v>
      </c>
      <c r="E730" t="s">
        <v>24</v>
      </c>
      <c r="F730" t="s">
        <v>18</v>
      </c>
      <c r="G730">
        <v>1449</v>
      </c>
      <c r="H730" s="5">
        <v>57.02</v>
      </c>
      <c r="I730" s="5">
        <v>49.28</v>
      </c>
      <c r="J730">
        <v>71</v>
      </c>
      <c r="K730" t="s">
        <v>15</v>
      </c>
      <c r="L730">
        <f t="shared" si="47"/>
        <v>5</v>
      </c>
      <c r="M730">
        <v>11</v>
      </c>
      <c r="N730">
        <f t="shared" si="44"/>
        <v>0</v>
      </c>
      <c r="O730" t="str">
        <f xml:space="preserve"> IF(AND(Table1[[#This Row],[Actual_Lead_Time]] &lt;= Table1[[#This Row],[Standard_Lead_Time]], OR(ISBLANK(J730), J730 = 0)), "OTIF", "Non-OTIF")</f>
        <v>Non-OTIF</v>
      </c>
      <c r="P730">
        <f>IF(Table1[[#This Row],[OTIF_Status]] = "OTIF", 1, 0)</f>
        <v>0</v>
      </c>
      <c r="Q730" s="5">
        <f t="shared" si="45"/>
        <v>82621.98000000001</v>
      </c>
      <c r="R730" s="5">
        <f t="shared" si="46"/>
        <v>71406.720000000001</v>
      </c>
      <c r="S730" s="5">
        <f>Table1[[#This Row],[Total_Line_Spend]]-Table1[[#This Row],[Negotiated_Total]]</f>
        <v>11215.260000000009</v>
      </c>
      <c r="T730" t="str">
        <f xml:space="preserve"> IF(Table1[[#This Row],[Delay_Days]] &gt; 4, "High Risk", IF(Table1[[#This Row],[Delay_Days]] &gt; 0, "Medium Risk", "Low Risk"))</f>
        <v>Low Risk</v>
      </c>
    </row>
    <row r="731" spans="1:20" x14ac:dyDescent="0.25">
      <c r="A731" t="s">
        <v>756</v>
      </c>
      <c r="B731" t="s">
        <v>808</v>
      </c>
      <c r="C731" s="1">
        <v>44993</v>
      </c>
      <c r="D731" s="1">
        <v>45012</v>
      </c>
      <c r="E731" t="s">
        <v>21</v>
      </c>
      <c r="F731" t="s">
        <v>18</v>
      </c>
      <c r="G731">
        <v>1493</v>
      </c>
      <c r="H731" s="5">
        <v>56.98</v>
      </c>
      <c r="I731" s="5">
        <v>52.51</v>
      </c>
      <c r="J731">
        <v>43</v>
      </c>
      <c r="K731" t="s">
        <v>15</v>
      </c>
      <c r="L731">
        <f t="shared" si="47"/>
        <v>19</v>
      </c>
      <c r="M731">
        <v>11</v>
      </c>
      <c r="N731">
        <f t="shared" si="44"/>
        <v>8</v>
      </c>
      <c r="O731" t="str">
        <f xml:space="preserve"> IF(AND(Table1[[#This Row],[Actual_Lead_Time]] &lt;= Table1[[#This Row],[Standard_Lead_Time]], OR(ISBLANK(J731), J731 = 0)), "OTIF", "Non-OTIF")</f>
        <v>Non-OTIF</v>
      </c>
      <c r="P731">
        <f>IF(Table1[[#This Row],[OTIF_Status]] = "OTIF", 1, 0)</f>
        <v>0</v>
      </c>
      <c r="Q731" s="5">
        <f t="shared" si="45"/>
        <v>85071.14</v>
      </c>
      <c r="R731" s="5">
        <f t="shared" si="46"/>
        <v>78397.429999999993</v>
      </c>
      <c r="S731" s="5">
        <f>Table1[[#This Row],[Total_Line_Spend]]-Table1[[#This Row],[Negotiated_Total]]</f>
        <v>6673.7100000000064</v>
      </c>
      <c r="T731" t="str">
        <f xml:space="preserve"> IF(Table1[[#This Row],[Delay_Days]] &gt; 4, "High Risk", IF(Table1[[#This Row],[Delay_Days]] &gt; 0, "Medium Risk", "Low Risk"))</f>
        <v>High Risk</v>
      </c>
    </row>
    <row r="732" spans="1:20" x14ac:dyDescent="0.25">
      <c r="A732" t="s">
        <v>757</v>
      </c>
      <c r="B732" t="s">
        <v>804</v>
      </c>
      <c r="C732" s="1">
        <v>44820</v>
      </c>
      <c r="D732" s="1">
        <v>44822</v>
      </c>
      <c r="E732" t="s">
        <v>13</v>
      </c>
      <c r="F732" t="s">
        <v>18</v>
      </c>
      <c r="G732">
        <v>778</v>
      </c>
      <c r="H732" s="5">
        <v>65.849999999999994</v>
      </c>
      <c r="I732" s="5">
        <v>62.08</v>
      </c>
      <c r="K732" t="s">
        <v>27</v>
      </c>
      <c r="L732">
        <f t="shared" si="47"/>
        <v>2</v>
      </c>
      <c r="M732">
        <v>11</v>
      </c>
      <c r="N732">
        <f t="shared" si="44"/>
        <v>0</v>
      </c>
      <c r="O732" t="str">
        <f xml:space="preserve"> IF(AND(Table1[[#This Row],[Actual_Lead_Time]] &lt;= Table1[[#This Row],[Standard_Lead_Time]], OR(ISBLANK(J732), J732 = 0)), "OTIF", "Non-OTIF")</f>
        <v>OTIF</v>
      </c>
      <c r="P732">
        <f>IF(Table1[[#This Row],[OTIF_Status]] = "OTIF", 1, 0)</f>
        <v>1</v>
      </c>
      <c r="Q732" s="5">
        <f t="shared" si="45"/>
        <v>51231.299999999996</v>
      </c>
      <c r="R732" s="5">
        <f t="shared" si="46"/>
        <v>48298.239999999998</v>
      </c>
      <c r="S732" s="5">
        <f>Table1[[#This Row],[Total_Line_Spend]]-Table1[[#This Row],[Negotiated_Total]]</f>
        <v>2933.0599999999977</v>
      </c>
      <c r="T732" t="str">
        <f xml:space="preserve"> IF(Table1[[#This Row],[Delay_Days]] &gt; 4, "High Risk", IF(Table1[[#This Row],[Delay_Days]] &gt; 0, "Medium Risk", "Low Risk"))</f>
        <v>Low Risk</v>
      </c>
    </row>
    <row r="733" spans="1:20" x14ac:dyDescent="0.25">
      <c r="A733" t="s">
        <v>758</v>
      </c>
      <c r="B733" t="s">
        <v>805</v>
      </c>
      <c r="C733" s="1">
        <v>44645</v>
      </c>
      <c r="D733" s="1">
        <v>44662</v>
      </c>
      <c r="E733" t="s">
        <v>24</v>
      </c>
      <c r="F733" t="s">
        <v>33</v>
      </c>
      <c r="G733">
        <v>1350</v>
      </c>
      <c r="H733" s="5">
        <v>85.06</v>
      </c>
      <c r="I733" s="5">
        <v>82.34</v>
      </c>
      <c r="K733" t="s">
        <v>27</v>
      </c>
      <c r="L733">
        <f t="shared" si="47"/>
        <v>17</v>
      </c>
      <c r="M733">
        <v>11</v>
      </c>
      <c r="N733">
        <f t="shared" si="44"/>
        <v>6</v>
      </c>
      <c r="O733" t="str">
        <f xml:space="preserve"> IF(AND(Table1[[#This Row],[Actual_Lead_Time]] &lt;= Table1[[#This Row],[Standard_Lead_Time]], OR(ISBLANK(J733), J733 = 0)), "OTIF", "Non-OTIF")</f>
        <v>Non-OTIF</v>
      </c>
      <c r="P733">
        <f>IF(Table1[[#This Row],[OTIF_Status]] = "OTIF", 1, 0)</f>
        <v>0</v>
      </c>
      <c r="Q733" s="5">
        <f t="shared" si="45"/>
        <v>114831</v>
      </c>
      <c r="R733" s="5">
        <f t="shared" si="46"/>
        <v>111159</v>
      </c>
      <c r="S733" s="5">
        <f>Table1[[#This Row],[Total_Line_Spend]]-Table1[[#This Row],[Negotiated_Total]]</f>
        <v>3672</v>
      </c>
      <c r="T733" t="str">
        <f xml:space="preserve"> IF(Table1[[#This Row],[Delay_Days]] &gt; 4, "High Risk", IF(Table1[[#This Row],[Delay_Days]] &gt; 0, "Medium Risk", "Low Risk"))</f>
        <v>High Risk</v>
      </c>
    </row>
    <row r="734" spans="1:20" x14ac:dyDescent="0.25">
      <c r="A734" t="s">
        <v>759</v>
      </c>
      <c r="B734" t="s">
        <v>808</v>
      </c>
      <c r="C734" s="1">
        <v>45043</v>
      </c>
      <c r="D734" s="1">
        <v>45051</v>
      </c>
      <c r="E734" t="s">
        <v>24</v>
      </c>
      <c r="F734" t="s">
        <v>18</v>
      </c>
      <c r="G734">
        <v>1070</v>
      </c>
      <c r="H734" s="5">
        <v>44.4</v>
      </c>
      <c r="I734" s="5">
        <v>40.07</v>
      </c>
      <c r="J734">
        <v>26</v>
      </c>
      <c r="K734" t="s">
        <v>15</v>
      </c>
      <c r="L734">
        <f t="shared" si="47"/>
        <v>8</v>
      </c>
      <c r="M734">
        <v>11</v>
      </c>
      <c r="N734">
        <f t="shared" si="44"/>
        <v>0</v>
      </c>
      <c r="O734" t="str">
        <f xml:space="preserve"> IF(AND(Table1[[#This Row],[Actual_Lead_Time]] &lt;= Table1[[#This Row],[Standard_Lead_Time]], OR(ISBLANK(J734), J734 = 0)), "OTIF", "Non-OTIF")</f>
        <v>Non-OTIF</v>
      </c>
      <c r="P734">
        <f>IF(Table1[[#This Row],[OTIF_Status]] = "OTIF", 1, 0)</f>
        <v>0</v>
      </c>
      <c r="Q734" s="5">
        <f t="shared" si="45"/>
        <v>47508</v>
      </c>
      <c r="R734" s="5">
        <f t="shared" si="46"/>
        <v>42874.9</v>
      </c>
      <c r="S734" s="5">
        <f>Table1[[#This Row],[Total_Line_Spend]]-Table1[[#This Row],[Negotiated_Total]]</f>
        <v>4633.0999999999985</v>
      </c>
      <c r="T734" t="str">
        <f xml:space="preserve"> IF(Table1[[#This Row],[Delay_Days]] &gt; 4, "High Risk", IF(Table1[[#This Row],[Delay_Days]] &gt; 0, "Medium Risk", "Low Risk"))</f>
        <v>Low Risk</v>
      </c>
    </row>
    <row r="735" spans="1:20" x14ac:dyDescent="0.25">
      <c r="A735" t="s">
        <v>760</v>
      </c>
      <c r="B735" t="s">
        <v>807</v>
      </c>
      <c r="C735" s="1">
        <v>44581</v>
      </c>
      <c r="D735" s="1">
        <v>44595</v>
      </c>
      <c r="E735" t="s">
        <v>24</v>
      </c>
      <c r="F735" t="s">
        <v>35</v>
      </c>
      <c r="G735">
        <v>810</v>
      </c>
      <c r="H735" s="5">
        <v>71.02</v>
      </c>
      <c r="I735" s="5">
        <v>66.8</v>
      </c>
      <c r="J735">
        <v>73</v>
      </c>
      <c r="K735" t="s">
        <v>15</v>
      </c>
      <c r="L735">
        <f t="shared" si="47"/>
        <v>14</v>
      </c>
      <c r="M735">
        <v>11</v>
      </c>
      <c r="N735">
        <f t="shared" si="44"/>
        <v>3</v>
      </c>
      <c r="O735" t="str">
        <f xml:space="preserve"> IF(AND(Table1[[#This Row],[Actual_Lead_Time]] &lt;= Table1[[#This Row],[Standard_Lead_Time]], OR(ISBLANK(J735), J735 = 0)), "OTIF", "Non-OTIF")</f>
        <v>Non-OTIF</v>
      </c>
      <c r="P735">
        <f>IF(Table1[[#This Row],[OTIF_Status]] = "OTIF", 1, 0)</f>
        <v>0</v>
      </c>
      <c r="Q735" s="5">
        <f t="shared" si="45"/>
        <v>57526.2</v>
      </c>
      <c r="R735" s="5">
        <f t="shared" si="46"/>
        <v>54108</v>
      </c>
      <c r="S735" s="5">
        <f>Table1[[#This Row],[Total_Line_Spend]]-Table1[[#This Row],[Negotiated_Total]]</f>
        <v>3418.1999999999971</v>
      </c>
      <c r="T735" t="str">
        <f xml:space="preserve"> IF(Table1[[#This Row],[Delay_Days]] &gt; 4, "High Risk", IF(Table1[[#This Row],[Delay_Days]] &gt; 0, "Medium Risk", "Low Risk"))</f>
        <v>Medium Risk</v>
      </c>
    </row>
    <row r="736" spans="1:20" x14ac:dyDescent="0.25">
      <c r="A736" t="s">
        <v>761</v>
      </c>
      <c r="B736" t="s">
        <v>805</v>
      </c>
      <c r="C736" s="1">
        <v>45114</v>
      </c>
      <c r="D736" s="1">
        <v>45130</v>
      </c>
      <c r="E736" t="s">
        <v>24</v>
      </c>
      <c r="F736" t="s">
        <v>14</v>
      </c>
      <c r="G736">
        <v>725</v>
      </c>
      <c r="H736" s="5">
        <v>66.400000000000006</v>
      </c>
      <c r="I736" s="5">
        <v>62.1</v>
      </c>
      <c r="J736">
        <v>118</v>
      </c>
      <c r="K736" t="s">
        <v>15</v>
      </c>
      <c r="L736">
        <f t="shared" si="47"/>
        <v>16</v>
      </c>
      <c r="M736">
        <v>11</v>
      </c>
      <c r="N736">
        <f t="shared" si="44"/>
        <v>5</v>
      </c>
      <c r="O736" t="str">
        <f xml:space="preserve"> IF(AND(Table1[[#This Row],[Actual_Lead_Time]] &lt;= Table1[[#This Row],[Standard_Lead_Time]], OR(ISBLANK(J736), J736 = 0)), "OTIF", "Non-OTIF")</f>
        <v>Non-OTIF</v>
      </c>
      <c r="P736">
        <f>IF(Table1[[#This Row],[OTIF_Status]] = "OTIF", 1, 0)</f>
        <v>0</v>
      </c>
      <c r="Q736" s="5">
        <f t="shared" si="45"/>
        <v>48140.000000000007</v>
      </c>
      <c r="R736" s="5">
        <f t="shared" si="46"/>
        <v>45022.5</v>
      </c>
      <c r="S736" s="5">
        <f>Table1[[#This Row],[Total_Line_Spend]]-Table1[[#This Row],[Negotiated_Total]]</f>
        <v>3117.5000000000073</v>
      </c>
      <c r="T736" t="str">
        <f xml:space="preserve"> IF(Table1[[#This Row],[Delay_Days]] &gt; 4, "High Risk", IF(Table1[[#This Row],[Delay_Days]] &gt; 0, "Medium Risk", "Low Risk"))</f>
        <v>High Risk</v>
      </c>
    </row>
    <row r="737" spans="1:20" x14ac:dyDescent="0.25">
      <c r="A737" t="s">
        <v>762</v>
      </c>
      <c r="B737" t="s">
        <v>804</v>
      </c>
      <c r="C737" s="1">
        <v>44615</v>
      </c>
      <c r="D737" s="1">
        <v>44620</v>
      </c>
      <c r="E737" t="s">
        <v>39</v>
      </c>
      <c r="F737" t="s">
        <v>18</v>
      </c>
      <c r="G737">
        <v>1467</v>
      </c>
      <c r="H737" s="5">
        <v>34.200000000000003</v>
      </c>
      <c r="I737" s="5">
        <v>30.5</v>
      </c>
      <c r="J737">
        <v>25</v>
      </c>
      <c r="K737" t="s">
        <v>15</v>
      </c>
      <c r="L737">
        <f t="shared" si="47"/>
        <v>5</v>
      </c>
      <c r="M737">
        <v>11</v>
      </c>
      <c r="N737">
        <f t="shared" si="44"/>
        <v>0</v>
      </c>
      <c r="O737" t="str">
        <f xml:space="preserve"> IF(AND(Table1[[#This Row],[Actual_Lead_Time]] &lt;= Table1[[#This Row],[Standard_Lead_Time]], OR(ISBLANK(J737), J737 = 0)), "OTIF", "Non-OTIF")</f>
        <v>Non-OTIF</v>
      </c>
      <c r="P737">
        <f>IF(Table1[[#This Row],[OTIF_Status]] = "OTIF", 1, 0)</f>
        <v>0</v>
      </c>
      <c r="Q737" s="5">
        <f t="shared" si="45"/>
        <v>50171.4</v>
      </c>
      <c r="R737" s="5">
        <f t="shared" si="46"/>
        <v>44743.5</v>
      </c>
      <c r="S737" s="5">
        <f>Table1[[#This Row],[Total_Line_Spend]]-Table1[[#This Row],[Negotiated_Total]]</f>
        <v>5427.9000000000015</v>
      </c>
      <c r="T737" t="str">
        <f xml:space="preserve"> IF(Table1[[#This Row],[Delay_Days]] &gt; 4, "High Risk", IF(Table1[[#This Row],[Delay_Days]] &gt; 0, "Medium Risk", "Low Risk"))</f>
        <v>Low Risk</v>
      </c>
    </row>
    <row r="738" spans="1:20" x14ac:dyDescent="0.25">
      <c r="A738" t="s">
        <v>763</v>
      </c>
      <c r="B738" t="s">
        <v>807</v>
      </c>
      <c r="C738" s="1">
        <v>44920</v>
      </c>
      <c r="D738" s="1">
        <v>44938</v>
      </c>
      <c r="E738" t="s">
        <v>24</v>
      </c>
      <c r="F738" t="s">
        <v>18</v>
      </c>
      <c r="G738">
        <v>1942</v>
      </c>
      <c r="H738" s="5">
        <v>93.98</v>
      </c>
      <c r="I738" s="5">
        <v>81.31</v>
      </c>
      <c r="J738">
        <v>198</v>
      </c>
      <c r="K738" t="s">
        <v>15</v>
      </c>
      <c r="L738">
        <f t="shared" si="47"/>
        <v>18</v>
      </c>
      <c r="M738">
        <v>11</v>
      </c>
      <c r="N738">
        <f t="shared" si="44"/>
        <v>7</v>
      </c>
      <c r="O738" t="str">
        <f xml:space="preserve"> IF(AND(Table1[[#This Row],[Actual_Lead_Time]] &lt;= Table1[[#This Row],[Standard_Lead_Time]], OR(ISBLANK(J738), J738 = 0)), "OTIF", "Non-OTIF")</f>
        <v>Non-OTIF</v>
      </c>
      <c r="P738">
        <f>IF(Table1[[#This Row],[OTIF_Status]] = "OTIF", 1, 0)</f>
        <v>0</v>
      </c>
      <c r="Q738" s="5">
        <f t="shared" si="45"/>
        <v>182509.16</v>
      </c>
      <c r="R738" s="5">
        <f t="shared" si="46"/>
        <v>157904.02000000002</v>
      </c>
      <c r="S738" s="5">
        <f>Table1[[#This Row],[Total_Line_Spend]]-Table1[[#This Row],[Negotiated_Total]]</f>
        <v>24605.139999999985</v>
      </c>
      <c r="T738" t="str">
        <f xml:space="preserve"> IF(Table1[[#This Row],[Delay_Days]] &gt; 4, "High Risk", IF(Table1[[#This Row],[Delay_Days]] &gt; 0, "Medium Risk", "Low Risk"))</f>
        <v>High Risk</v>
      </c>
    </row>
    <row r="739" spans="1:20" x14ac:dyDescent="0.25">
      <c r="A739" t="s">
        <v>764</v>
      </c>
      <c r="B739" t="s">
        <v>806</v>
      </c>
      <c r="C739" s="1">
        <v>44791</v>
      </c>
      <c r="D739" s="1">
        <v>44801</v>
      </c>
      <c r="E739" t="s">
        <v>13</v>
      </c>
      <c r="F739" t="s">
        <v>18</v>
      </c>
      <c r="G739">
        <v>506</v>
      </c>
      <c r="H739" s="5">
        <v>84.63</v>
      </c>
      <c r="I739" s="5">
        <v>72.69</v>
      </c>
      <c r="J739">
        <v>20</v>
      </c>
      <c r="K739" t="s">
        <v>15</v>
      </c>
      <c r="L739">
        <f t="shared" si="47"/>
        <v>10</v>
      </c>
      <c r="M739">
        <v>11</v>
      </c>
      <c r="N739">
        <f t="shared" si="44"/>
        <v>0</v>
      </c>
      <c r="O739" t="str">
        <f xml:space="preserve"> IF(AND(Table1[[#This Row],[Actual_Lead_Time]] &lt;= Table1[[#This Row],[Standard_Lead_Time]], OR(ISBLANK(J739), J739 = 0)), "OTIF", "Non-OTIF")</f>
        <v>Non-OTIF</v>
      </c>
      <c r="P739">
        <f>IF(Table1[[#This Row],[OTIF_Status]] = "OTIF", 1, 0)</f>
        <v>0</v>
      </c>
      <c r="Q739" s="5">
        <f t="shared" si="45"/>
        <v>42822.78</v>
      </c>
      <c r="R739" s="5">
        <f t="shared" si="46"/>
        <v>36781.14</v>
      </c>
      <c r="S739" s="5">
        <f>Table1[[#This Row],[Total_Line_Spend]]-Table1[[#This Row],[Negotiated_Total]]</f>
        <v>6041.6399999999994</v>
      </c>
      <c r="T739" t="str">
        <f xml:space="preserve"> IF(Table1[[#This Row],[Delay_Days]] &gt; 4, "High Risk", IF(Table1[[#This Row],[Delay_Days]] &gt; 0, "Medium Risk", "Low Risk"))</f>
        <v>Low Risk</v>
      </c>
    </row>
    <row r="740" spans="1:20" x14ac:dyDescent="0.25">
      <c r="A740" t="s">
        <v>765</v>
      </c>
      <c r="B740" t="s">
        <v>804</v>
      </c>
      <c r="C740" s="1">
        <v>45227</v>
      </c>
      <c r="D740" s="1">
        <v>45243</v>
      </c>
      <c r="E740" t="s">
        <v>21</v>
      </c>
      <c r="F740" t="s">
        <v>18</v>
      </c>
      <c r="G740">
        <v>969</v>
      </c>
      <c r="H740" s="5">
        <v>76.53</v>
      </c>
      <c r="I740" s="5">
        <v>75.64</v>
      </c>
      <c r="J740">
        <v>30</v>
      </c>
      <c r="K740" t="s">
        <v>15</v>
      </c>
      <c r="L740">
        <f t="shared" si="47"/>
        <v>16</v>
      </c>
      <c r="M740">
        <v>11</v>
      </c>
      <c r="N740">
        <f t="shared" si="44"/>
        <v>5</v>
      </c>
      <c r="O740" t="str">
        <f xml:space="preserve"> IF(AND(Table1[[#This Row],[Actual_Lead_Time]] &lt;= Table1[[#This Row],[Standard_Lead_Time]], OR(ISBLANK(J740), J740 = 0)), "OTIF", "Non-OTIF")</f>
        <v>Non-OTIF</v>
      </c>
      <c r="P740">
        <f>IF(Table1[[#This Row],[OTIF_Status]] = "OTIF", 1, 0)</f>
        <v>0</v>
      </c>
      <c r="Q740" s="5">
        <f t="shared" si="45"/>
        <v>74157.570000000007</v>
      </c>
      <c r="R740" s="5">
        <f t="shared" si="46"/>
        <v>73295.16</v>
      </c>
      <c r="S740" s="5">
        <f>Table1[[#This Row],[Total_Line_Spend]]-Table1[[#This Row],[Negotiated_Total]]</f>
        <v>862.41000000000349</v>
      </c>
      <c r="T740" t="str">
        <f xml:space="preserve"> IF(Table1[[#This Row],[Delay_Days]] &gt; 4, "High Risk", IF(Table1[[#This Row],[Delay_Days]] &gt; 0, "Medium Risk", "Low Risk"))</f>
        <v>High Risk</v>
      </c>
    </row>
    <row r="741" spans="1:20" x14ac:dyDescent="0.25">
      <c r="A741" t="s">
        <v>766</v>
      </c>
      <c r="B741" t="s">
        <v>805</v>
      </c>
      <c r="C741" s="1">
        <v>44632</v>
      </c>
      <c r="D741" s="1">
        <v>44639</v>
      </c>
      <c r="E741" t="s">
        <v>21</v>
      </c>
      <c r="F741" t="s">
        <v>18</v>
      </c>
      <c r="G741">
        <v>241</v>
      </c>
      <c r="H741" s="5">
        <v>87.42</v>
      </c>
      <c r="I741" s="5">
        <v>82.15</v>
      </c>
      <c r="K741" t="s">
        <v>15</v>
      </c>
      <c r="L741">
        <f t="shared" si="47"/>
        <v>7</v>
      </c>
      <c r="M741">
        <v>11</v>
      </c>
      <c r="N741">
        <f t="shared" si="44"/>
        <v>0</v>
      </c>
      <c r="O741" t="str">
        <f xml:space="preserve"> IF(AND(Table1[[#This Row],[Actual_Lead_Time]] &lt;= Table1[[#This Row],[Standard_Lead_Time]], OR(ISBLANK(J741), J741 = 0)), "OTIF", "Non-OTIF")</f>
        <v>OTIF</v>
      </c>
      <c r="P741">
        <f>IF(Table1[[#This Row],[OTIF_Status]] = "OTIF", 1, 0)</f>
        <v>1</v>
      </c>
      <c r="Q741" s="5">
        <f t="shared" si="45"/>
        <v>21068.22</v>
      </c>
      <c r="R741" s="5">
        <f t="shared" si="46"/>
        <v>19798.150000000001</v>
      </c>
      <c r="S741" s="5">
        <f>Table1[[#This Row],[Total_Line_Spend]]-Table1[[#This Row],[Negotiated_Total]]</f>
        <v>1270.0699999999997</v>
      </c>
      <c r="T741" t="str">
        <f xml:space="preserve"> IF(Table1[[#This Row],[Delay_Days]] &gt; 4, "High Risk", IF(Table1[[#This Row],[Delay_Days]] &gt; 0, "Medium Risk", "Low Risk"))</f>
        <v>Low Risk</v>
      </c>
    </row>
    <row r="742" spans="1:20" x14ac:dyDescent="0.25">
      <c r="A742" t="s">
        <v>767</v>
      </c>
      <c r="B742" t="s">
        <v>806</v>
      </c>
      <c r="C742" s="1">
        <v>45229</v>
      </c>
      <c r="D742" s="1">
        <v>45239</v>
      </c>
      <c r="E742" t="s">
        <v>26</v>
      </c>
      <c r="F742" t="s">
        <v>18</v>
      </c>
      <c r="G742">
        <v>788</v>
      </c>
      <c r="H742" s="5">
        <v>97.3</v>
      </c>
      <c r="I742" s="5">
        <v>94.44</v>
      </c>
      <c r="J742">
        <v>32</v>
      </c>
      <c r="K742" t="s">
        <v>15</v>
      </c>
      <c r="L742">
        <f t="shared" si="47"/>
        <v>10</v>
      </c>
      <c r="M742">
        <v>11</v>
      </c>
      <c r="N742">
        <f t="shared" si="44"/>
        <v>0</v>
      </c>
      <c r="O742" t="str">
        <f xml:space="preserve"> IF(AND(Table1[[#This Row],[Actual_Lead_Time]] &lt;= Table1[[#This Row],[Standard_Lead_Time]], OR(ISBLANK(J742), J742 = 0)), "OTIF", "Non-OTIF")</f>
        <v>Non-OTIF</v>
      </c>
      <c r="P742">
        <f>IF(Table1[[#This Row],[OTIF_Status]] = "OTIF", 1, 0)</f>
        <v>0</v>
      </c>
      <c r="Q742" s="5">
        <f t="shared" si="45"/>
        <v>76672.399999999994</v>
      </c>
      <c r="R742" s="5">
        <f t="shared" si="46"/>
        <v>74418.720000000001</v>
      </c>
      <c r="S742" s="5">
        <f>Table1[[#This Row],[Total_Line_Spend]]-Table1[[#This Row],[Negotiated_Total]]</f>
        <v>2253.679999999993</v>
      </c>
      <c r="T742" t="str">
        <f xml:space="preserve"> IF(Table1[[#This Row],[Delay_Days]] &gt; 4, "High Risk", IF(Table1[[#This Row],[Delay_Days]] &gt; 0, "Medium Risk", "Low Risk"))</f>
        <v>Low Risk</v>
      </c>
    </row>
    <row r="743" spans="1:20" x14ac:dyDescent="0.25">
      <c r="A743" t="s">
        <v>768</v>
      </c>
      <c r="B743" t="s">
        <v>806</v>
      </c>
      <c r="C743" s="1">
        <v>44603</v>
      </c>
      <c r="D743" s="1">
        <v>44605</v>
      </c>
      <c r="E743" t="s">
        <v>13</v>
      </c>
      <c r="F743" t="s">
        <v>18</v>
      </c>
      <c r="G743">
        <v>1762</v>
      </c>
      <c r="H743" s="5">
        <v>74.12</v>
      </c>
      <c r="I743" s="5">
        <v>65.709999999999994</v>
      </c>
      <c r="J743">
        <v>94</v>
      </c>
      <c r="K743" t="s">
        <v>15</v>
      </c>
      <c r="L743">
        <f t="shared" si="47"/>
        <v>2</v>
      </c>
      <c r="M743">
        <v>11</v>
      </c>
      <c r="N743">
        <f t="shared" si="44"/>
        <v>0</v>
      </c>
      <c r="O743" t="str">
        <f xml:space="preserve"> IF(AND(Table1[[#This Row],[Actual_Lead_Time]] &lt;= Table1[[#This Row],[Standard_Lead_Time]], OR(ISBLANK(J743), J743 = 0)), "OTIF", "Non-OTIF")</f>
        <v>Non-OTIF</v>
      </c>
      <c r="P743">
        <f>IF(Table1[[#This Row],[OTIF_Status]] = "OTIF", 1, 0)</f>
        <v>0</v>
      </c>
      <c r="Q743" s="5">
        <f t="shared" si="45"/>
        <v>130599.44</v>
      </c>
      <c r="R743" s="5">
        <f t="shared" si="46"/>
        <v>115781.01999999999</v>
      </c>
      <c r="S743" s="5">
        <f>Table1[[#This Row],[Total_Line_Spend]]-Table1[[#This Row],[Negotiated_Total]]</f>
        <v>14818.420000000013</v>
      </c>
      <c r="T743" t="str">
        <f xml:space="preserve"> IF(Table1[[#This Row],[Delay_Days]] &gt; 4, "High Risk", IF(Table1[[#This Row],[Delay_Days]] &gt; 0, "Medium Risk", "Low Risk"))</f>
        <v>Low Risk</v>
      </c>
    </row>
    <row r="744" spans="1:20" x14ac:dyDescent="0.25">
      <c r="A744" t="s">
        <v>769</v>
      </c>
      <c r="B744" t="s">
        <v>804</v>
      </c>
      <c r="C744" s="1">
        <v>44593</v>
      </c>
      <c r="D744" s="1">
        <v>44604</v>
      </c>
      <c r="E744" t="s">
        <v>26</v>
      </c>
      <c r="F744" t="s">
        <v>35</v>
      </c>
      <c r="G744">
        <v>1172</v>
      </c>
      <c r="H744" s="5">
        <v>85.76</v>
      </c>
      <c r="I744" s="5">
        <v>81.430000000000007</v>
      </c>
      <c r="J744">
        <v>25</v>
      </c>
      <c r="K744" t="s">
        <v>15</v>
      </c>
      <c r="L744">
        <f t="shared" si="47"/>
        <v>11</v>
      </c>
      <c r="M744">
        <v>11</v>
      </c>
      <c r="N744">
        <f t="shared" si="44"/>
        <v>0</v>
      </c>
      <c r="O744" t="str">
        <f xml:space="preserve"> IF(AND(Table1[[#This Row],[Actual_Lead_Time]] &lt;= Table1[[#This Row],[Standard_Lead_Time]], OR(ISBLANK(J744), J744 = 0)), "OTIF", "Non-OTIF")</f>
        <v>Non-OTIF</v>
      </c>
      <c r="P744">
        <f>IF(Table1[[#This Row],[OTIF_Status]] = "OTIF", 1, 0)</f>
        <v>0</v>
      </c>
      <c r="Q744" s="5">
        <f t="shared" si="45"/>
        <v>100510.72</v>
      </c>
      <c r="R744" s="5">
        <f t="shared" si="46"/>
        <v>95435.96</v>
      </c>
      <c r="S744" s="5">
        <f>Table1[[#This Row],[Total_Line_Spend]]-Table1[[#This Row],[Negotiated_Total]]</f>
        <v>5074.7599999999948</v>
      </c>
      <c r="T744" t="str">
        <f xml:space="preserve"> IF(Table1[[#This Row],[Delay_Days]] &gt; 4, "High Risk", IF(Table1[[#This Row],[Delay_Days]] &gt; 0, "Medium Risk", "Low Risk"))</f>
        <v>Low Risk</v>
      </c>
    </row>
    <row r="745" spans="1:20" x14ac:dyDescent="0.25">
      <c r="A745" t="s">
        <v>770</v>
      </c>
      <c r="B745" t="s">
        <v>805</v>
      </c>
      <c r="C745" s="1">
        <v>44815</v>
      </c>
      <c r="D745" s="1">
        <v>44834</v>
      </c>
      <c r="E745" t="s">
        <v>13</v>
      </c>
      <c r="F745" t="s">
        <v>18</v>
      </c>
      <c r="G745">
        <v>1621</v>
      </c>
      <c r="H745" s="5">
        <v>75.680000000000007</v>
      </c>
      <c r="I745" s="5">
        <v>73.78</v>
      </c>
      <c r="J745">
        <v>226</v>
      </c>
      <c r="K745" t="s">
        <v>27</v>
      </c>
      <c r="L745">
        <f t="shared" si="47"/>
        <v>19</v>
      </c>
      <c r="M745">
        <v>11</v>
      </c>
      <c r="N745">
        <f t="shared" si="44"/>
        <v>8</v>
      </c>
      <c r="O745" t="str">
        <f xml:space="preserve"> IF(AND(Table1[[#This Row],[Actual_Lead_Time]] &lt;= Table1[[#This Row],[Standard_Lead_Time]], OR(ISBLANK(J745), J745 = 0)), "OTIF", "Non-OTIF")</f>
        <v>Non-OTIF</v>
      </c>
      <c r="P745">
        <f>IF(Table1[[#This Row],[OTIF_Status]] = "OTIF", 1, 0)</f>
        <v>0</v>
      </c>
      <c r="Q745" s="5">
        <f t="shared" si="45"/>
        <v>122677.28000000001</v>
      </c>
      <c r="R745" s="5">
        <f t="shared" si="46"/>
        <v>119597.38</v>
      </c>
      <c r="S745" s="5">
        <f>Table1[[#This Row],[Total_Line_Spend]]-Table1[[#This Row],[Negotiated_Total]]</f>
        <v>3079.9000000000087</v>
      </c>
      <c r="T745" t="str">
        <f xml:space="preserve"> IF(Table1[[#This Row],[Delay_Days]] &gt; 4, "High Risk", IF(Table1[[#This Row],[Delay_Days]] &gt; 0, "Medium Risk", "Low Risk"))</f>
        <v>High Risk</v>
      </c>
    </row>
    <row r="746" spans="1:20" x14ac:dyDescent="0.25">
      <c r="A746" t="s">
        <v>771</v>
      </c>
      <c r="B746" t="s">
        <v>804</v>
      </c>
      <c r="C746" s="1">
        <v>44766</v>
      </c>
      <c r="D746" s="1">
        <v>44768</v>
      </c>
      <c r="E746" t="s">
        <v>24</v>
      </c>
      <c r="F746" t="s">
        <v>18</v>
      </c>
      <c r="G746">
        <v>1027</v>
      </c>
      <c r="H746" s="5">
        <v>73.349999999999994</v>
      </c>
      <c r="I746" s="5">
        <v>65.42</v>
      </c>
      <c r="J746">
        <v>24</v>
      </c>
      <c r="K746" t="s">
        <v>27</v>
      </c>
      <c r="L746">
        <f t="shared" si="47"/>
        <v>2</v>
      </c>
      <c r="M746">
        <v>11</v>
      </c>
      <c r="N746">
        <f t="shared" si="44"/>
        <v>0</v>
      </c>
      <c r="O746" t="str">
        <f xml:space="preserve"> IF(AND(Table1[[#This Row],[Actual_Lead_Time]] &lt;= Table1[[#This Row],[Standard_Lead_Time]], OR(ISBLANK(J746), J746 = 0)), "OTIF", "Non-OTIF")</f>
        <v>Non-OTIF</v>
      </c>
      <c r="P746">
        <f>IF(Table1[[#This Row],[OTIF_Status]] = "OTIF", 1, 0)</f>
        <v>0</v>
      </c>
      <c r="Q746" s="5">
        <f t="shared" si="45"/>
        <v>75330.45</v>
      </c>
      <c r="R746" s="5">
        <f t="shared" si="46"/>
        <v>67186.34</v>
      </c>
      <c r="S746" s="5">
        <f>Table1[[#This Row],[Total_Line_Spend]]-Table1[[#This Row],[Negotiated_Total]]</f>
        <v>8144.1100000000006</v>
      </c>
      <c r="T746" t="str">
        <f xml:space="preserve"> IF(Table1[[#This Row],[Delay_Days]] &gt; 4, "High Risk", IF(Table1[[#This Row],[Delay_Days]] &gt; 0, "Medium Risk", "Low Risk"))</f>
        <v>Low Risk</v>
      </c>
    </row>
    <row r="747" spans="1:20" x14ac:dyDescent="0.25">
      <c r="A747" t="s">
        <v>772</v>
      </c>
      <c r="B747" t="s">
        <v>807</v>
      </c>
      <c r="C747" s="1">
        <v>44582</v>
      </c>
      <c r="D747" s="1">
        <v>44593</v>
      </c>
      <c r="E747" t="s">
        <v>26</v>
      </c>
      <c r="F747" t="s">
        <v>18</v>
      </c>
      <c r="G747">
        <v>1058</v>
      </c>
      <c r="H747" s="5">
        <v>65.680000000000007</v>
      </c>
      <c r="I747" s="5">
        <v>57.21</v>
      </c>
      <c r="J747">
        <v>101</v>
      </c>
      <c r="K747" t="s">
        <v>15</v>
      </c>
      <c r="L747">
        <f t="shared" si="47"/>
        <v>11</v>
      </c>
      <c r="M747">
        <v>11</v>
      </c>
      <c r="N747">
        <f t="shared" si="44"/>
        <v>0</v>
      </c>
      <c r="O747" t="str">
        <f xml:space="preserve"> IF(AND(Table1[[#This Row],[Actual_Lead_Time]] &lt;= Table1[[#This Row],[Standard_Lead_Time]], OR(ISBLANK(J747), J747 = 0)), "OTIF", "Non-OTIF")</f>
        <v>Non-OTIF</v>
      </c>
      <c r="P747">
        <f>IF(Table1[[#This Row],[OTIF_Status]] = "OTIF", 1, 0)</f>
        <v>0</v>
      </c>
      <c r="Q747" s="5">
        <f t="shared" si="45"/>
        <v>69489.440000000002</v>
      </c>
      <c r="R747" s="5">
        <f t="shared" si="46"/>
        <v>60528.18</v>
      </c>
      <c r="S747" s="5">
        <f>Table1[[#This Row],[Total_Line_Spend]]-Table1[[#This Row],[Negotiated_Total]]</f>
        <v>8961.260000000002</v>
      </c>
      <c r="T747" t="str">
        <f xml:space="preserve"> IF(Table1[[#This Row],[Delay_Days]] &gt; 4, "High Risk", IF(Table1[[#This Row],[Delay_Days]] &gt; 0, "Medium Risk", "Low Risk"))</f>
        <v>Low Risk</v>
      </c>
    </row>
    <row r="748" spans="1:20" x14ac:dyDescent="0.25">
      <c r="A748" t="s">
        <v>773</v>
      </c>
      <c r="B748" t="s">
        <v>807</v>
      </c>
      <c r="C748" s="1">
        <v>45198</v>
      </c>
      <c r="D748" s="1">
        <v>45204</v>
      </c>
      <c r="E748" t="s">
        <v>24</v>
      </c>
      <c r="F748" t="s">
        <v>18</v>
      </c>
      <c r="G748">
        <v>145</v>
      </c>
      <c r="H748" s="5">
        <v>85.52</v>
      </c>
      <c r="I748" s="5">
        <v>81.86</v>
      </c>
      <c r="J748">
        <v>11</v>
      </c>
      <c r="K748" t="s">
        <v>27</v>
      </c>
      <c r="L748">
        <f t="shared" si="47"/>
        <v>6</v>
      </c>
      <c r="M748">
        <v>11</v>
      </c>
      <c r="N748">
        <f t="shared" si="44"/>
        <v>0</v>
      </c>
      <c r="O748" t="str">
        <f xml:space="preserve"> IF(AND(Table1[[#This Row],[Actual_Lead_Time]] &lt;= Table1[[#This Row],[Standard_Lead_Time]], OR(ISBLANK(J748), J748 = 0)), "OTIF", "Non-OTIF")</f>
        <v>Non-OTIF</v>
      </c>
      <c r="P748">
        <f>IF(Table1[[#This Row],[OTIF_Status]] = "OTIF", 1, 0)</f>
        <v>0</v>
      </c>
      <c r="Q748" s="5">
        <f t="shared" si="45"/>
        <v>12400.4</v>
      </c>
      <c r="R748" s="5">
        <f t="shared" si="46"/>
        <v>11869.7</v>
      </c>
      <c r="S748" s="5">
        <f>Table1[[#This Row],[Total_Line_Spend]]-Table1[[#This Row],[Negotiated_Total]]</f>
        <v>530.69999999999891</v>
      </c>
      <c r="T748" t="str">
        <f xml:space="preserve"> IF(Table1[[#This Row],[Delay_Days]] &gt; 4, "High Risk", IF(Table1[[#This Row],[Delay_Days]] &gt; 0, "Medium Risk", "Low Risk"))</f>
        <v>Low Risk</v>
      </c>
    </row>
    <row r="749" spans="1:20" x14ac:dyDescent="0.25">
      <c r="A749" t="s">
        <v>774</v>
      </c>
      <c r="B749" t="s">
        <v>808</v>
      </c>
      <c r="C749" s="1">
        <v>44718</v>
      </c>
      <c r="D749" s="1">
        <v>44729</v>
      </c>
      <c r="E749" t="s">
        <v>13</v>
      </c>
      <c r="F749" t="s">
        <v>18</v>
      </c>
      <c r="G749">
        <v>1737</v>
      </c>
      <c r="H749" s="5">
        <v>24.88</v>
      </c>
      <c r="I749" s="5">
        <v>24.28</v>
      </c>
      <c r="J749">
        <v>46</v>
      </c>
      <c r="K749" t="s">
        <v>15</v>
      </c>
      <c r="L749">
        <f t="shared" si="47"/>
        <v>11</v>
      </c>
      <c r="M749">
        <v>11</v>
      </c>
      <c r="N749">
        <f t="shared" si="44"/>
        <v>0</v>
      </c>
      <c r="O749" t="str">
        <f xml:space="preserve"> IF(AND(Table1[[#This Row],[Actual_Lead_Time]] &lt;= Table1[[#This Row],[Standard_Lead_Time]], OR(ISBLANK(J749), J749 = 0)), "OTIF", "Non-OTIF")</f>
        <v>Non-OTIF</v>
      </c>
      <c r="P749">
        <f>IF(Table1[[#This Row],[OTIF_Status]] = "OTIF", 1, 0)</f>
        <v>0</v>
      </c>
      <c r="Q749" s="5">
        <f t="shared" si="45"/>
        <v>43216.56</v>
      </c>
      <c r="R749" s="5">
        <f t="shared" si="46"/>
        <v>42174.36</v>
      </c>
      <c r="S749" s="5">
        <f>Table1[[#This Row],[Total_Line_Spend]]-Table1[[#This Row],[Negotiated_Total]]</f>
        <v>1042.1999999999971</v>
      </c>
      <c r="T749" t="str">
        <f xml:space="preserve"> IF(Table1[[#This Row],[Delay_Days]] &gt; 4, "High Risk", IF(Table1[[#This Row],[Delay_Days]] &gt; 0, "Medium Risk", "Low Risk"))</f>
        <v>Low Risk</v>
      </c>
    </row>
    <row r="750" spans="1:20" x14ac:dyDescent="0.25">
      <c r="A750" t="s">
        <v>775</v>
      </c>
      <c r="B750" t="s">
        <v>806</v>
      </c>
      <c r="C750" s="1">
        <v>44806</v>
      </c>
      <c r="D750" s="1">
        <v>44819</v>
      </c>
      <c r="E750" t="s">
        <v>39</v>
      </c>
      <c r="F750" t="s">
        <v>18</v>
      </c>
      <c r="G750">
        <v>712</v>
      </c>
      <c r="H750" s="5">
        <v>92.85</v>
      </c>
      <c r="I750" s="5">
        <v>89.39</v>
      </c>
      <c r="J750">
        <v>43</v>
      </c>
      <c r="K750" t="s">
        <v>15</v>
      </c>
      <c r="L750">
        <f t="shared" si="47"/>
        <v>13</v>
      </c>
      <c r="M750">
        <v>11</v>
      </c>
      <c r="N750">
        <f t="shared" si="44"/>
        <v>2</v>
      </c>
      <c r="O750" t="str">
        <f xml:space="preserve"> IF(AND(Table1[[#This Row],[Actual_Lead_Time]] &lt;= Table1[[#This Row],[Standard_Lead_Time]], OR(ISBLANK(J750), J750 = 0)), "OTIF", "Non-OTIF")</f>
        <v>Non-OTIF</v>
      </c>
      <c r="P750">
        <f>IF(Table1[[#This Row],[OTIF_Status]] = "OTIF", 1, 0)</f>
        <v>0</v>
      </c>
      <c r="Q750" s="5">
        <f t="shared" si="45"/>
        <v>66109.2</v>
      </c>
      <c r="R750" s="5">
        <f t="shared" si="46"/>
        <v>63645.68</v>
      </c>
      <c r="S750" s="5">
        <f>Table1[[#This Row],[Total_Line_Spend]]-Table1[[#This Row],[Negotiated_Total]]</f>
        <v>2463.5199999999968</v>
      </c>
      <c r="T750" t="str">
        <f xml:space="preserve"> IF(Table1[[#This Row],[Delay_Days]] &gt; 4, "High Risk", IF(Table1[[#This Row],[Delay_Days]] &gt; 0, "Medium Risk", "Low Risk"))</f>
        <v>Medium Risk</v>
      </c>
    </row>
    <row r="751" spans="1:20" x14ac:dyDescent="0.25">
      <c r="A751" t="s">
        <v>776</v>
      </c>
      <c r="B751" t="s">
        <v>808</v>
      </c>
      <c r="C751" s="1">
        <v>44691</v>
      </c>
      <c r="D751" s="1">
        <v>44697</v>
      </c>
      <c r="E751" t="s">
        <v>39</v>
      </c>
      <c r="F751" t="s">
        <v>18</v>
      </c>
      <c r="G751">
        <v>1263</v>
      </c>
      <c r="H751" s="5">
        <v>90.24</v>
      </c>
      <c r="I751" s="5">
        <v>86.84</v>
      </c>
      <c r="J751">
        <v>28</v>
      </c>
      <c r="K751" t="s">
        <v>15</v>
      </c>
      <c r="L751">
        <f t="shared" si="47"/>
        <v>6</v>
      </c>
      <c r="M751">
        <v>11</v>
      </c>
      <c r="N751">
        <f t="shared" si="44"/>
        <v>0</v>
      </c>
      <c r="O751" t="str">
        <f xml:space="preserve"> IF(AND(Table1[[#This Row],[Actual_Lead_Time]] &lt;= Table1[[#This Row],[Standard_Lead_Time]], OR(ISBLANK(J751), J751 = 0)), "OTIF", "Non-OTIF")</f>
        <v>Non-OTIF</v>
      </c>
      <c r="P751">
        <f>IF(Table1[[#This Row],[OTIF_Status]] = "OTIF", 1, 0)</f>
        <v>0</v>
      </c>
      <c r="Q751" s="5">
        <f t="shared" si="45"/>
        <v>113973.12</v>
      </c>
      <c r="R751" s="5">
        <f t="shared" si="46"/>
        <v>109678.92</v>
      </c>
      <c r="S751" s="5">
        <f>Table1[[#This Row],[Total_Line_Spend]]-Table1[[#This Row],[Negotiated_Total]]</f>
        <v>4294.1999999999971</v>
      </c>
      <c r="T751" t="str">
        <f xml:space="preserve"> IF(Table1[[#This Row],[Delay_Days]] &gt; 4, "High Risk", IF(Table1[[#This Row],[Delay_Days]] &gt; 0, "Medium Risk", "Low Risk"))</f>
        <v>Low Risk</v>
      </c>
    </row>
    <row r="752" spans="1:20" x14ac:dyDescent="0.25">
      <c r="A752" t="s">
        <v>777</v>
      </c>
      <c r="B752" t="s">
        <v>805</v>
      </c>
      <c r="C752" s="1">
        <v>45046</v>
      </c>
      <c r="D752" s="1">
        <v>45057</v>
      </c>
      <c r="E752" t="s">
        <v>39</v>
      </c>
      <c r="F752" t="s">
        <v>18</v>
      </c>
      <c r="G752">
        <v>1809</v>
      </c>
      <c r="H752" s="5">
        <v>13.58</v>
      </c>
      <c r="I752" s="5">
        <v>12.68</v>
      </c>
      <c r="K752" t="s">
        <v>27</v>
      </c>
      <c r="L752">
        <f t="shared" si="47"/>
        <v>11</v>
      </c>
      <c r="M752">
        <v>11</v>
      </c>
      <c r="N752">
        <f t="shared" si="44"/>
        <v>0</v>
      </c>
      <c r="O752" t="str">
        <f xml:space="preserve"> IF(AND(Table1[[#This Row],[Actual_Lead_Time]] &lt;= Table1[[#This Row],[Standard_Lead_Time]], OR(ISBLANK(J752), J752 = 0)), "OTIF", "Non-OTIF")</f>
        <v>OTIF</v>
      </c>
      <c r="P752">
        <f>IF(Table1[[#This Row],[OTIF_Status]] = "OTIF", 1, 0)</f>
        <v>1</v>
      </c>
      <c r="Q752" s="5">
        <f t="shared" si="45"/>
        <v>24566.22</v>
      </c>
      <c r="R752" s="5">
        <f t="shared" si="46"/>
        <v>22938.12</v>
      </c>
      <c r="S752" s="5">
        <f>Table1[[#This Row],[Total_Line_Spend]]-Table1[[#This Row],[Negotiated_Total]]</f>
        <v>1628.1000000000022</v>
      </c>
      <c r="T752" t="str">
        <f xml:space="preserve"> IF(Table1[[#This Row],[Delay_Days]] &gt; 4, "High Risk", IF(Table1[[#This Row],[Delay_Days]] &gt; 0, "Medium Risk", "Low Risk"))</f>
        <v>Low Risk</v>
      </c>
    </row>
    <row r="753" spans="1:20" x14ac:dyDescent="0.25">
      <c r="A753" t="s">
        <v>778</v>
      </c>
      <c r="B753" t="s">
        <v>807</v>
      </c>
      <c r="C753" s="1">
        <v>45247</v>
      </c>
      <c r="D753" s="1">
        <v>45258</v>
      </c>
      <c r="E753" t="s">
        <v>39</v>
      </c>
      <c r="F753" t="s">
        <v>14</v>
      </c>
      <c r="G753">
        <v>86</v>
      </c>
      <c r="H753" s="5">
        <v>93.6</v>
      </c>
      <c r="I753" s="5">
        <v>88.22</v>
      </c>
      <c r="J753">
        <v>5</v>
      </c>
      <c r="K753" t="s">
        <v>15</v>
      </c>
      <c r="L753">
        <f t="shared" si="47"/>
        <v>11</v>
      </c>
      <c r="M753">
        <v>11</v>
      </c>
      <c r="N753">
        <f t="shared" si="44"/>
        <v>0</v>
      </c>
      <c r="O753" t="str">
        <f xml:space="preserve"> IF(AND(Table1[[#This Row],[Actual_Lead_Time]] &lt;= Table1[[#This Row],[Standard_Lead_Time]], OR(ISBLANK(J753), J753 = 0)), "OTIF", "Non-OTIF")</f>
        <v>Non-OTIF</v>
      </c>
      <c r="P753">
        <f>IF(Table1[[#This Row],[OTIF_Status]] = "OTIF", 1, 0)</f>
        <v>0</v>
      </c>
      <c r="Q753" s="5">
        <f t="shared" si="45"/>
        <v>8049.5999999999995</v>
      </c>
      <c r="R753" s="5">
        <f t="shared" si="46"/>
        <v>7586.92</v>
      </c>
      <c r="S753" s="5">
        <f>Table1[[#This Row],[Total_Line_Spend]]-Table1[[#This Row],[Negotiated_Total]]</f>
        <v>462.67999999999938</v>
      </c>
      <c r="T753" t="str">
        <f xml:space="preserve"> IF(Table1[[#This Row],[Delay_Days]] &gt; 4, "High Risk", IF(Table1[[#This Row],[Delay_Days]] &gt; 0, "Medium Risk", "Low Risk"))</f>
        <v>Low Risk</v>
      </c>
    </row>
    <row r="754" spans="1:20" x14ac:dyDescent="0.25">
      <c r="A754" t="s">
        <v>779</v>
      </c>
      <c r="B754" t="s">
        <v>808</v>
      </c>
      <c r="C754" s="1">
        <v>44679</v>
      </c>
      <c r="D754" s="1">
        <v>44690</v>
      </c>
      <c r="E754" t="s">
        <v>21</v>
      </c>
      <c r="F754" t="s">
        <v>18</v>
      </c>
      <c r="G754">
        <v>1853</v>
      </c>
      <c r="H754" s="5">
        <v>21.92</v>
      </c>
      <c r="I754" s="5">
        <v>20.72</v>
      </c>
      <c r="K754" t="s">
        <v>15</v>
      </c>
      <c r="L754">
        <f t="shared" si="47"/>
        <v>11</v>
      </c>
      <c r="M754">
        <v>11</v>
      </c>
      <c r="N754">
        <f t="shared" si="44"/>
        <v>0</v>
      </c>
      <c r="O754" t="str">
        <f xml:space="preserve"> IF(AND(Table1[[#This Row],[Actual_Lead_Time]] &lt;= Table1[[#This Row],[Standard_Lead_Time]], OR(ISBLANK(J754), J754 = 0)), "OTIF", "Non-OTIF")</f>
        <v>OTIF</v>
      </c>
      <c r="P754">
        <f>IF(Table1[[#This Row],[OTIF_Status]] = "OTIF", 1, 0)</f>
        <v>1</v>
      </c>
      <c r="Q754" s="5">
        <f t="shared" si="45"/>
        <v>40617.760000000002</v>
      </c>
      <c r="R754" s="5">
        <f t="shared" si="46"/>
        <v>38394.159999999996</v>
      </c>
      <c r="S754" s="5">
        <f>Table1[[#This Row],[Total_Line_Spend]]-Table1[[#This Row],[Negotiated_Total]]</f>
        <v>2223.6000000000058</v>
      </c>
      <c r="T754" t="str">
        <f xml:space="preserve"> IF(Table1[[#This Row],[Delay_Days]] &gt; 4, "High Risk", IF(Table1[[#This Row],[Delay_Days]] &gt; 0, "Medium Risk", "Low Risk"))</f>
        <v>Low Risk</v>
      </c>
    </row>
    <row r="755" spans="1:20" x14ac:dyDescent="0.25">
      <c r="A755" t="s">
        <v>780</v>
      </c>
      <c r="B755" t="s">
        <v>807</v>
      </c>
      <c r="C755" s="1">
        <v>45139</v>
      </c>
      <c r="D755" s="1">
        <v>45140</v>
      </c>
      <c r="E755" t="s">
        <v>39</v>
      </c>
      <c r="F755" t="s">
        <v>18</v>
      </c>
      <c r="G755">
        <v>1442</v>
      </c>
      <c r="H755" s="5">
        <v>43.98</v>
      </c>
      <c r="I755" s="5">
        <v>41.82</v>
      </c>
      <c r="J755">
        <v>140</v>
      </c>
      <c r="K755" t="s">
        <v>27</v>
      </c>
      <c r="L755">
        <f t="shared" si="47"/>
        <v>1</v>
      </c>
      <c r="M755">
        <v>11</v>
      </c>
      <c r="N755">
        <f t="shared" si="44"/>
        <v>0</v>
      </c>
      <c r="O755" t="str">
        <f xml:space="preserve"> IF(AND(Table1[[#This Row],[Actual_Lead_Time]] &lt;= Table1[[#This Row],[Standard_Lead_Time]], OR(ISBLANK(J755), J755 = 0)), "OTIF", "Non-OTIF")</f>
        <v>Non-OTIF</v>
      </c>
      <c r="P755">
        <f>IF(Table1[[#This Row],[OTIF_Status]] = "OTIF", 1, 0)</f>
        <v>0</v>
      </c>
      <c r="Q755" s="5">
        <f t="shared" si="45"/>
        <v>63419.159999999996</v>
      </c>
      <c r="R755" s="5">
        <f t="shared" si="46"/>
        <v>60304.44</v>
      </c>
      <c r="S755" s="5">
        <f>Table1[[#This Row],[Total_Line_Spend]]-Table1[[#This Row],[Negotiated_Total]]</f>
        <v>3114.7199999999939</v>
      </c>
      <c r="T755" t="str">
        <f xml:space="preserve"> IF(Table1[[#This Row],[Delay_Days]] &gt; 4, "High Risk", IF(Table1[[#This Row],[Delay_Days]] &gt; 0, "Medium Risk", "Low Risk"))</f>
        <v>Low Risk</v>
      </c>
    </row>
    <row r="756" spans="1:20" x14ac:dyDescent="0.25">
      <c r="A756" t="s">
        <v>781</v>
      </c>
      <c r="B756" t="s">
        <v>807</v>
      </c>
      <c r="C756" s="1">
        <v>44785</v>
      </c>
      <c r="D756" s="1">
        <v>44805</v>
      </c>
      <c r="E756" t="s">
        <v>13</v>
      </c>
      <c r="F756" t="s">
        <v>35</v>
      </c>
      <c r="G756">
        <v>1768</v>
      </c>
      <c r="H756" s="5">
        <v>79.61</v>
      </c>
      <c r="I756" s="5">
        <v>74.97</v>
      </c>
      <c r="J756">
        <v>207</v>
      </c>
      <c r="K756" t="s">
        <v>27</v>
      </c>
      <c r="L756">
        <f t="shared" si="47"/>
        <v>20</v>
      </c>
      <c r="M756">
        <v>11</v>
      </c>
      <c r="N756">
        <f t="shared" si="44"/>
        <v>9</v>
      </c>
      <c r="O756" t="str">
        <f xml:space="preserve"> IF(AND(Table1[[#This Row],[Actual_Lead_Time]] &lt;= Table1[[#This Row],[Standard_Lead_Time]], OR(ISBLANK(J756), J756 = 0)), "OTIF", "Non-OTIF")</f>
        <v>Non-OTIF</v>
      </c>
      <c r="P756">
        <f>IF(Table1[[#This Row],[OTIF_Status]] = "OTIF", 1, 0)</f>
        <v>0</v>
      </c>
      <c r="Q756" s="5">
        <f t="shared" si="45"/>
        <v>140750.48000000001</v>
      </c>
      <c r="R756" s="5">
        <f t="shared" si="46"/>
        <v>132546.96</v>
      </c>
      <c r="S756" s="5">
        <f>Table1[[#This Row],[Total_Line_Spend]]-Table1[[#This Row],[Negotiated_Total]]</f>
        <v>8203.5200000000186</v>
      </c>
      <c r="T756" t="str">
        <f xml:space="preserve"> IF(Table1[[#This Row],[Delay_Days]] &gt; 4, "High Risk", IF(Table1[[#This Row],[Delay_Days]] &gt; 0, "Medium Risk", "Low Risk"))</f>
        <v>High Risk</v>
      </c>
    </row>
    <row r="757" spans="1:20" x14ac:dyDescent="0.25">
      <c r="A757" t="s">
        <v>782</v>
      </c>
      <c r="B757" t="s">
        <v>807</v>
      </c>
      <c r="C757" s="1">
        <v>45038</v>
      </c>
      <c r="D757" s="1">
        <v>45049</v>
      </c>
      <c r="E757" t="s">
        <v>39</v>
      </c>
      <c r="F757" t="s">
        <v>33</v>
      </c>
      <c r="G757">
        <v>1598</v>
      </c>
      <c r="H757" s="5">
        <v>26.3</v>
      </c>
      <c r="I757" s="5">
        <v>26.03</v>
      </c>
      <c r="J757">
        <v>154</v>
      </c>
      <c r="K757" t="s">
        <v>27</v>
      </c>
      <c r="L757">
        <f t="shared" si="47"/>
        <v>11</v>
      </c>
      <c r="M757">
        <v>11</v>
      </c>
      <c r="N757">
        <f t="shared" si="44"/>
        <v>0</v>
      </c>
      <c r="O757" t="str">
        <f xml:space="preserve"> IF(AND(Table1[[#This Row],[Actual_Lead_Time]] &lt;= Table1[[#This Row],[Standard_Lead_Time]], OR(ISBLANK(J757), J757 = 0)), "OTIF", "Non-OTIF")</f>
        <v>Non-OTIF</v>
      </c>
      <c r="P757">
        <f>IF(Table1[[#This Row],[OTIF_Status]] = "OTIF", 1, 0)</f>
        <v>0</v>
      </c>
      <c r="Q757" s="5">
        <f t="shared" si="45"/>
        <v>42027.4</v>
      </c>
      <c r="R757" s="5">
        <f t="shared" si="46"/>
        <v>41595.94</v>
      </c>
      <c r="S757" s="5">
        <f>Table1[[#This Row],[Total_Line_Spend]]-Table1[[#This Row],[Negotiated_Total]]</f>
        <v>431.45999999999913</v>
      </c>
      <c r="T757" t="str">
        <f xml:space="preserve"> IF(Table1[[#This Row],[Delay_Days]] &gt; 4, "High Risk", IF(Table1[[#This Row],[Delay_Days]] &gt; 0, "Medium Risk", "Low Risk"))</f>
        <v>Low Risk</v>
      </c>
    </row>
    <row r="758" spans="1:20" x14ac:dyDescent="0.25">
      <c r="A758" t="s">
        <v>783</v>
      </c>
      <c r="B758" t="s">
        <v>804</v>
      </c>
      <c r="C758" s="1">
        <v>45278</v>
      </c>
      <c r="D758" s="1">
        <v>45296</v>
      </c>
      <c r="E758" t="s">
        <v>21</v>
      </c>
      <c r="F758" t="s">
        <v>14</v>
      </c>
      <c r="G758">
        <v>328</v>
      </c>
      <c r="H758" s="5">
        <v>93.23</v>
      </c>
      <c r="I758" s="5">
        <v>82.63</v>
      </c>
      <c r="J758">
        <v>6</v>
      </c>
      <c r="K758" t="s">
        <v>15</v>
      </c>
      <c r="L758">
        <f t="shared" si="47"/>
        <v>18</v>
      </c>
      <c r="M758">
        <v>11</v>
      </c>
      <c r="N758">
        <f t="shared" si="44"/>
        <v>7</v>
      </c>
      <c r="O758" t="str">
        <f xml:space="preserve"> IF(AND(Table1[[#This Row],[Actual_Lead_Time]] &lt;= Table1[[#This Row],[Standard_Lead_Time]], OR(ISBLANK(J758), J758 = 0)), "OTIF", "Non-OTIF")</f>
        <v>Non-OTIF</v>
      </c>
      <c r="P758">
        <f>IF(Table1[[#This Row],[OTIF_Status]] = "OTIF", 1, 0)</f>
        <v>0</v>
      </c>
      <c r="Q758" s="5">
        <f t="shared" si="45"/>
        <v>30579.440000000002</v>
      </c>
      <c r="R758" s="5">
        <f t="shared" si="46"/>
        <v>27102.639999999999</v>
      </c>
      <c r="S758" s="5">
        <f>Table1[[#This Row],[Total_Line_Spend]]-Table1[[#This Row],[Negotiated_Total]]</f>
        <v>3476.8000000000029</v>
      </c>
      <c r="T758" t="str">
        <f xml:space="preserve"> IF(Table1[[#This Row],[Delay_Days]] &gt; 4, "High Risk", IF(Table1[[#This Row],[Delay_Days]] &gt; 0, "Medium Risk", "Low Risk"))</f>
        <v>High Risk</v>
      </c>
    </row>
    <row r="759" spans="1:20" x14ac:dyDescent="0.25">
      <c r="A759" t="s">
        <v>784</v>
      </c>
      <c r="B759" t="s">
        <v>808</v>
      </c>
      <c r="C759" s="1">
        <v>44824</v>
      </c>
      <c r="D759" s="1">
        <v>44829</v>
      </c>
      <c r="E759" t="s">
        <v>24</v>
      </c>
      <c r="F759" t="s">
        <v>18</v>
      </c>
      <c r="G759">
        <v>266</v>
      </c>
      <c r="H759" s="5">
        <v>88.29</v>
      </c>
      <c r="I759" s="5">
        <v>80.22</v>
      </c>
      <c r="J759">
        <v>4</v>
      </c>
      <c r="K759" t="s">
        <v>15</v>
      </c>
      <c r="L759">
        <f t="shared" si="47"/>
        <v>5</v>
      </c>
      <c r="M759">
        <v>11</v>
      </c>
      <c r="N759">
        <f t="shared" si="44"/>
        <v>0</v>
      </c>
      <c r="O759" t="str">
        <f xml:space="preserve"> IF(AND(Table1[[#This Row],[Actual_Lead_Time]] &lt;= Table1[[#This Row],[Standard_Lead_Time]], OR(ISBLANK(J759), J759 = 0)), "OTIF", "Non-OTIF")</f>
        <v>Non-OTIF</v>
      </c>
      <c r="P759">
        <f>IF(Table1[[#This Row],[OTIF_Status]] = "OTIF", 1, 0)</f>
        <v>0</v>
      </c>
      <c r="Q759" s="5">
        <f t="shared" si="45"/>
        <v>23485.140000000003</v>
      </c>
      <c r="R759" s="5">
        <f t="shared" si="46"/>
        <v>21338.52</v>
      </c>
      <c r="S759" s="5">
        <f>Table1[[#This Row],[Total_Line_Spend]]-Table1[[#This Row],[Negotiated_Total]]</f>
        <v>2146.6200000000026</v>
      </c>
      <c r="T759" t="str">
        <f xml:space="preserve"> IF(Table1[[#This Row],[Delay_Days]] &gt; 4, "High Risk", IF(Table1[[#This Row],[Delay_Days]] &gt; 0, "Medium Risk", "Low Risk"))</f>
        <v>Low Risk</v>
      </c>
    </row>
    <row r="760" spans="1:20" x14ac:dyDescent="0.25">
      <c r="A760" t="s">
        <v>785</v>
      </c>
      <c r="B760" t="s">
        <v>806</v>
      </c>
      <c r="C760" s="1">
        <v>44939</v>
      </c>
      <c r="D760" s="1">
        <v>44954</v>
      </c>
      <c r="E760" t="s">
        <v>26</v>
      </c>
      <c r="F760" t="s">
        <v>18</v>
      </c>
      <c r="G760">
        <v>916</v>
      </c>
      <c r="H760" s="5">
        <v>59.01</v>
      </c>
      <c r="I760" s="5">
        <v>53.37</v>
      </c>
      <c r="J760">
        <v>47</v>
      </c>
      <c r="K760" t="s">
        <v>15</v>
      </c>
      <c r="L760">
        <f t="shared" si="47"/>
        <v>15</v>
      </c>
      <c r="M760">
        <v>11</v>
      </c>
      <c r="N760">
        <f t="shared" si="44"/>
        <v>4</v>
      </c>
      <c r="O760" t="str">
        <f xml:space="preserve"> IF(AND(Table1[[#This Row],[Actual_Lead_Time]] &lt;= Table1[[#This Row],[Standard_Lead_Time]], OR(ISBLANK(J760), J760 = 0)), "OTIF", "Non-OTIF")</f>
        <v>Non-OTIF</v>
      </c>
      <c r="P760">
        <f>IF(Table1[[#This Row],[OTIF_Status]] = "OTIF", 1, 0)</f>
        <v>0</v>
      </c>
      <c r="Q760" s="5">
        <f t="shared" si="45"/>
        <v>54053.159999999996</v>
      </c>
      <c r="R760" s="5">
        <f t="shared" si="46"/>
        <v>48886.92</v>
      </c>
      <c r="S760" s="5">
        <f>Table1[[#This Row],[Total_Line_Spend]]-Table1[[#This Row],[Negotiated_Total]]</f>
        <v>5166.239999999998</v>
      </c>
      <c r="T760" t="str">
        <f xml:space="preserve"> IF(Table1[[#This Row],[Delay_Days]] &gt; 4, "High Risk", IF(Table1[[#This Row],[Delay_Days]] &gt; 0, "Medium Risk", "Low Risk"))</f>
        <v>Medium Risk</v>
      </c>
    </row>
    <row r="761" spans="1:20" x14ac:dyDescent="0.25">
      <c r="A761" t="s">
        <v>786</v>
      </c>
      <c r="B761" t="s">
        <v>808</v>
      </c>
      <c r="C761" s="1">
        <v>44733</v>
      </c>
      <c r="D761" s="1">
        <v>44737</v>
      </c>
      <c r="E761" t="s">
        <v>24</v>
      </c>
      <c r="F761" t="s">
        <v>14</v>
      </c>
      <c r="G761">
        <v>922</v>
      </c>
      <c r="H761" s="5">
        <v>10.84</v>
      </c>
      <c r="I761" s="5">
        <v>9.27</v>
      </c>
      <c r="J761">
        <v>29</v>
      </c>
      <c r="K761" t="s">
        <v>15</v>
      </c>
      <c r="L761">
        <f t="shared" si="47"/>
        <v>4</v>
      </c>
      <c r="M761">
        <v>11</v>
      </c>
      <c r="N761">
        <f t="shared" si="44"/>
        <v>0</v>
      </c>
      <c r="O761" t="str">
        <f xml:space="preserve"> IF(AND(Table1[[#This Row],[Actual_Lead_Time]] &lt;= Table1[[#This Row],[Standard_Lead_Time]], OR(ISBLANK(J761), J761 = 0)), "OTIF", "Non-OTIF")</f>
        <v>Non-OTIF</v>
      </c>
      <c r="P761">
        <f>IF(Table1[[#This Row],[OTIF_Status]] = "OTIF", 1, 0)</f>
        <v>0</v>
      </c>
      <c r="Q761" s="5">
        <f t="shared" si="45"/>
        <v>9994.48</v>
      </c>
      <c r="R761" s="5">
        <f t="shared" si="46"/>
        <v>8546.94</v>
      </c>
      <c r="S761" s="5">
        <f>Table1[[#This Row],[Total_Line_Spend]]-Table1[[#This Row],[Negotiated_Total]]</f>
        <v>1447.5399999999991</v>
      </c>
      <c r="T761" t="str">
        <f xml:space="preserve"> IF(Table1[[#This Row],[Delay_Days]] &gt; 4, "High Risk", IF(Table1[[#This Row],[Delay_Days]] &gt; 0, "Medium Risk", "Low Risk"))</f>
        <v>Low Risk</v>
      </c>
    </row>
    <row r="762" spans="1:20" x14ac:dyDescent="0.25">
      <c r="A762" t="s">
        <v>787</v>
      </c>
      <c r="B762" t="s">
        <v>806</v>
      </c>
      <c r="C762" s="1">
        <v>45182</v>
      </c>
      <c r="D762" s="1">
        <v>45197</v>
      </c>
      <c r="E762" t="s">
        <v>24</v>
      </c>
      <c r="F762" t="s">
        <v>18</v>
      </c>
      <c r="G762">
        <v>1871</v>
      </c>
      <c r="H762" s="5">
        <v>39.42</v>
      </c>
      <c r="I762" s="5">
        <v>37.409999999999997</v>
      </c>
      <c r="J762">
        <v>101</v>
      </c>
      <c r="K762" t="s">
        <v>27</v>
      </c>
      <c r="L762">
        <f t="shared" si="47"/>
        <v>15</v>
      </c>
      <c r="M762">
        <v>11</v>
      </c>
      <c r="N762">
        <f t="shared" si="44"/>
        <v>4</v>
      </c>
      <c r="O762" t="str">
        <f xml:space="preserve"> IF(AND(Table1[[#This Row],[Actual_Lead_Time]] &lt;= Table1[[#This Row],[Standard_Lead_Time]], OR(ISBLANK(J762), J762 = 0)), "OTIF", "Non-OTIF")</f>
        <v>Non-OTIF</v>
      </c>
      <c r="P762">
        <f>IF(Table1[[#This Row],[OTIF_Status]] = "OTIF", 1, 0)</f>
        <v>0</v>
      </c>
      <c r="Q762" s="5">
        <f t="shared" si="45"/>
        <v>73754.820000000007</v>
      </c>
      <c r="R762" s="5">
        <f t="shared" si="46"/>
        <v>69994.11</v>
      </c>
      <c r="S762" s="5">
        <f>Table1[[#This Row],[Total_Line_Spend]]-Table1[[#This Row],[Negotiated_Total]]</f>
        <v>3760.7100000000064</v>
      </c>
      <c r="T762" t="str">
        <f xml:space="preserve"> IF(Table1[[#This Row],[Delay_Days]] &gt; 4, "High Risk", IF(Table1[[#This Row],[Delay_Days]] &gt; 0, "Medium Risk", "Low Risk"))</f>
        <v>Medium Risk</v>
      </c>
    </row>
    <row r="763" spans="1:20" x14ac:dyDescent="0.25">
      <c r="A763" t="s">
        <v>788</v>
      </c>
      <c r="B763" t="s">
        <v>808</v>
      </c>
      <c r="C763" s="1">
        <v>45183</v>
      </c>
      <c r="D763" s="1">
        <v>45189</v>
      </c>
      <c r="E763" t="s">
        <v>26</v>
      </c>
      <c r="F763" t="s">
        <v>18</v>
      </c>
      <c r="G763">
        <v>1346</v>
      </c>
      <c r="H763" s="5">
        <v>72.08</v>
      </c>
      <c r="I763" s="5">
        <v>67.040000000000006</v>
      </c>
      <c r="J763">
        <v>38</v>
      </c>
      <c r="K763" t="s">
        <v>15</v>
      </c>
      <c r="L763">
        <f t="shared" si="47"/>
        <v>6</v>
      </c>
      <c r="M763">
        <v>11</v>
      </c>
      <c r="N763">
        <f t="shared" si="44"/>
        <v>0</v>
      </c>
      <c r="O763" t="str">
        <f xml:space="preserve"> IF(AND(Table1[[#This Row],[Actual_Lead_Time]] &lt;= Table1[[#This Row],[Standard_Lead_Time]], OR(ISBLANK(J763), J763 = 0)), "OTIF", "Non-OTIF")</f>
        <v>Non-OTIF</v>
      </c>
      <c r="P763">
        <f>IF(Table1[[#This Row],[OTIF_Status]] = "OTIF", 1, 0)</f>
        <v>0</v>
      </c>
      <c r="Q763" s="5">
        <f t="shared" si="45"/>
        <v>97019.68</v>
      </c>
      <c r="R763" s="5">
        <f t="shared" si="46"/>
        <v>90235.840000000011</v>
      </c>
      <c r="S763" s="5">
        <f>Table1[[#This Row],[Total_Line_Spend]]-Table1[[#This Row],[Negotiated_Total]]</f>
        <v>6783.839999999982</v>
      </c>
      <c r="T763" t="str">
        <f xml:space="preserve"> IF(Table1[[#This Row],[Delay_Days]] &gt; 4, "High Risk", IF(Table1[[#This Row],[Delay_Days]] &gt; 0, "Medium Risk", "Low Risk"))</f>
        <v>Low Risk</v>
      </c>
    </row>
    <row r="764" spans="1:20" x14ac:dyDescent="0.25">
      <c r="A764" t="s">
        <v>789</v>
      </c>
      <c r="B764" t="s">
        <v>808</v>
      </c>
      <c r="C764" s="1">
        <v>44679</v>
      </c>
      <c r="D764" s="1">
        <v>44690</v>
      </c>
      <c r="E764" t="s">
        <v>39</v>
      </c>
      <c r="F764" t="s">
        <v>18</v>
      </c>
      <c r="G764">
        <v>1954</v>
      </c>
      <c r="H764" s="5">
        <v>99.78</v>
      </c>
      <c r="I764" s="5">
        <v>87.47</v>
      </c>
      <c r="J764">
        <v>57</v>
      </c>
      <c r="K764" t="s">
        <v>15</v>
      </c>
      <c r="L764">
        <f t="shared" si="47"/>
        <v>11</v>
      </c>
      <c r="M764">
        <v>11</v>
      </c>
      <c r="N764">
        <f t="shared" si="44"/>
        <v>0</v>
      </c>
      <c r="O764" t="str">
        <f xml:space="preserve"> IF(AND(Table1[[#This Row],[Actual_Lead_Time]] &lt;= Table1[[#This Row],[Standard_Lead_Time]], OR(ISBLANK(J764), J764 = 0)), "OTIF", "Non-OTIF")</f>
        <v>Non-OTIF</v>
      </c>
      <c r="P764">
        <f>IF(Table1[[#This Row],[OTIF_Status]] = "OTIF", 1, 0)</f>
        <v>0</v>
      </c>
      <c r="Q764" s="5">
        <f t="shared" si="45"/>
        <v>194970.12</v>
      </c>
      <c r="R764" s="5">
        <f t="shared" si="46"/>
        <v>170916.38</v>
      </c>
      <c r="S764" s="5">
        <f>Table1[[#This Row],[Total_Line_Spend]]-Table1[[#This Row],[Negotiated_Total]]</f>
        <v>24053.739999999991</v>
      </c>
      <c r="T764" t="str">
        <f xml:space="preserve"> IF(Table1[[#This Row],[Delay_Days]] &gt; 4, "High Risk", IF(Table1[[#This Row],[Delay_Days]] &gt; 0, "Medium Risk", "Low Risk"))</f>
        <v>Low Risk</v>
      </c>
    </row>
    <row r="765" spans="1:20" x14ac:dyDescent="0.25">
      <c r="A765" t="s">
        <v>790</v>
      </c>
      <c r="B765" t="s">
        <v>807</v>
      </c>
      <c r="C765" s="1">
        <v>44729</v>
      </c>
      <c r="D765" s="1">
        <v>44748</v>
      </c>
      <c r="E765" t="s">
        <v>39</v>
      </c>
      <c r="F765" t="s">
        <v>18</v>
      </c>
      <c r="G765">
        <v>111</v>
      </c>
      <c r="H765" s="5">
        <v>68.53</v>
      </c>
      <c r="I765" s="5">
        <v>65.22</v>
      </c>
      <c r="J765">
        <v>11</v>
      </c>
      <c r="K765" t="s">
        <v>15</v>
      </c>
      <c r="L765">
        <f t="shared" si="47"/>
        <v>19</v>
      </c>
      <c r="M765">
        <v>11</v>
      </c>
      <c r="N765">
        <f t="shared" si="44"/>
        <v>8</v>
      </c>
      <c r="O765" t="str">
        <f xml:space="preserve"> IF(AND(Table1[[#This Row],[Actual_Lead_Time]] &lt;= Table1[[#This Row],[Standard_Lead_Time]], OR(ISBLANK(J765), J765 = 0)), "OTIF", "Non-OTIF")</f>
        <v>Non-OTIF</v>
      </c>
      <c r="P765">
        <f>IF(Table1[[#This Row],[OTIF_Status]] = "OTIF", 1, 0)</f>
        <v>0</v>
      </c>
      <c r="Q765" s="5">
        <f t="shared" si="45"/>
        <v>7606.83</v>
      </c>
      <c r="R765" s="5">
        <f t="shared" si="46"/>
        <v>7239.42</v>
      </c>
      <c r="S765" s="5">
        <f>Table1[[#This Row],[Total_Line_Spend]]-Table1[[#This Row],[Negotiated_Total]]</f>
        <v>367.40999999999985</v>
      </c>
      <c r="T765" t="str">
        <f xml:space="preserve"> IF(Table1[[#This Row],[Delay_Days]] &gt; 4, "High Risk", IF(Table1[[#This Row],[Delay_Days]] &gt; 0, "Medium Risk", "Low Risk"))</f>
        <v>High Risk</v>
      </c>
    </row>
    <row r="766" spans="1:20" x14ac:dyDescent="0.25">
      <c r="A766" t="s">
        <v>791</v>
      </c>
      <c r="B766" t="s">
        <v>806</v>
      </c>
      <c r="C766" s="1">
        <v>44880</v>
      </c>
      <c r="D766" s="1">
        <v>44887</v>
      </c>
      <c r="E766" t="s">
        <v>13</v>
      </c>
      <c r="F766" t="s">
        <v>35</v>
      </c>
      <c r="G766">
        <v>645</v>
      </c>
      <c r="H766" s="5">
        <v>35.049999999999997</v>
      </c>
      <c r="I766" s="5">
        <v>30.88</v>
      </c>
      <c r="J766">
        <v>27</v>
      </c>
      <c r="K766" t="s">
        <v>15</v>
      </c>
      <c r="L766">
        <f t="shared" si="47"/>
        <v>7</v>
      </c>
      <c r="M766">
        <v>11</v>
      </c>
      <c r="N766">
        <f t="shared" si="44"/>
        <v>0</v>
      </c>
      <c r="O766" t="str">
        <f xml:space="preserve"> IF(AND(Table1[[#This Row],[Actual_Lead_Time]] &lt;= Table1[[#This Row],[Standard_Lead_Time]], OR(ISBLANK(J766), J766 = 0)), "OTIF", "Non-OTIF")</f>
        <v>Non-OTIF</v>
      </c>
      <c r="P766">
        <f>IF(Table1[[#This Row],[OTIF_Status]] = "OTIF", 1, 0)</f>
        <v>0</v>
      </c>
      <c r="Q766" s="5">
        <f t="shared" si="45"/>
        <v>22607.249999999996</v>
      </c>
      <c r="R766" s="5">
        <f t="shared" si="46"/>
        <v>19917.599999999999</v>
      </c>
      <c r="S766" s="5">
        <f>Table1[[#This Row],[Total_Line_Spend]]-Table1[[#This Row],[Negotiated_Total]]</f>
        <v>2689.6499999999978</v>
      </c>
      <c r="T766" t="str">
        <f xml:space="preserve"> IF(Table1[[#This Row],[Delay_Days]] &gt; 4, "High Risk", IF(Table1[[#This Row],[Delay_Days]] &gt; 0, "Medium Risk", "Low Risk"))</f>
        <v>Low Risk</v>
      </c>
    </row>
    <row r="767" spans="1:20" x14ac:dyDescent="0.25">
      <c r="A767" t="s">
        <v>792</v>
      </c>
      <c r="B767" t="s">
        <v>806</v>
      </c>
      <c r="C767" s="1">
        <v>44672</v>
      </c>
      <c r="D767" s="1">
        <v>44685</v>
      </c>
      <c r="E767" t="s">
        <v>39</v>
      </c>
      <c r="F767" t="s">
        <v>14</v>
      </c>
      <c r="G767">
        <v>1953</v>
      </c>
      <c r="H767" s="5">
        <v>68.069999999999993</v>
      </c>
      <c r="I767" s="5">
        <v>62.95</v>
      </c>
      <c r="J767">
        <v>87</v>
      </c>
      <c r="K767" t="s">
        <v>15</v>
      </c>
      <c r="L767">
        <f t="shared" si="47"/>
        <v>13</v>
      </c>
      <c r="M767">
        <v>11</v>
      </c>
      <c r="N767">
        <f t="shared" si="44"/>
        <v>2</v>
      </c>
      <c r="O767" t="str">
        <f xml:space="preserve"> IF(AND(Table1[[#This Row],[Actual_Lead_Time]] &lt;= Table1[[#This Row],[Standard_Lead_Time]], OR(ISBLANK(J767), J767 = 0)), "OTIF", "Non-OTIF")</f>
        <v>Non-OTIF</v>
      </c>
      <c r="P767">
        <f>IF(Table1[[#This Row],[OTIF_Status]] = "OTIF", 1, 0)</f>
        <v>0</v>
      </c>
      <c r="Q767" s="5">
        <f t="shared" si="45"/>
        <v>132940.71</v>
      </c>
      <c r="R767" s="5">
        <f t="shared" si="46"/>
        <v>122941.35</v>
      </c>
      <c r="S767" s="5">
        <f>Table1[[#This Row],[Total_Line_Spend]]-Table1[[#This Row],[Negotiated_Total]]</f>
        <v>9999.359999999986</v>
      </c>
      <c r="T767" t="str">
        <f xml:space="preserve"> IF(Table1[[#This Row],[Delay_Days]] &gt; 4, "High Risk", IF(Table1[[#This Row],[Delay_Days]] &gt; 0, "Medium Risk", "Low Risk"))</f>
        <v>Medium Risk</v>
      </c>
    </row>
    <row r="768" spans="1:20" x14ac:dyDescent="0.25">
      <c r="A768" t="s">
        <v>793</v>
      </c>
      <c r="B768" t="s">
        <v>806</v>
      </c>
      <c r="C768" s="1">
        <v>45154</v>
      </c>
      <c r="D768" s="1">
        <v>45171</v>
      </c>
      <c r="E768" t="s">
        <v>39</v>
      </c>
      <c r="F768" t="s">
        <v>18</v>
      </c>
      <c r="G768">
        <v>778</v>
      </c>
      <c r="H768" s="5">
        <v>64.17</v>
      </c>
      <c r="I768" s="5">
        <v>61.6</v>
      </c>
      <c r="J768">
        <v>47</v>
      </c>
      <c r="K768" t="s">
        <v>15</v>
      </c>
      <c r="L768">
        <f t="shared" si="47"/>
        <v>17</v>
      </c>
      <c r="M768">
        <v>11</v>
      </c>
      <c r="N768">
        <f t="shared" si="44"/>
        <v>6</v>
      </c>
      <c r="O768" t="str">
        <f xml:space="preserve"> IF(AND(Table1[[#This Row],[Actual_Lead_Time]] &lt;= Table1[[#This Row],[Standard_Lead_Time]], OR(ISBLANK(J768), J768 = 0)), "OTIF", "Non-OTIF")</f>
        <v>Non-OTIF</v>
      </c>
      <c r="P768">
        <f>IF(Table1[[#This Row],[OTIF_Status]] = "OTIF", 1, 0)</f>
        <v>0</v>
      </c>
      <c r="Q768" s="5">
        <f t="shared" si="45"/>
        <v>49924.26</v>
      </c>
      <c r="R768" s="5">
        <f t="shared" si="46"/>
        <v>47924.800000000003</v>
      </c>
      <c r="S768" s="5">
        <f>Table1[[#This Row],[Total_Line_Spend]]-Table1[[#This Row],[Negotiated_Total]]</f>
        <v>1999.4599999999991</v>
      </c>
      <c r="T768" t="str">
        <f xml:space="preserve"> IF(Table1[[#This Row],[Delay_Days]] &gt; 4, "High Risk", IF(Table1[[#This Row],[Delay_Days]] &gt; 0, "Medium Risk", "Low Risk"))</f>
        <v>High Risk</v>
      </c>
    </row>
    <row r="769" spans="1:20" x14ac:dyDescent="0.25">
      <c r="A769" t="s">
        <v>794</v>
      </c>
      <c r="B769" t="s">
        <v>808</v>
      </c>
      <c r="C769" s="1">
        <v>44588</v>
      </c>
      <c r="D769" s="1">
        <v>44601</v>
      </c>
      <c r="E769" t="s">
        <v>13</v>
      </c>
      <c r="F769" t="s">
        <v>18</v>
      </c>
      <c r="G769">
        <v>1415</v>
      </c>
      <c r="H769" s="5">
        <v>80.19</v>
      </c>
      <c r="I769" s="5">
        <v>78.34</v>
      </c>
      <c r="K769" t="s">
        <v>15</v>
      </c>
      <c r="L769">
        <f t="shared" si="47"/>
        <v>13</v>
      </c>
      <c r="M769">
        <v>11</v>
      </c>
      <c r="N769">
        <f t="shared" si="44"/>
        <v>2</v>
      </c>
      <c r="O769" t="str">
        <f xml:space="preserve"> IF(AND(Table1[[#This Row],[Actual_Lead_Time]] &lt;= Table1[[#This Row],[Standard_Lead_Time]], OR(ISBLANK(J769), J769 = 0)), "OTIF", "Non-OTIF")</f>
        <v>Non-OTIF</v>
      </c>
      <c r="P769">
        <f>IF(Table1[[#This Row],[OTIF_Status]] = "OTIF", 1, 0)</f>
        <v>0</v>
      </c>
      <c r="Q769" s="5">
        <f t="shared" si="45"/>
        <v>113468.84999999999</v>
      </c>
      <c r="R769" s="5">
        <f t="shared" si="46"/>
        <v>110851.1</v>
      </c>
      <c r="S769" s="5">
        <f>Table1[[#This Row],[Total_Line_Spend]]-Table1[[#This Row],[Negotiated_Total]]</f>
        <v>2617.7499999999854</v>
      </c>
      <c r="T769" t="str">
        <f xml:space="preserve"> IF(Table1[[#This Row],[Delay_Days]] &gt; 4, "High Risk", IF(Table1[[#This Row],[Delay_Days]] &gt; 0, "Medium Risk", "Low Risk"))</f>
        <v>Medium Risk</v>
      </c>
    </row>
    <row r="770" spans="1:20" x14ac:dyDescent="0.25">
      <c r="A770" t="s">
        <v>795</v>
      </c>
      <c r="B770" t="s">
        <v>806</v>
      </c>
      <c r="C770" s="1">
        <v>44881</v>
      </c>
      <c r="D770" s="1">
        <v>44887</v>
      </c>
      <c r="E770" t="s">
        <v>26</v>
      </c>
      <c r="F770" t="s">
        <v>18</v>
      </c>
      <c r="G770">
        <v>446</v>
      </c>
      <c r="H770" s="5">
        <v>20.61</v>
      </c>
      <c r="I770" s="5">
        <v>19.46</v>
      </c>
      <c r="J770">
        <v>14</v>
      </c>
      <c r="K770" t="s">
        <v>15</v>
      </c>
      <c r="L770">
        <f t="shared" si="47"/>
        <v>6</v>
      </c>
      <c r="M770">
        <v>11</v>
      </c>
      <c r="N770">
        <f t="shared" ref="N770:N778" si="48">MAX(0, L770-M770)</f>
        <v>0</v>
      </c>
      <c r="O770" t="str">
        <f xml:space="preserve"> IF(AND(Table1[[#This Row],[Actual_Lead_Time]] &lt;= Table1[[#This Row],[Standard_Lead_Time]], OR(ISBLANK(J770), J770 = 0)), "OTIF", "Non-OTIF")</f>
        <v>Non-OTIF</v>
      </c>
      <c r="P770">
        <f>IF(Table1[[#This Row],[OTIF_Status]] = "OTIF", 1, 0)</f>
        <v>0</v>
      </c>
      <c r="Q770" s="5">
        <f t="shared" ref="Q770:Q778" si="49" xml:space="preserve"> IFERROR(G770 * H770, 0)</f>
        <v>9192.06</v>
      </c>
      <c r="R770" s="5">
        <f t="shared" ref="R770:R778" si="50" xml:space="preserve"> IFERROR(G770 * I770, 0)</f>
        <v>8679.16</v>
      </c>
      <c r="S770" s="5">
        <f>Table1[[#This Row],[Total_Line_Spend]]-Table1[[#This Row],[Negotiated_Total]]</f>
        <v>512.89999999999964</v>
      </c>
      <c r="T770" t="str">
        <f xml:space="preserve"> IF(Table1[[#This Row],[Delay_Days]] &gt; 4, "High Risk", IF(Table1[[#This Row],[Delay_Days]] &gt; 0, "Medium Risk", "Low Risk"))</f>
        <v>Low Risk</v>
      </c>
    </row>
    <row r="771" spans="1:20" x14ac:dyDescent="0.25">
      <c r="A771" t="s">
        <v>796</v>
      </c>
      <c r="B771" t="s">
        <v>808</v>
      </c>
      <c r="C771" s="1">
        <v>45151</v>
      </c>
      <c r="D771" s="1">
        <v>45162</v>
      </c>
      <c r="E771" t="s">
        <v>13</v>
      </c>
      <c r="F771" t="s">
        <v>18</v>
      </c>
      <c r="G771">
        <v>748</v>
      </c>
      <c r="H771" s="5">
        <v>85.95</v>
      </c>
      <c r="I771" s="5">
        <v>79.16</v>
      </c>
      <c r="J771">
        <v>32</v>
      </c>
      <c r="K771" t="s">
        <v>15</v>
      </c>
      <c r="L771">
        <f t="shared" ref="L771:L778" si="51" xml:space="preserve"> INT(D771) - INT(C771)</f>
        <v>11</v>
      </c>
      <c r="M771">
        <v>11</v>
      </c>
      <c r="N771">
        <f t="shared" si="48"/>
        <v>0</v>
      </c>
      <c r="O771" t="str">
        <f xml:space="preserve"> IF(AND(Table1[[#This Row],[Actual_Lead_Time]] &lt;= Table1[[#This Row],[Standard_Lead_Time]], OR(ISBLANK(J771), J771 = 0)), "OTIF", "Non-OTIF")</f>
        <v>Non-OTIF</v>
      </c>
      <c r="P771">
        <f>IF(Table1[[#This Row],[OTIF_Status]] = "OTIF", 1, 0)</f>
        <v>0</v>
      </c>
      <c r="Q771" s="5">
        <f t="shared" si="49"/>
        <v>64290.6</v>
      </c>
      <c r="R771" s="5">
        <f t="shared" si="50"/>
        <v>59211.68</v>
      </c>
      <c r="S771" s="5">
        <f>Table1[[#This Row],[Total_Line_Spend]]-Table1[[#This Row],[Negotiated_Total]]</f>
        <v>5078.9199999999983</v>
      </c>
      <c r="T771" t="str">
        <f xml:space="preserve"> IF(Table1[[#This Row],[Delay_Days]] &gt; 4, "High Risk", IF(Table1[[#This Row],[Delay_Days]] &gt; 0, "Medium Risk", "Low Risk"))</f>
        <v>Low Risk</v>
      </c>
    </row>
    <row r="772" spans="1:20" x14ac:dyDescent="0.25">
      <c r="A772" t="s">
        <v>797</v>
      </c>
      <c r="B772" t="s">
        <v>804</v>
      </c>
      <c r="C772" s="1">
        <v>45255</v>
      </c>
      <c r="D772" s="1">
        <v>45263</v>
      </c>
      <c r="E772" t="s">
        <v>39</v>
      </c>
      <c r="F772" t="s">
        <v>35</v>
      </c>
      <c r="G772">
        <v>1092</v>
      </c>
      <c r="H772" s="5">
        <v>65.17</v>
      </c>
      <c r="I772" s="5">
        <v>63.11</v>
      </c>
      <c r="J772">
        <v>21</v>
      </c>
      <c r="K772" t="s">
        <v>15</v>
      </c>
      <c r="L772">
        <f t="shared" si="51"/>
        <v>8</v>
      </c>
      <c r="M772">
        <v>11</v>
      </c>
      <c r="N772">
        <f t="shared" si="48"/>
        <v>0</v>
      </c>
      <c r="O772" t="str">
        <f xml:space="preserve"> IF(AND(Table1[[#This Row],[Actual_Lead_Time]] &lt;= Table1[[#This Row],[Standard_Lead_Time]], OR(ISBLANK(J772), J772 = 0)), "OTIF", "Non-OTIF")</f>
        <v>Non-OTIF</v>
      </c>
      <c r="P772">
        <f>IF(Table1[[#This Row],[OTIF_Status]] = "OTIF", 1, 0)</f>
        <v>0</v>
      </c>
      <c r="Q772" s="5">
        <f t="shared" si="49"/>
        <v>71165.64</v>
      </c>
      <c r="R772" s="5">
        <f t="shared" si="50"/>
        <v>68916.12</v>
      </c>
      <c r="S772" s="5">
        <f>Table1[[#This Row],[Total_Line_Spend]]-Table1[[#This Row],[Negotiated_Total]]</f>
        <v>2249.5200000000041</v>
      </c>
      <c r="T772" t="str">
        <f xml:space="preserve"> IF(Table1[[#This Row],[Delay_Days]] &gt; 4, "High Risk", IF(Table1[[#This Row],[Delay_Days]] &gt; 0, "Medium Risk", "Low Risk"))</f>
        <v>Low Risk</v>
      </c>
    </row>
    <row r="773" spans="1:20" x14ac:dyDescent="0.25">
      <c r="A773" t="s">
        <v>798</v>
      </c>
      <c r="B773" t="s">
        <v>807</v>
      </c>
      <c r="C773" s="1">
        <v>44946</v>
      </c>
      <c r="D773" s="1">
        <v>44959</v>
      </c>
      <c r="E773" t="s">
        <v>39</v>
      </c>
      <c r="F773" t="s">
        <v>18</v>
      </c>
      <c r="G773">
        <v>226</v>
      </c>
      <c r="H773" s="5">
        <v>102.47</v>
      </c>
      <c r="I773" s="5">
        <v>99.16</v>
      </c>
      <c r="J773">
        <v>28</v>
      </c>
      <c r="K773" t="s">
        <v>15</v>
      </c>
      <c r="L773">
        <f t="shared" si="51"/>
        <v>13</v>
      </c>
      <c r="M773">
        <v>11</v>
      </c>
      <c r="N773">
        <f t="shared" si="48"/>
        <v>2</v>
      </c>
      <c r="O773" t="str">
        <f xml:space="preserve"> IF(AND(Table1[[#This Row],[Actual_Lead_Time]] &lt;= Table1[[#This Row],[Standard_Lead_Time]], OR(ISBLANK(J773), J773 = 0)), "OTIF", "Non-OTIF")</f>
        <v>Non-OTIF</v>
      </c>
      <c r="P773">
        <f>IF(Table1[[#This Row],[OTIF_Status]] = "OTIF", 1, 0)</f>
        <v>0</v>
      </c>
      <c r="Q773" s="5">
        <f t="shared" si="49"/>
        <v>23158.22</v>
      </c>
      <c r="R773" s="5">
        <f t="shared" si="50"/>
        <v>22410.16</v>
      </c>
      <c r="S773" s="5">
        <f>Table1[[#This Row],[Total_Line_Spend]]-Table1[[#This Row],[Negotiated_Total]]</f>
        <v>748.06000000000131</v>
      </c>
      <c r="T773" t="str">
        <f xml:space="preserve"> IF(Table1[[#This Row],[Delay_Days]] &gt; 4, "High Risk", IF(Table1[[#This Row],[Delay_Days]] &gt; 0, "Medium Risk", "Low Risk"))</f>
        <v>Medium Risk</v>
      </c>
    </row>
    <row r="774" spans="1:20" x14ac:dyDescent="0.25">
      <c r="A774" t="s">
        <v>799</v>
      </c>
      <c r="B774" t="s">
        <v>805</v>
      </c>
      <c r="C774" s="1">
        <v>44968</v>
      </c>
      <c r="D774" s="1">
        <v>44977</v>
      </c>
      <c r="E774" t="s">
        <v>39</v>
      </c>
      <c r="F774" t="s">
        <v>18</v>
      </c>
      <c r="G774">
        <v>1685</v>
      </c>
      <c r="H774" s="5">
        <v>43.42</v>
      </c>
      <c r="I774" s="5">
        <v>42.24</v>
      </c>
      <c r="J774">
        <v>262</v>
      </c>
      <c r="K774" t="s">
        <v>15</v>
      </c>
      <c r="L774">
        <f t="shared" si="51"/>
        <v>9</v>
      </c>
      <c r="M774">
        <v>11</v>
      </c>
      <c r="N774">
        <f t="shared" si="48"/>
        <v>0</v>
      </c>
      <c r="O774" t="str">
        <f xml:space="preserve"> IF(AND(Table1[[#This Row],[Actual_Lead_Time]] &lt;= Table1[[#This Row],[Standard_Lead_Time]], OR(ISBLANK(J774), J774 = 0)), "OTIF", "Non-OTIF")</f>
        <v>Non-OTIF</v>
      </c>
      <c r="P774">
        <f>IF(Table1[[#This Row],[OTIF_Status]] = "OTIF", 1, 0)</f>
        <v>0</v>
      </c>
      <c r="Q774" s="5">
        <f t="shared" si="49"/>
        <v>73162.7</v>
      </c>
      <c r="R774" s="5">
        <f t="shared" si="50"/>
        <v>71174.400000000009</v>
      </c>
      <c r="S774" s="5">
        <f>Table1[[#This Row],[Total_Line_Spend]]-Table1[[#This Row],[Negotiated_Total]]</f>
        <v>1988.2999999999884</v>
      </c>
      <c r="T774" t="str">
        <f xml:space="preserve"> IF(Table1[[#This Row],[Delay_Days]] &gt; 4, "High Risk", IF(Table1[[#This Row],[Delay_Days]] &gt; 0, "Medium Risk", "Low Risk"))</f>
        <v>Low Risk</v>
      </c>
    </row>
    <row r="775" spans="1:20" x14ac:dyDescent="0.25">
      <c r="A775" t="s">
        <v>800</v>
      </c>
      <c r="B775" t="s">
        <v>804</v>
      </c>
      <c r="C775" s="1">
        <v>44765</v>
      </c>
      <c r="D775" s="1">
        <v>44776</v>
      </c>
      <c r="E775" t="s">
        <v>13</v>
      </c>
      <c r="F775" t="s">
        <v>18</v>
      </c>
      <c r="G775">
        <v>445</v>
      </c>
      <c r="H775" s="5">
        <v>68.94</v>
      </c>
      <c r="I775" s="5">
        <v>60.35</v>
      </c>
      <c r="J775">
        <v>7</v>
      </c>
      <c r="K775" t="s">
        <v>15</v>
      </c>
      <c r="L775">
        <f t="shared" si="51"/>
        <v>11</v>
      </c>
      <c r="M775">
        <v>11</v>
      </c>
      <c r="N775">
        <f t="shared" si="48"/>
        <v>0</v>
      </c>
      <c r="O775" t="str">
        <f xml:space="preserve"> IF(AND(Table1[[#This Row],[Actual_Lead_Time]] &lt;= Table1[[#This Row],[Standard_Lead_Time]], OR(ISBLANK(J775), J775 = 0)), "OTIF", "Non-OTIF")</f>
        <v>Non-OTIF</v>
      </c>
      <c r="P775">
        <f>IF(Table1[[#This Row],[OTIF_Status]] = "OTIF", 1, 0)</f>
        <v>0</v>
      </c>
      <c r="Q775" s="5">
        <f t="shared" si="49"/>
        <v>30678.3</v>
      </c>
      <c r="R775" s="5">
        <f t="shared" si="50"/>
        <v>26855.75</v>
      </c>
      <c r="S775" s="5">
        <f>Table1[[#This Row],[Total_Line_Spend]]-Table1[[#This Row],[Negotiated_Total]]</f>
        <v>3822.5499999999993</v>
      </c>
      <c r="T775" t="str">
        <f xml:space="preserve"> IF(Table1[[#This Row],[Delay_Days]] &gt; 4, "High Risk", IF(Table1[[#This Row],[Delay_Days]] &gt; 0, "Medium Risk", "Low Risk"))</f>
        <v>Low Risk</v>
      </c>
    </row>
    <row r="776" spans="1:20" x14ac:dyDescent="0.25">
      <c r="A776" t="s">
        <v>801</v>
      </c>
      <c r="B776" t="s">
        <v>806</v>
      </c>
      <c r="C776" s="1">
        <v>44639</v>
      </c>
      <c r="D776" s="1">
        <v>44658</v>
      </c>
      <c r="E776" t="s">
        <v>26</v>
      </c>
      <c r="F776" t="s">
        <v>18</v>
      </c>
      <c r="G776">
        <v>494</v>
      </c>
      <c r="H776" s="5">
        <v>94.82</v>
      </c>
      <c r="I776" s="5">
        <v>81.89</v>
      </c>
      <c r="J776">
        <v>29</v>
      </c>
      <c r="K776" t="s">
        <v>15</v>
      </c>
      <c r="L776">
        <f t="shared" si="51"/>
        <v>19</v>
      </c>
      <c r="M776">
        <v>11</v>
      </c>
      <c r="N776">
        <f t="shared" si="48"/>
        <v>8</v>
      </c>
      <c r="O776" t="str">
        <f xml:space="preserve"> IF(AND(Table1[[#This Row],[Actual_Lead_Time]] &lt;= Table1[[#This Row],[Standard_Lead_Time]], OR(ISBLANK(J776), J776 = 0)), "OTIF", "Non-OTIF")</f>
        <v>Non-OTIF</v>
      </c>
      <c r="P776">
        <f>IF(Table1[[#This Row],[OTIF_Status]] = "OTIF", 1, 0)</f>
        <v>0</v>
      </c>
      <c r="Q776" s="5">
        <f t="shared" si="49"/>
        <v>46841.079999999994</v>
      </c>
      <c r="R776" s="5">
        <f t="shared" si="50"/>
        <v>40453.660000000003</v>
      </c>
      <c r="S776" s="5">
        <f>Table1[[#This Row],[Total_Line_Spend]]-Table1[[#This Row],[Negotiated_Total]]</f>
        <v>6387.419999999991</v>
      </c>
      <c r="T776" t="str">
        <f xml:space="preserve"> IF(Table1[[#This Row],[Delay_Days]] &gt; 4, "High Risk", IF(Table1[[#This Row],[Delay_Days]] &gt; 0, "Medium Risk", "Low Risk"))</f>
        <v>High Risk</v>
      </c>
    </row>
    <row r="777" spans="1:20" x14ac:dyDescent="0.25">
      <c r="A777" t="s">
        <v>802</v>
      </c>
      <c r="B777" t="s">
        <v>807</v>
      </c>
      <c r="C777" s="1">
        <v>45168</v>
      </c>
      <c r="D777" s="1">
        <v>45180</v>
      </c>
      <c r="E777" t="s">
        <v>21</v>
      </c>
      <c r="F777" t="s">
        <v>18</v>
      </c>
      <c r="G777">
        <v>1306</v>
      </c>
      <c r="H777" s="5">
        <v>21.05</v>
      </c>
      <c r="I777" s="5">
        <v>18.27</v>
      </c>
      <c r="J777">
        <v>128</v>
      </c>
      <c r="K777" t="s">
        <v>15</v>
      </c>
      <c r="L777">
        <f t="shared" si="51"/>
        <v>12</v>
      </c>
      <c r="M777">
        <v>11</v>
      </c>
      <c r="N777">
        <f t="shared" si="48"/>
        <v>1</v>
      </c>
      <c r="O777" t="str">
        <f xml:space="preserve"> IF(AND(Table1[[#This Row],[Actual_Lead_Time]] &lt;= Table1[[#This Row],[Standard_Lead_Time]], OR(ISBLANK(J777), J777 = 0)), "OTIF", "Non-OTIF")</f>
        <v>Non-OTIF</v>
      </c>
      <c r="P777">
        <f>IF(Table1[[#This Row],[OTIF_Status]] = "OTIF", 1, 0)</f>
        <v>0</v>
      </c>
      <c r="Q777" s="5">
        <f t="shared" si="49"/>
        <v>27491.3</v>
      </c>
      <c r="R777" s="5">
        <f t="shared" si="50"/>
        <v>23860.62</v>
      </c>
      <c r="S777" s="5">
        <f>Table1[[#This Row],[Total_Line_Spend]]-Table1[[#This Row],[Negotiated_Total]]</f>
        <v>3630.6800000000003</v>
      </c>
      <c r="T777" t="str">
        <f xml:space="preserve"> IF(Table1[[#This Row],[Delay_Days]] &gt; 4, "High Risk", IF(Table1[[#This Row],[Delay_Days]] &gt; 0, "Medium Risk", "Low Risk"))</f>
        <v>Medium Risk</v>
      </c>
    </row>
    <row r="778" spans="1:20" x14ac:dyDescent="0.25">
      <c r="A778" t="s">
        <v>803</v>
      </c>
      <c r="B778" t="s">
        <v>807</v>
      </c>
      <c r="C778" s="1">
        <v>45269</v>
      </c>
      <c r="D778" s="1">
        <v>45271</v>
      </c>
      <c r="E778" t="s">
        <v>13</v>
      </c>
      <c r="F778" t="s">
        <v>18</v>
      </c>
      <c r="G778">
        <v>1988</v>
      </c>
      <c r="H778" s="5">
        <v>105.2</v>
      </c>
      <c r="I778" s="5">
        <v>93.23</v>
      </c>
      <c r="J778">
        <v>187</v>
      </c>
      <c r="K778" t="s">
        <v>15</v>
      </c>
      <c r="L778">
        <f t="shared" si="51"/>
        <v>2</v>
      </c>
      <c r="M778">
        <v>11</v>
      </c>
      <c r="N778">
        <f t="shared" si="48"/>
        <v>0</v>
      </c>
      <c r="O778" t="str">
        <f xml:space="preserve"> IF(AND(Table1[[#This Row],[Actual_Lead_Time]] &lt;= Table1[[#This Row],[Standard_Lead_Time]], OR(ISBLANK(J778), J778 = 0)), "OTIF", "Non-OTIF")</f>
        <v>Non-OTIF</v>
      </c>
      <c r="P778">
        <f>IF(Table1[[#This Row],[OTIF_Status]] = "OTIF", 1, 0)</f>
        <v>0</v>
      </c>
      <c r="Q778" s="5">
        <f t="shared" si="49"/>
        <v>209137.6</v>
      </c>
      <c r="R778" s="5">
        <f t="shared" si="50"/>
        <v>185341.24000000002</v>
      </c>
      <c r="S778" s="5">
        <f>Table1[[#This Row],[Total_Line_Spend]]-Table1[[#This Row],[Negotiated_Total]]</f>
        <v>23796.359999999986</v>
      </c>
      <c r="T778" t="str">
        <f xml:space="preserve"> IF(Table1[[#This Row],[Delay_Days]] &gt; 4, "High Risk", IF(Table1[[#This Row],[Delay_Days]] &gt; 0, "Medium Risk", "Low Risk"))</f>
        <v>Low Risk</v>
      </c>
    </row>
  </sheetData>
  <conditionalFormatting sqref="T2:T778">
    <cfRule type="cellIs" dxfId="2" priority="1" operator="equal">
      <formula>"Low Risk"</formula>
    </cfRule>
    <cfRule type="containsText" dxfId="1" priority="2" operator="containsText" text="Medium Risk">
      <formula>NOT(ISERROR(SEARCH("Medium Risk",T2)))</formula>
    </cfRule>
    <cfRule type="containsText" dxfId="0" priority="3" operator="containsText" text="High Risk">
      <formula>NOT(ISERROR(SEARCH("High Risk",T2)))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6B40-6346-4C42-8646-C6420B2AC00F}">
  <dimension ref="A1:U778"/>
  <sheetViews>
    <sheetView tabSelected="1" workbookViewId="0">
      <selection activeCell="E23" sqref="E23"/>
    </sheetView>
  </sheetViews>
  <sheetFormatPr defaultRowHeight="15" x14ac:dyDescent="0.25"/>
  <sheetData>
    <row r="1" spans="1: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809</v>
      </c>
      <c r="M1" s="6" t="s">
        <v>811</v>
      </c>
      <c r="N1" s="6" t="s">
        <v>810</v>
      </c>
      <c r="O1" s="6" t="s">
        <v>816</v>
      </c>
      <c r="P1" s="6" t="s">
        <v>817</v>
      </c>
      <c r="Q1" s="6" t="s">
        <v>818</v>
      </c>
      <c r="R1" s="6" t="s">
        <v>819</v>
      </c>
      <c r="S1" s="6" t="s">
        <v>820</v>
      </c>
      <c r="T1" s="6" t="s">
        <v>821</v>
      </c>
      <c r="U1" s="6" t="s">
        <v>814</v>
      </c>
    </row>
    <row r="2" spans="1:21" x14ac:dyDescent="0.25">
      <c r="A2" s="7" t="s">
        <v>11</v>
      </c>
      <c r="B2" s="7" t="s">
        <v>804</v>
      </c>
      <c r="C2" s="7">
        <v>45216</v>
      </c>
      <c r="D2" s="7">
        <v>45224</v>
      </c>
      <c r="E2" s="7" t="s">
        <v>13</v>
      </c>
      <c r="F2" s="7" t="s">
        <v>14</v>
      </c>
      <c r="G2" s="7">
        <v>1176</v>
      </c>
      <c r="H2" s="7">
        <v>20.13</v>
      </c>
      <c r="I2" s="7">
        <v>17.809999999999999</v>
      </c>
      <c r="J2" s="7"/>
      <c r="K2" s="7" t="s">
        <v>15</v>
      </c>
      <c r="L2" s="7">
        <v>8</v>
      </c>
      <c r="M2" s="7">
        <v>11</v>
      </c>
      <c r="N2" s="7">
        <v>0</v>
      </c>
      <c r="O2" s="7" t="s">
        <v>822</v>
      </c>
      <c r="P2" s="7">
        <v>1</v>
      </c>
      <c r="Q2" s="7">
        <v>23672.879999999997</v>
      </c>
      <c r="R2" s="7">
        <v>20944.559999999998</v>
      </c>
      <c r="S2" s="7">
        <v>2728.3199999999997</v>
      </c>
      <c r="T2" s="7" t="s">
        <v>823</v>
      </c>
      <c r="U2" s="7"/>
    </row>
    <row r="3" spans="1:21" x14ac:dyDescent="0.25">
      <c r="A3" s="7" t="s">
        <v>16</v>
      </c>
      <c r="B3" s="7" t="s">
        <v>805</v>
      </c>
      <c r="C3" s="7">
        <v>44676</v>
      </c>
      <c r="D3" s="7">
        <v>44686</v>
      </c>
      <c r="E3" s="7" t="s">
        <v>13</v>
      </c>
      <c r="F3" s="7" t="s">
        <v>18</v>
      </c>
      <c r="G3" s="7">
        <v>1509</v>
      </c>
      <c r="H3" s="7">
        <v>39.32</v>
      </c>
      <c r="I3" s="7">
        <v>37.340000000000003</v>
      </c>
      <c r="J3" s="7">
        <v>235</v>
      </c>
      <c r="K3" s="7" t="s">
        <v>15</v>
      </c>
      <c r="L3" s="7">
        <v>10</v>
      </c>
      <c r="M3" s="7">
        <v>11</v>
      </c>
      <c r="N3" s="7">
        <v>0</v>
      </c>
      <c r="O3" s="7" t="s">
        <v>824</v>
      </c>
      <c r="P3" s="7">
        <v>0</v>
      </c>
      <c r="Q3" s="7">
        <v>59333.88</v>
      </c>
      <c r="R3" s="7">
        <v>56346.060000000005</v>
      </c>
      <c r="S3" s="7">
        <v>2987.8199999999924</v>
      </c>
      <c r="T3" s="7" t="s">
        <v>823</v>
      </c>
      <c r="U3" s="7"/>
    </row>
    <row r="4" spans="1:21" x14ac:dyDescent="0.25">
      <c r="A4" s="7" t="s">
        <v>19</v>
      </c>
      <c r="B4" s="7" t="s">
        <v>806</v>
      </c>
      <c r="C4" s="7">
        <v>44587</v>
      </c>
      <c r="D4" s="7">
        <v>44607</v>
      </c>
      <c r="E4" s="7" t="s">
        <v>21</v>
      </c>
      <c r="F4" s="7" t="s">
        <v>18</v>
      </c>
      <c r="G4" s="7">
        <v>910</v>
      </c>
      <c r="H4" s="7">
        <v>95.51</v>
      </c>
      <c r="I4" s="7">
        <v>92.26</v>
      </c>
      <c r="J4" s="7">
        <v>41</v>
      </c>
      <c r="K4" s="7" t="s">
        <v>15</v>
      </c>
      <c r="L4" s="7">
        <v>20</v>
      </c>
      <c r="M4" s="7">
        <v>11</v>
      </c>
      <c r="N4" s="7">
        <v>9</v>
      </c>
      <c r="O4" s="7" t="s">
        <v>824</v>
      </c>
      <c r="P4" s="7">
        <v>0</v>
      </c>
      <c r="Q4" s="7">
        <v>86914.1</v>
      </c>
      <c r="R4" s="7">
        <v>83956.6</v>
      </c>
      <c r="S4" s="7">
        <v>2957.5</v>
      </c>
      <c r="T4" s="7" t="s">
        <v>825</v>
      </c>
      <c r="U4" s="7"/>
    </row>
    <row r="5" spans="1:21" x14ac:dyDescent="0.25">
      <c r="A5" s="7" t="s">
        <v>22</v>
      </c>
      <c r="B5" s="7" t="s">
        <v>807</v>
      </c>
      <c r="C5" s="7">
        <v>44843</v>
      </c>
      <c r="D5" s="7">
        <v>44862</v>
      </c>
      <c r="E5" s="7" t="s">
        <v>24</v>
      </c>
      <c r="F5" s="7" t="s">
        <v>18</v>
      </c>
      <c r="G5" s="7">
        <v>1344</v>
      </c>
      <c r="H5" s="7">
        <v>99.85</v>
      </c>
      <c r="I5" s="7">
        <v>95.52</v>
      </c>
      <c r="J5" s="7">
        <v>112</v>
      </c>
      <c r="K5" s="7" t="s">
        <v>15</v>
      </c>
      <c r="L5" s="7">
        <v>19</v>
      </c>
      <c r="M5" s="7">
        <v>11</v>
      </c>
      <c r="N5" s="7">
        <v>8</v>
      </c>
      <c r="O5" s="7" t="s">
        <v>824</v>
      </c>
      <c r="P5" s="7">
        <v>0</v>
      </c>
      <c r="Q5" s="7">
        <v>134198.39999999999</v>
      </c>
      <c r="R5" s="7">
        <v>128378.87999999999</v>
      </c>
      <c r="S5" s="7">
        <v>5819.5200000000041</v>
      </c>
      <c r="T5" s="7" t="s">
        <v>825</v>
      </c>
      <c r="U5" s="7"/>
    </row>
    <row r="6" spans="1:21" x14ac:dyDescent="0.25">
      <c r="A6" s="7" t="s">
        <v>25</v>
      </c>
      <c r="B6" s="7" t="s">
        <v>805</v>
      </c>
      <c r="C6" s="7">
        <v>44812</v>
      </c>
      <c r="D6" s="7">
        <v>44824</v>
      </c>
      <c r="E6" s="7" t="s">
        <v>26</v>
      </c>
      <c r="F6" s="7" t="s">
        <v>18</v>
      </c>
      <c r="G6" s="7">
        <v>1180</v>
      </c>
      <c r="H6" s="7">
        <v>64.069999999999993</v>
      </c>
      <c r="I6" s="7">
        <v>60.53</v>
      </c>
      <c r="J6" s="7">
        <v>171</v>
      </c>
      <c r="K6" s="7" t="s">
        <v>27</v>
      </c>
      <c r="L6" s="7">
        <v>12</v>
      </c>
      <c r="M6" s="7">
        <v>11</v>
      </c>
      <c r="N6" s="7">
        <v>1</v>
      </c>
      <c r="O6" s="7" t="s">
        <v>824</v>
      </c>
      <c r="P6" s="7">
        <v>0</v>
      </c>
      <c r="Q6" s="7">
        <v>75602.599999999991</v>
      </c>
      <c r="R6" s="7">
        <v>71425.399999999994</v>
      </c>
      <c r="S6" s="7">
        <v>4177.1999999999971</v>
      </c>
      <c r="T6" s="7" t="s">
        <v>826</v>
      </c>
      <c r="U6" s="7"/>
    </row>
    <row r="7" spans="1:21" x14ac:dyDescent="0.25">
      <c r="A7" s="7" t="s">
        <v>28</v>
      </c>
      <c r="B7" s="7" t="s">
        <v>808</v>
      </c>
      <c r="C7" s="7">
        <v>44790</v>
      </c>
      <c r="D7" s="7">
        <v>44802</v>
      </c>
      <c r="E7" s="7" t="s">
        <v>21</v>
      </c>
      <c r="F7" s="7" t="s">
        <v>18</v>
      </c>
      <c r="G7" s="7">
        <v>1145</v>
      </c>
      <c r="H7" s="7">
        <v>69.209999999999994</v>
      </c>
      <c r="I7" s="7">
        <v>63.57</v>
      </c>
      <c r="J7" s="7">
        <v>39</v>
      </c>
      <c r="K7" s="7" t="s">
        <v>15</v>
      </c>
      <c r="L7" s="7">
        <v>12</v>
      </c>
      <c r="M7" s="7">
        <v>11</v>
      </c>
      <c r="N7" s="7">
        <v>1</v>
      </c>
      <c r="O7" s="7" t="s">
        <v>824</v>
      </c>
      <c r="P7" s="7">
        <v>0</v>
      </c>
      <c r="Q7" s="7">
        <v>79245.45</v>
      </c>
      <c r="R7" s="7">
        <v>72787.649999999994</v>
      </c>
      <c r="S7" s="7">
        <v>6457.8000000000029</v>
      </c>
      <c r="T7" s="7" t="s">
        <v>826</v>
      </c>
      <c r="U7" s="7"/>
    </row>
    <row r="8" spans="1:21" x14ac:dyDescent="0.25">
      <c r="A8" s="7" t="s">
        <v>30</v>
      </c>
      <c r="B8" s="7" t="s">
        <v>806</v>
      </c>
      <c r="C8" s="7">
        <v>44704</v>
      </c>
      <c r="D8" s="7">
        <v>44715</v>
      </c>
      <c r="E8" s="7" t="s">
        <v>21</v>
      </c>
      <c r="F8" s="7" t="s">
        <v>18</v>
      </c>
      <c r="G8" s="7">
        <v>1774</v>
      </c>
      <c r="H8" s="7">
        <v>51.37</v>
      </c>
      <c r="I8" s="7">
        <v>47.82</v>
      </c>
      <c r="J8" s="7">
        <v>96</v>
      </c>
      <c r="K8" s="7" t="s">
        <v>27</v>
      </c>
      <c r="L8" s="7">
        <v>11</v>
      </c>
      <c r="M8" s="7">
        <v>11</v>
      </c>
      <c r="N8" s="7">
        <v>0</v>
      </c>
      <c r="O8" s="7" t="s">
        <v>824</v>
      </c>
      <c r="P8" s="7">
        <v>0</v>
      </c>
      <c r="Q8" s="7">
        <v>91130.37999999999</v>
      </c>
      <c r="R8" s="7">
        <v>84832.680000000008</v>
      </c>
      <c r="S8" s="7">
        <v>6297.6999999999825</v>
      </c>
      <c r="T8" s="7" t="s">
        <v>823</v>
      </c>
      <c r="U8" s="7"/>
    </row>
    <row r="9" spans="1:21" x14ac:dyDescent="0.25">
      <c r="A9" s="7" t="s">
        <v>31</v>
      </c>
      <c r="B9" s="7" t="s">
        <v>804</v>
      </c>
      <c r="C9" s="7">
        <v>44666</v>
      </c>
      <c r="D9" s="7">
        <v>44680</v>
      </c>
      <c r="E9" s="7" t="s">
        <v>21</v>
      </c>
      <c r="F9" s="7" t="s">
        <v>18</v>
      </c>
      <c r="G9" s="7">
        <v>1094</v>
      </c>
      <c r="H9" s="7">
        <v>36.93</v>
      </c>
      <c r="I9" s="7">
        <v>32.78</v>
      </c>
      <c r="J9" s="7">
        <v>22</v>
      </c>
      <c r="K9" s="7" t="s">
        <v>15</v>
      </c>
      <c r="L9" s="7">
        <v>14</v>
      </c>
      <c r="M9" s="7">
        <v>11</v>
      </c>
      <c r="N9" s="7">
        <v>3</v>
      </c>
      <c r="O9" s="7" t="s">
        <v>824</v>
      </c>
      <c r="P9" s="7">
        <v>0</v>
      </c>
      <c r="Q9" s="7">
        <v>40401.42</v>
      </c>
      <c r="R9" s="7">
        <v>35861.32</v>
      </c>
      <c r="S9" s="7">
        <v>4540.0999999999985</v>
      </c>
      <c r="T9" s="7" t="s">
        <v>826</v>
      </c>
      <c r="U9" s="7"/>
    </row>
    <row r="10" spans="1:21" x14ac:dyDescent="0.25">
      <c r="A10" s="7" t="s">
        <v>32</v>
      </c>
      <c r="B10" s="7" t="s">
        <v>806</v>
      </c>
      <c r="C10" s="7">
        <v>45254</v>
      </c>
      <c r="D10" s="7">
        <v>45258</v>
      </c>
      <c r="E10" s="7" t="s">
        <v>26</v>
      </c>
      <c r="F10" s="7" t="s">
        <v>33</v>
      </c>
      <c r="G10" s="7">
        <v>1688</v>
      </c>
      <c r="H10" s="7">
        <v>43.93</v>
      </c>
      <c r="I10" s="7">
        <v>39.89</v>
      </c>
      <c r="J10" s="7">
        <v>89</v>
      </c>
      <c r="K10" s="7" t="s">
        <v>15</v>
      </c>
      <c r="L10" s="7">
        <v>4</v>
      </c>
      <c r="M10" s="7">
        <v>11</v>
      </c>
      <c r="N10" s="7">
        <v>0</v>
      </c>
      <c r="O10" s="7" t="s">
        <v>824</v>
      </c>
      <c r="P10" s="7">
        <v>0</v>
      </c>
      <c r="Q10" s="7">
        <v>74153.84</v>
      </c>
      <c r="R10" s="7">
        <v>67334.320000000007</v>
      </c>
      <c r="S10" s="7">
        <v>6819.5199999999895</v>
      </c>
      <c r="T10" s="7" t="s">
        <v>823</v>
      </c>
      <c r="U10" s="7"/>
    </row>
    <row r="11" spans="1:21" x14ac:dyDescent="0.25">
      <c r="A11" s="7" t="s">
        <v>34</v>
      </c>
      <c r="B11" s="7" t="s">
        <v>806</v>
      </c>
      <c r="C11" s="7">
        <v>45120</v>
      </c>
      <c r="D11" s="7">
        <v>45132</v>
      </c>
      <c r="E11" s="7" t="s">
        <v>26</v>
      </c>
      <c r="F11" s="7" t="s">
        <v>35</v>
      </c>
      <c r="G11" s="7">
        <v>171</v>
      </c>
      <c r="H11" s="7">
        <v>76.87</v>
      </c>
      <c r="I11" s="7">
        <v>70.2</v>
      </c>
      <c r="J11" s="7">
        <v>8</v>
      </c>
      <c r="K11" s="7" t="s">
        <v>15</v>
      </c>
      <c r="L11" s="7">
        <v>12</v>
      </c>
      <c r="M11" s="7">
        <v>11</v>
      </c>
      <c r="N11" s="7">
        <v>1</v>
      </c>
      <c r="O11" s="7" t="s">
        <v>824</v>
      </c>
      <c r="P11" s="7">
        <v>0</v>
      </c>
      <c r="Q11" s="7">
        <v>13144.77</v>
      </c>
      <c r="R11" s="7">
        <v>12004.2</v>
      </c>
      <c r="S11" s="7">
        <v>1140.5699999999997</v>
      </c>
      <c r="T11" s="7" t="s">
        <v>826</v>
      </c>
      <c r="U11" s="7"/>
    </row>
    <row r="12" spans="1:21" x14ac:dyDescent="0.25">
      <c r="A12" s="7" t="s">
        <v>36</v>
      </c>
      <c r="B12" s="7" t="s">
        <v>808</v>
      </c>
      <c r="C12" s="7">
        <v>44651</v>
      </c>
      <c r="D12" s="7">
        <v>44666</v>
      </c>
      <c r="E12" s="7" t="s">
        <v>26</v>
      </c>
      <c r="F12" s="7" t="s">
        <v>18</v>
      </c>
      <c r="G12" s="7">
        <v>5000</v>
      </c>
      <c r="H12" s="7">
        <v>78.489999999999995</v>
      </c>
      <c r="I12" s="7">
        <v>73.680000000000007</v>
      </c>
      <c r="J12" s="7">
        <v>18</v>
      </c>
      <c r="K12" s="7" t="s">
        <v>15</v>
      </c>
      <c r="L12" s="7">
        <v>15</v>
      </c>
      <c r="M12" s="7">
        <v>11</v>
      </c>
      <c r="N12" s="7">
        <v>4</v>
      </c>
      <c r="O12" s="7" t="s">
        <v>824</v>
      </c>
      <c r="P12" s="7">
        <v>0</v>
      </c>
      <c r="Q12" s="7">
        <v>392450</v>
      </c>
      <c r="R12" s="7">
        <v>368400.00000000006</v>
      </c>
      <c r="S12" s="7">
        <v>24049.999999999942</v>
      </c>
      <c r="T12" s="7" t="s">
        <v>826</v>
      </c>
      <c r="U12" s="7"/>
    </row>
    <row r="13" spans="1:21" x14ac:dyDescent="0.25">
      <c r="A13" s="7" t="s">
        <v>37</v>
      </c>
      <c r="B13" s="7" t="s">
        <v>807</v>
      </c>
      <c r="C13" s="7">
        <v>45166</v>
      </c>
      <c r="D13" s="7">
        <v>45180</v>
      </c>
      <c r="E13" s="7" t="s">
        <v>26</v>
      </c>
      <c r="F13" s="7" t="s">
        <v>18</v>
      </c>
      <c r="G13" s="7">
        <v>5000</v>
      </c>
      <c r="H13" s="7">
        <v>88.96</v>
      </c>
      <c r="I13" s="7">
        <v>86.58</v>
      </c>
      <c r="J13" s="7">
        <v>115</v>
      </c>
      <c r="K13" s="7" t="s">
        <v>15</v>
      </c>
      <c r="L13" s="7">
        <v>14</v>
      </c>
      <c r="M13" s="7">
        <v>11</v>
      </c>
      <c r="N13" s="7">
        <v>3</v>
      </c>
      <c r="O13" s="7" t="s">
        <v>824</v>
      </c>
      <c r="P13" s="7">
        <v>0</v>
      </c>
      <c r="Q13" s="7">
        <v>444799.99999999994</v>
      </c>
      <c r="R13" s="7">
        <v>432900</v>
      </c>
      <c r="S13" s="7">
        <v>11899.999999999942</v>
      </c>
      <c r="T13" s="7" t="s">
        <v>826</v>
      </c>
      <c r="U13" s="7"/>
    </row>
    <row r="14" spans="1:21" x14ac:dyDescent="0.25">
      <c r="A14" s="7" t="s">
        <v>38</v>
      </c>
      <c r="B14" s="7" t="s">
        <v>807</v>
      </c>
      <c r="C14" s="7">
        <v>44994</v>
      </c>
      <c r="D14" s="7">
        <v>45011</v>
      </c>
      <c r="E14" s="7" t="s">
        <v>39</v>
      </c>
      <c r="F14" s="7" t="s">
        <v>35</v>
      </c>
      <c r="G14" s="7">
        <v>5000</v>
      </c>
      <c r="H14" s="7">
        <v>86.74</v>
      </c>
      <c r="I14" s="7">
        <v>74.86</v>
      </c>
      <c r="J14" s="7">
        <v>51</v>
      </c>
      <c r="K14" s="7" t="s">
        <v>15</v>
      </c>
      <c r="L14" s="7">
        <v>17</v>
      </c>
      <c r="M14" s="7">
        <v>11</v>
      </c>
      <c r="N14" s="7">
        <v>6</v>
      </c>
      <c r="O14" s="7" t="s">
        <v>824</v>
      </c>
      <c r="P14" s="7">
        <v>0</v>
      </c>
      <c r="Q14" s="7">
        <v>433700</v>
      </c>
      <c r="R14" s="7">
        <v>374300</v>
      </c>
      <c r="S14" s="7">
        <v>59400</v>
      </c>
      <c r="T14" s="7" t="s">
        <v>825</v>
      </c>
      <c r="U14" s="7"/>
    </row>
    <row r="15" spans="1:21" x14ac:dyDescent="0.25">
      <c r="A15" s="7" t="s">
        <v>40</v>
      </c>
      <c r="B15" s="7" t="s">
        <v>807</v>
      </c>
      <c r="C15" s="7">
        <v>44594</v>
      </c>
      <c r="D15" s="7">
        <v>44605</v>
      </c>
      <c r="E15" s="7" t="s">
        <v>21</v>
      </c>
      <c r="F15" s="7" t="s">
        <v>18</v>
      </c>
      <c r="G15" s="7">
        <v>5000</v>
      </c>
      <c r="H15" s="7">
        <v>18.3</v>
      </c>
      <c r="I15" s="7">
        <v>16.88</v>
      </c>
      <c r="J15" s="7"/>
      <c r="K15" s="7" t="s">
        <v>15</v>
      </c>
      <c r="L15" s="7">
        <v>11</v>
      </c>
      <c r="M15" s="7">
        <v>11</v>
      </c>
      <c r="N15" s="7">
        <v>0</v>
      </c>
      <c r="O15" s="7" t="s">
        <v>822</v>
      </c>
      <c r="P15" s="7">
        <v>1</v>
      </c>
      <c r="Q15" s="7">
        <v>91500</v>
      </c>
      <c r="R15" s="7">
        <v>84400</v>
      </c>
      <c r="S15" s="7">
        <v>7100</v>
      </c>
      <c r="T15" s="7" t="s">
        <v>823</v>
      </c>
      <c r="U15" s="7"/>
    </row>
    <row r="16" spans="1:21" x14ac:dyDescent="0.25">
      <c r="A16" s="7" t="s">
        <v>41</v>
      </c>
      <c r="B16" s="7" t="s">
        <v>805</v>
      </c>
      <c r="C16" s="7">
        <v>44592</v>
      </c>
      <c r="D16" s="7">
        <v>44610</v>
      </c>
      <c r="E16" s="7" t="s">
        <v>39</v>
      </c>
      <c r="F16" s="7" t="s">
        <v>35</v>
      </c>
      <c r="G16" s="7">
        <v>5000</v>
      </c>
      <c r="H16" s="7">
        <v>54.5</v>
      </c>
      <c r="I16" s="7">
        <v>48.45</v>
      </c>
      <c r="J16" s="7">
        <v>22</v>
      </c>
      <c r="K16" s="7" t="s">
        <v>15</v>
      </c>
      <c r="L16" s="7">
        <v>18</v>
      </c>
      <c r="M16" s="7">
        <v>11</v>
      </c>
      <c r="N16" s="7">
        <v>7</v>
      </c>
      <c r="O16" s="7" t="s">
        <v>824</v>
      </c>
      <c r="P16" s="7">
        <v>0</v>
      </c>
      <c r="Q16" s="7">
        <v>272500</v>
      </c>
      <c r="R16" s="7">
        <v>242250</v>
      </c>
      <c r="S16" s="7">
        <v>30250</v>
      </c>
      <c r="T16" s="7" t="s">
        <v>825</v>
      </c>
      <c r="U16" s="7"/>
    </row>
    <row r="17" spans="1:21" x14ac:dyDescent="0.25">
      <c r="A17" s="7" t="s">
        <v>42</v>
      </c>
      <c r="B17" s="7" t="s">
        <v>807</v>
      </c>
      <c r="C17" s="7">
        <v>44657</v>
      </c>
      <c r="D17" s="7">
        <v>44672</v>
      </c>
      <c r="E17" s="7" t="s">
        <v>24</v>
      </c>
      <c r="F17" s="7" t="s">
        <v>18</v>
      </c>
      <c r="G17" s="7">
        <v>5000</v>
      </c>
      <c r="H17" s="7">
        <v>15.41</v>
      </c>
      <c r="I17" s="7">
        <v>15.12</v>
      </c>
      <c r="J17" s="7"/>
      <c r="K17" s="7" t="s">
        <v>15</v>
      </c>
      <c r="L17" s="7">
        <v>15</v>
      </c>
      <c r="M17" s="7">
        <v>11</v>
      </c>
      <c r="N17" s="7">
        <v>4</v>
      </c>
      <c r="O17" s="7" t="s">
        <v>824</v>
      </c>
      <c r="P17" s="7">
        <v>0</v>
      </c>
      <c r="Q17" s="7">
        <v>77050</v>
      </c>
      <c r="R17" s="7">
        <v>75600</v>
      </c>
      <c r="S17" s="7">
        <v>1450</v>
      </c>
      <c r="T17" s="7" t="s">
        <v>826</v>
      </c>
      <c r="U17" s="7"/>
    </row>
    <row r="18" spans="1:21" x14ac:dyDescent="0.25">
      <c r="A18" s="7" t="s">
        <v>43</v>
      </c>
      <c r="B18" s="7" t="s">
        <v>805</v>
      </c>
      <c r="C18" s="7">
        <v>44785</v>
      </c>
      <c r="D18" s="7">
        <v>44804</v>
      </c>
      <c r="E18" s="7" t="s">
        <v>21</v>
      </c>
      <c r="F18" s="7" t="s">
        <v>18</v>
      </c>
      <c r="G18" s="7">
        <v>1173</v>
      </c>
      <c r="H18" s="7">
        <v>61.54</v>
      </c>
      <c r="I18" s="7">
        <v>55.49</v>
      </c>
      <c r="J18" s="7">
        <v>172</v>
      </c>
      <c r="K18" s="7" t="s">
        <v>27</v>
      </c>
      <c r="L18" s="7">
        <v>19</v>
      </c>
      <c r="M18" s="7">
        <v>11</v>
      </c>
      <c r="N18" s="7">
        <v>8</v>
      </c>
      <c r="O18" s="7" t="s">
        <v>824</v>
      </c>
      <c r="P18" s="7">
        <v>0</v>
      </c>
      <c r="Q18" s="7">
        <v>72186.42</v>
      </c>
      <c r="R18" s="7">
        <v>65089.770000000004</v>
      </c>
      <c r="S18" s="7">
        <v>7096.6499999999942</v>
      </c>
      <c r="T18" s="7" t="s">
        <v>825</v>
      </c>
      <c r="U18" s="7"/>
    </row>
    <row r="19" spans="1:21" x14ac:dyDescent="0.25">
      <c r="A19" s="7" t="s">
        <v>44</v>
      </c>
      <c r="B19" s="7" t="s">
        <v>808</v>
      </c>
      <c r="C19" s="7">
        <v>44800</v>
      </c>
      <c r="D19" s="7">
        <v>44808</v>
      </c>
      <c r="E19" s="7" t="s">
        <v>26</v>
      </c>
      <c r="F19" s="7" t="s">
        <v>18</v>
      </c>
      <c r="G19" s="7">
        <v>921</v>
      </c>
      <c r="H19" s="7">
        <v>51.48</v>
      </c>
      <c r="I19" s="7">
        <v>50.61</v>
      </c>
      <c r="J19" s="7"/>
      <c r="K19" s="7" t="s">
        <v>15</v>
      </c>
      <c r="L19" s="7">
        <v>8</v>
      </c>
      <c r="M19" s="7">
        <v>11</v>
      </c>
      <c r="N19" s="7">
        <v>0</v>
      </c>
      <c r="O19" s="7" t="s">
        <v>822</v>
      </c>
      <c r="P19" s="7">
        <v>1</v>
      </c>
      <c r="Q19" s="7">
        <v>47413.079999999994</v>
      </c>
      <c r="R19" s="7">
        <v>46611.81</v>
      </c>
      <c r="S19" s="7">
        <v>801.2699999999968</v>
      </c>
      <c r="T19" s="7" t="s">
        <v>823</v>
      </c>
      <c r="U19" s="7"/>
    </row>
    <row r="20" spans="1:21" x14ac:dyDescent="0.25">
      <c r="A20" s="7" t="s">
        <v>45</v>
      </c>
      <c r="B20" s="7" t="s">
        <v>806</v>
      </c>
      <c r="C20" s="7">
        <v>45079</v>
      </c>
      <c r="D20" s="7">
        <v>45082</v>
      </c>
      <c r="E20" s="7" t="s">
        <v>26</v>
      </c>
      <c r="F20" s="7" t="s">
        <v>33</v>
      </c>
      <c r="G20" s="7">
        <v>1737</v>
      </c>
      <c r="H20" s="7">
        <v>97.53</v>
      </c>
      <c r="I20" s="7">
        <v>87.37</v>
      </c>
      <c r="J20" s="7">
        <v>79</v>
      </c>
      <c r="K20" s="7" t="s">
        <v>15</v>
      </c>
      <c r="L20" s="7">
        <v>3</v>
      </c>
      <c r="M20" s="7">
        <v>11</v>
      </c>
      <c r="N20" s="7">
        <v>0</v>
      </c>
      <c r="O20" s="7" t="s">
        <v>824</v>
      </c>
      <c r="P20" s="7">
        <v>0</v>
      </c>
      <c r="Q20" s="7">
        <v>169409.61000000002</v>
      </c>
      <c r="R20" s="7">
        <v>151761.69</v>
      </c>
      <c r="S20" s="7">
        <v>17647.920000000013</v>
      </c>
      <c r="T20" s="7" t="s">
        <v>823</v>
      </c>
      <c r="U20" s="7"/>
    </row>
    <row r="21" spans="1:21" x14ac:dyDescent="0.25">
      <c r="A21" s="7" t="s">
        <v>46</v>
      </c>
      <c r="B21" s="7" t="s">
        <v>805</v>
      </c>
      <c r="C21" s="7">
        <v>45178</v>
      </c>
      <c r="D21" s="7">
        <v>45193</v>
      </c>
      <c r="E21" s="7" t="s">
        <v>26</v>
      </c>
      <c r="F21" s="7" t="s">
        <v>18</v>
      </c>
      <c r="G21" s="7">
        <v>180</v>
      </c>
      <c r="H21" s="7">
        <v>45.74</v>
      </c>
      <c r="I21" s="7">
        <v>38.89</v>
      </c>
      <c r="J21" s="7"/>
      <c r="K21" s="7" t="s">
        <v>27</v>
      </c>
      <c r="L21" s="7">
        <v>15</v>
      </c>
      <c r="M21" s="7">
        <v>11</v>
      </c>
      <c r="N21" s="7">
        <v>4</v>
      </c>
      <c r="O21" s="7" t="s">
        <v>824</v>
      </c>
      <c r="P21" s="7">
        <v>0</v>
      </c>
      <c r="Q21" s="7">
        <v>8233.2000000000007</v>
      </c>
      <c r="R21" s="7">
        <v>7000.2</v>
      </c>
      <c r="S21" s="7">
        <v>1233.0000000000009</v>
      </c>
      <c r="T21" s="7" t="s">
        <v>826</v>
      </c>
      <c r="U21" s="7"/>
    </row>
    <row r="22" spans="1:21" x14ac:dyDescent="0.25">
      <c r="A22" s="7" t="s">
        <v>47</v>
      </c>
      <c r="B22" s="7" t="s">
        <v>808</v>
      </c>
      <c r="C22" s="7">
        <v>44589</v>
      </c>
      <c r="D22" s="7">
        <v>44604</v>
      </c>
      <c r="E22" s="7" t="s">
        <v>39</v>
      </c>
      <c r="F22" s="7" t="s">
        <v>14</v>
      </c>
      <c r="G22" s="7">
        <v>1735</v>
      </c>
      <c r="H22" s="7">
        <v>20.54</v>
      </c>
      <c r="I22" s="7">
        <v>19.690000000000001</v>
      </c>
      <c r="J22" s="7">
        <v>49</v>
      </c>
      <c r="K22" s="7" t="s">
        <v>15</v>
      </c>
      <c r="L22" s="7">
        <v>15</v>
      </c>
      <c r="M22" s="7">
        <v>11</v>
      </c>
      <c r="N22" s="7">
        <v>4</v>
      </c>
      <c r="O22" s="7" t="s">
        <v>824</v>
      </c>
      <c r="P22" s="7">
        <v>0</v>
      </c>
      <c r="Q22" s="7">
        <v>35636.9</v>
      </c>
      <c r="R22" s="7">
        <v>34162.15</v>
      </c>
      <c r="S22" s="7">
        <v>1474.75</v>
      </c>
      <c r="T22" s="7" t="s">
        <v>826</v>
      </c>
      <c r="U22" s="7"/>
    </row>
    <row r="23" spans="1:21" x14ac:dyDescent="0.25">
      <c r="A23" s="7" t="s">
        <v>48</v>
      </c>
      <c r="B23" s="7" t="s">
        <v>805</v>
      </c>
      <c r="C23" s="7">
        <v>45136</v>
      </c>
      <c r="D23" s="7">
        <v>45149</v>
      </c>
      <c r="E23" s="7" t="s">
        <v>26</v>
      </c>
      <c r="F23" s="7" t="s">
        <v>18</v>
      </c>
      <c r="G23" s="7">
        <v>1382</v>
      </c>
      <c r="H23" s="7">
        <v>24.93</v>
      </c>
      <c r="I23" s="7">
        <v>23.75</v>
      </c>
      <c r="J23" s="7"/>
      <c r="K23" s="7" t="s">
        <v>15</v>
      </c>
      <c r="L23" s="7">
        <v>13</v>
      </c>
      <c r="M23" s="7">
        <v>11</v>
      </c>
      <c r="N23" s="7">
        <v>2</v>
      </c>
      <c r="O23" s="7" t="s">
        <v>824</v>
      </c>
      <c r="P23" s="7">
        <v>0</v>
      </c>
      <c r="Q23" s="7">
        <v>34453.26</v>
      </c>
      <c r="R23" s="7">
        <v>32822.5</v>
      </c>
      <c r="S23" s="7">
        <v>1630.760000000002</v>
      </c>
      <c r="T23" s="7" t="s">
        <v>826</v>
      </c>
      <c r="U23" s="7"/>
    </row>
    <row r="24" spans="1:21" x14ac:dyDescent="0.25">
      <c r="A24" s="7" t="s">
        <v>49</v>
      </c>
      <c r="B24" s="7" t="s">
        <v>808</v>
      </c>
      <c r="C24" s="7">
        <v>44765</v>
      </c>
      <c r="D24" s="7">
        <v>44781</v>
      </c>
      <c r="E24" s="7" t="s">
        <v>21</v>
      </c>
      <c r="F24" s="7" t="s">
        <v>18</v>
      </c>
      <c r="G24" s="7">
        <v>819</v>
      </c>
      <c r="H24" s="7">
        <v>80.89</v>
      </c>
      <c r="I24" s="7">
        <v>77.03</v>
      </c>
      <c r="J24" s="7">
        <v>29</v>
      </c>
      <c r="K24" s="7" t="s">
        <v>15</v>
      </c>
      <c r="L24" s="7">
        <v>16</v>
      </c>
      <c r="M24" s="7">
        <v>11</v>
      </c>
      <c r="N24" s="7">
        <v>5</v>
      </c>
      <c r="O24" s="7" t="s">
        <v>824</v>
      </c>
      <c r="P24" s="7">
        <v>0</v>
      </c>
      <c r="Q24" s="7">
        <v>66248.91</v>
      </c>
      <c r="R24" s="7">
        <v>63087.57</v>
      </c>
      <c r="S24" s="7">
        <v>3161.3400000000038</v>
      </c>
      <c r="T24" s="7" t="s">
        <v>825</v>
      </c>
      <c r="U24" s="7"/>
    </row>
    <row r="25" spans="1:21" x14ac:dyDescent="0.25">
      <c r="A25" s="7" t="s">
        <v>50</v>
      </c>
      <c r="B25" s="7" t="s">
        <v>807</v>
      </c>
      <c r="C25" s="7">
        <v>45227</v>
      </c>
      <c r="D25" s="7">
        <v>45233</v>
      </c>
      <c r="E25" s="7" t="s">
        <v>13</v>
      </c>
      <c r="F25" s="7" t="s">
        <v>33</v>
      </c>
      <c r="G25" s="7">
        <v>393</v>
      </c>
      <c r="H25" s="7">
        <v>72.53</v>
      </c>
      <c r="I25" s="7">
        <v>66.31</v>
      </c>
      <c r="J25" s="7">
        <v>42</v>
      </c>
      <c r="K25" s="7" t="s">
        <v>27</v>
      </c>
      <c r="L25" s="7">
        <v>6</v>
      </c>
      <c r="M25" s="7">
        <v>11</v>
      </c>
      <c r="N25" s="7">
        <v>0</v>
      </c>
      <c r="O25" s="7" t="s">
        <v>824</v>
      </c>
      <c r="P25" s="7">
        <v>0</v>
      </c>
      <c r="Q25" s="7">
        <v>28504.29</v>
      </c>
      <c r="R25" s="7">
        <v>26059.83</v>
      </c>
      <c r="S25" s="7">
        <v>2444.4599999999991</v>
      </c>
      <c r="T25" s="7" t="s">
        <v>823</v>
      </c>
      <c r="U25" s="7"/>
    </row>
    <row r="26" spans="1:21" x14ac:dyDescent="0.25">
      <c r="A26" s="7" t="s">
        <v>51</v>
      </c>
      <c r="B26" s="7" t="s">
        <v>807</v>
      </c>
      <c r="C26" s="7">
        <v>45280</v>
      </c>
      <c r="D26" s="7">
        <v>45292</v>
      </c>
      <c r="E26" s="7" t="s">
        <v>21</v>
      </c>
      <c r="F26" s="7" t="s">
        <v>18</v>
      </c>
      <c r="G26" s="7">
        <v>1565</v>
      </c>
      <c r="H26" s="7">
        <v>21.3</v>
      </c>
      <c r="I26" s="7">
        <v>20.09</v>
      </c>
      <c r="J26" s="7">
        <v>161</v>
      </c>
      <c r="K26" s="7" t="s">
        <v>15</v>
      </c>
      <c r="L26" s="7">
        <v>12</v>
      </c>
      <c r="M26" s="7">
        <v>11</v>
      </c>
      <c r="N26" s="7">
        <v>1</v>
      </c>
      <c r="O26" s="7" t="s">
        <v>824</v>
      </c>
      <c r="P26" s="7">
        <v>0</v>
      </c>
      <c r="Q26" s="7">
        <v>33334.5</v>
      </c>
      <c r="R26" s="7">
        <v>31440.85</v>
      </c>
      <c r="S26" s="7">
        <v>1893.6500000000015</v>
      </c>
      <c r="T26" s="7" t="s">
        <v>826</v>
      </c>
      <c r="U26" s="7"/>
    </row>
    <row r="27" spans="1:21" x14ac:dyDescent="0.25">
      <c r="A27" s="7" t="s">
        <v>52</v>
      </c>
      <c r="B27" s="7" t="s">
        <v>808</v>
      </c>
      <c r="C27" s="7">
        <v>45120</v>
      </c>
      <c r="D27" s="7">
        <v>45131</v>
      </c>
      <c r="E27" s="7" t="s">
        <v>24</v>
      </c>
      <c r="F27" s="7" t="s">
        <v>18</v>
      </c>
      <c r="G27" s="7">
        <v>1487</v>
      </c>
      <c r="H27" s="7">
        <v>19.149999999999999</v>
      </c>
      <c r="I27" s="7">
        <v>17.239999999999998</v>
      </c>
      <c r="J27" s="7"/>
      <c r="K27" s="7" t="s">
        <v>15</v>
      </c>
      <c r="L27" s="7">
        <v>11</v>
      </c>
      <c r="M27" s="7">
        <v>11</v>
      </c>
      <c r="N27" s="7">
        <v>0</v>
      </c>
      <c r="O27" s="7" t="s">
        <v>822</v>
      </c>
      <c r="P27" s="7">
        <v>1</v>
      </c>
      <c r="Q27" s="7">
        <v>28476.05</v>
      </c>
      <c r="R27" s="7">
        <v>25635.879999999997</v>
      </c>
      <c r="S27" s="7">
        <v>2840.1700000000019</v>
      </c>
      <c r="T27" s="7" t="s">
        <v>823</v>
      </c>
      <c r="U27" s="7"/>
    </row>
    <row r="28" spans="1:21" x14ac:dyDescent="0.25">
      <c r="A28" s="7" t="s">
        <v>53</v>
      </c>
      <c r="B28" s="7" t="s">
        <v>804</v>
      </c>
      <c r="C28" s="7">
        <v>44991</v>
      </c>
      <c r="D28" s="7">
        <v>45011</v>
      </c>
      <c r="E28" s="7" t="s">
        <v>21</v>
      </c>
      <c r="F28" s="7" t="s">
        <v>18</v>
      </c>
      <c r="G28" s="7">
        <v>855</v>
      </c>
      <c r="H28" s="7">
        <v>78.2</v>
      </c>
      <c r="I28" s="7">
        <v>67.16</v>
      </c>
      <c r="J28" s="7">
        <v>17</v>
      </c>
      <c r="K28" s="7" t="s">
        <v>15</v>
      </c>
      <c r="L28" s="7">
        <v>20</v>
      </c>
      <c r="M28" s="7">
        <v>11</v>
      </c>
      <c r="N28" s="7">
        <v>9</v>
      </c>
      <c r="O28" s="7" t="s">
        <v>824</v>
      </c>
      <c r="P28" s="7">
        <v>0</v>
      </c>
      <c r="Q28" s="7">
        <v>66861</v>
      </c>
      <c r="R28" s="7">
        <v>57421.799999999996</v>
      </c>
      <c r="S28" s="7">
        <v>9439.2000000000044</v>
      </c>
      <c r="T28" s="7" t="s">
        <v>825</v>
      </c>
      <c r="U28" s="7"/>
    </row>
    <row r="29" spans="1:21" x14ac:dyDescent="0.25">
      <c r="A29" s="7" t="s">
        <v>54</v>
      </c>
      <c r="B29" s="7" t="s">
        <v>808</v>
      </c>
      <c r="C29" s="7">
        <v>44787</v>
      </c>
      <c r="D29" s="7">
        <v>44796</v>
      </c>
      <c r="E29" s="7" t="s">
        <v>26</v>
      </c>
      <c r="F29" s="7" t="s">
        <v>18</v>
      </c>
      <c r="G29" s="7">
        <v>435</v>
      </c>
      <c r="H29" s="7">
        <v>17.13</v>
      </c>
      <c r="I29" s="7">
        <v>15.84</v>
      </c>
      <c r="J29" s="7">
        <v>8</v>
      </c>
      <c r="K29" s="7" t="s">
        <v>15</v>
      </c>
      <c r="L29" s="7">
        <v>9</v>
      </c>
      <c r="M29" s="7">
        <v>11</v>
      </c>
      <c r="N29" s="7">
        <v>0</v>
      </c>
      <c r="O29" s="7" t="s">
        <v>824</v>
      </c>
      <c r="P29" s="7">
        <v>0</v>
      </c>
      <c r="Q29" s="7">
        <v>7451.5499999999993</v>
      </c>
      <c r="R29" s="7">
        <v>6890.4</v>
      </c>
      <c r="S29" s="7">
        <v>561.14999999999964</v>
      </c>
      <c r="T29" s="7" t="s">
        <v>823</v>
      </c>
      <c r="U29" s="7"/>
    </row>
    <row r="30" spans="1:21" x14ac:dyDescent="0.25">
      <c r="A30" s="7" t="s">
        <v>55</v>
      </c>
      <c r="B30" s="7" t="s">
        <v>805</v>
      </c>
      <c r="C30" s="7">
        <v>45021</v>
      </c>
      <c r="D30" s="7">
        <v>45038</v>
      </c>
      <c r="E30" s="7" t="s">
        <v>21</v>
      </c>
      <c r="F30" s="7" t="s">
        <v>18</v>
      </c>
      <c r="G30" s="7">
        <v>1265</v>
      </c>
      <c r="H30" s="7">
        <v>90.26</v>
      </c>
      <c r="I30" s="7">
        <v>79.47</v>
      </c>
      <c r="J30" s="7">
        <v>187</v>
      </c>
      <c r="K30" s="7" t="s">
        <v>15</v>
      </c>
      <c r="L30" s="7">
        <v>17</v>
      </c>
      <c r="M30" s="7">
        <v>11</v>
      </c>
      <c r="N30" s="7">
        <v>6</v>
      </c>
      <c r="O30" s="7" t="s">
        <v>824</v>
      </c>
      <c r="P30" s="7">
        <v>0</v>
      </c>
      <c r="Q30" s="7">
        <v>114178.90000000001</v>
      </c>
      <c r="R30" s="7">
        <v>100529.55</v>
      </c>
      <c r="S30" s="7">
        <v>13649.350000000006</v>
      </c>
      <c r="T30" s="7" t="s">
        <v>825</v>
      </c>
      <c r="U30" s="7"/>
    </row>
    <row r="31" spans="1:21" x14ac:dyDescent="0.25">
      <c r="A31" s="7" t="s">
        <v>56</v>
      </c>
      <c r="B31" s="7" t="s">
        <v>808</v>
      </c>
      <c r="C31" s="7">
        <v>45165</v>
      </c>
      <c r="D31" s="7">
        <v>45176</v>
      </c>
      <c r="E31" s="7" t="s">
        <v>21</v>
      </c>
      <c r="F31" s="7" t="s">
        <v>18</v>
      </c>
      <c r="G31" s="7">
        <v>1005</v>
      </c>
      <c r="H31" s="7">
        <v>80.55</v>
      </c>
      <c r="I31" s="7">
        <v>73.31</v>
      </c>
      <c r="J31" s="7">
        <v>30</v>
      </c>
      <c r="K31" s="7" t="s">
        <v>15</v>
      </c>
      <c r="L31" s="7">
        <v>11</v>
      </c>
      <c r="M31" s="7">
        <v>11</v>
      </c>
      <c r="N31" s="7">
        <v>0</v>
      </c>
      <c r="O31" s="7" t="s">
        <v>824</v>
      </c>
      <c r="P31" s="7">
        <v>0</v>
      </c>
      <c r="Q31" s="7">
        <v>80952.75</v>
      </c>
      <c r="R31" s="7">
        <v>73676.55</v>
      </c>
      <c r="S31" s="7">
        <v>7276.1999999999971</v>
      </c>
      <c r="T31" s="7" t="s">
        <v>823</v>
      </c>
      <c r="U31" s="7"/>
    </row>
    <row r="32" spans="1:21" x14ac:dyDescent="0.25">
      <c r="A32" s="7" t="s">
        <v>57</v>
      </c>
      <c r="B32" s="7" t="s">
        <v>806</v>
      </c>
      <c r="C32" s="7">
        <v>44846</v>
      </c>
      <c r="D32" s="7">
        <v>44860</v>
      </c>
      <c r="E32" s="7" t="s">
        <v>39</v>
      </c>
      <c r="F32" s="7" t="s">
        <v>18</v>
      </c>
      <c r="G32" s="7">
        <v>326</v>
      </c>
      <c r="H32" s="7">
        <v>18.100000000000001</v>
      </c>
      <c r="I32" s="7">
        <v>15.92</v>
      </c>
      <c r="J32" s="7"/>
      <c r="K32" s="7" t="s">
        <v>27</v>
      </c>
      <c r="L32" s="7">
        <v>14</v>
      </c>
      <c r="M32" s="7">
        <v>11</v>
      </c>
      <c r="N32" s="7">
        <v>3</v>
      </c>
      <c r="O32" s="7" t="s">
        <v>824</v>
      </c>
      <c r="P32" s="7">
        <v>0</v>
      </c>
      <c r="Q32" s="7">
        <v>5900.6</v>
      </c>
      <c r="R32" s="7">
        <v>5189.92</v>
      </c>
      <c r="S32" s="7">
        <v>710.68000000000029</v>
      </c>
      <c r="T32" s="7" t="s">
        <v>826</v>
      </c>
      <c r="U32" s="7"/>
    </row>
    <row r="33" spans="1:21" x14ac:dyDescent="0.25">
      <c r="A33" s="7" t="s">
        <v>58</v>
      </c>
      <c r="B33" s="7" t="s">
        <v>804</v>
      </c>
      <c r="C33" s="7">
        <v>44568</v>
      </c>
      <c r="D33" s="7">
        <v>44576</v>
      </c>
      <c r="E33" s="7" t="s">
        <v>13</v>
      </c>
      <c r="F33" s="7" t="s">
        <v>18</v>
      </c>
      <c r="G33" s="7">
        <v>1234</v>
      </c>
      <c r="H33" s="7">
        <v>17.64</v>
      </c>
      <c r="I33" s="7">
        <v>15.66</v>
      </c>
      <c r="J33" s="7">
        <v>26</v>
      </c>
      <c r="K33" s="7" t="s">
        <v>15</v>
      </c>
      <c r="L33" s="7">
        <v>8</v>
      </c>
      <c r="M33" s="7">
        <v>11</v>
      </c>
      <c r="N33" s="7">
        <v>0</v>
      </c>
      <c r="O33" s="7" t="s">
        <v>824</v>
      </c>
      <c r="P33" s="7">
        <v>0</v>
      </c>
      <c r="Q33" s="7">
        <v>21767.760000000002</v>
      </c>
      <c r="R33" s="7">
        <v>19324.439999999999</v>
      </c>
      <c r="S33" s="7">
        <v>2443.3200000000033</v>
      </c>
      <c r="T33" s="7" t="s">
        <v>823</v>
      </c>
      <c r="U33" s="7"/>
    </row>
    <row r="34" spans="1:21" x14ac:dyDescent="0.25">
      <c r="A34" s="7" t="s">
        <v>59</v>
      </c>
      <c r="B34" s="7" t="s">
        <v>808</v>
      </c>
      <c r="C34" s="7">
        <v>44725</v>
      </c>
      <c r="D34" s="7">
        <v>44741</v>
      </c>
      <c r="E34" s="7" t="s">
        <v>21</v>
      </c>
      <c r="F34" s="7" t="s">
        <v>18</v>
      </c>
      <c r="G34" s="7">
        <v>509</v>
      </c>
      <c r="H34" s="7">
        <v>101.27</v>
      </c>
      <c r="I34" s="7">
        <v>97.82</v>
      </c>
      <c r="J34" s="7">
        <v>19</v>
      </c>
      <c r="K34" s="7" t="s">
        <v>15</v>
      </c>
      <c r="L34" s="7">
        <v>16</v>
      </c>
      <c r="M34" s="7">
        <v>11</v>
      </c>
      <c r="N34" s="7">
        <v>5</v>
      </c>
      <c r="O34" s="7" t="s">
        <v>824</v>
      </c>
      <c r="P34" s="7">
        <v>0</v>
      </c>
      <c r="Q34" s="7">
        <v>51546.43</v>
      </c>
      <c r="R34" s="7">
        <v>49790.38</v>
      </c>
      <c r="S34" s="7">
        <v>1756.0500000000029</v>
      </c>
      <c r="T34" s="7" t="s">
        <v>825</v>
      </c>
      <c r="U34" s="7"/>
    </row>
    <row r="35" spans="1:21" x14ac:dyDescent="0.25">
      <c r="A35" s="7" t="s">
        <v>60</v>
      </c>
      <c r="B35" s="7" t="s">
        <v>804</v>
      </c>
      <c r="C35" s="7">
        <v>45276</v>
      </c>
      <c r="D35" s="7">
        <v>45277</v>
      </c>
      <c r="E35" s="7" t="s">
        <v>24</v>
      </c>
      <c r="F35" s="7" t="s">
        <v>18</v>
      </c>
      <c r="G35" s="7">
        <v>1387</v>
      </c>
      <c r="H35" s="7">
        <v>48.71</v>
      </c>
      <c r="I35" s="7">
        <v>43.71</v>
      </c>
      <c r="J35" s="7">
        <v>27</v>
      </c>
      <c r="K35" s="7" t="s">
        <v>15</v>
      </c>
      <c r="L35" s="7">
        <v>1</v>
      </c>
      <c r="M35" s="7">
        <v>11</v>
      </c>
      <c r="N35" s="7">
        <v>0</v>
      </c>
      <c r="O35" s="7" t="s">
        <v>824</v>
      </c>
      <c r="P35" s="7">
        <v>0</v>
      </c>
      <c r="Q35" s="7">
        <v>67560.77</v>
      </c>
      <c r="R35" s="7">
        <v>60625.770000000004</v>
      </c>
      <c r="S35" s="7">
        <v>6935</v>
      </c>
      <c r="T35" s="7" t="s">
        <v>823</v>
      </c>
      <c r="U35" s="7"/>
    </row>
    <row r="36" spans="1:21" x14ac:dyDescent="0.25">
      <c r="A36" s="7" t="s">
        <v>61</v>
      </c>
      <c r="B36" s="7" t="s">
        <v>804</v>
      </c>
      <c r="C36" s="7">
        <v>44994</v>
      </c>
      <c r="D36" s="7">
        <v>45002</v>
      </c>
      <c r="E36" s="7" t="s">
        <v>21</v>
      </c>
      <c r="F36" s="7" t="s">
        <v>18</v>
      </c>
      <c r="G36" s="7">
        <v>71</v>
      </c>
      <c r="H36" s="7">
        <v>46.39</v>
      </c>
      <c r="I36" s="7">
        <v>43.18</v>
      </c>
      <c r="J36" s="7">
        <v>0</v>
      </c>
      <c r="K36" s="7" t="s">
        <v>15</v>
      </c>
      <c r="L36" s="7">
        <v>8</v>
      </c>
      <c r="M36" s="7">
        <v>11</v>
      </c>
      <c r="N36" s="7">
        <v>0</v>
      </c>
      <c r="O36" s="7" t="s">
        <v>822</v>
      </c>
      <c r="P36" s="7">
        <v>1</v>
      </c>
      <c r="Q36" s="7">
        <v>3293.69</v>
      </c>
      <c r="R36" s="7">
        <v>3065.78</v>
      </c>
      <c r="S36" s="7">
        <v>227.90999999999985</v>
      </c>
      <c r="T36" s="7" t="s">
        <v>823</v>
      </c>
      <c r="U36" s="7"/>
    </row>
    <row r="37" spans="1:21" x14ac:dyDescent="0.25">
      <c r="A37" s="7" t="s">
        <v>62</v>
      </c>
      <c r="B37" s="7" t="s">
        <v>808</v>
      </c>
      <c r="C37" s="7">
        <v>44910</v>
      </c>
      <c r="D37" s="7">
        <v>44918</v>
      </c>
      <c r="E37" s="7" t="s">
        <v>13</v>
      </c>
      <c r="F37" s="7" t="s">
        <v>18</v>
      </c>
      <c r="G37" s="7">
        <v>302</v>
      </c>
      <c r="H37" s="7">
        <v>87.73</v>
      </c>
      <c r="I37" s="7">
        <v>81.52</v>
      </c>
      <c r="J37" s="7">
        <v>9</v>
      </c>
      <c r="K37" s="7" t="s">
        <v>15</v>
      </c>
      <c r="L37" s="7">
        <v>8</v>
      </c>
      <c r="M37" s="7">
        <v>11</v>
      </c>
      <c r="N37" s="7">
        <v>0</v>
      </c>
      <c r="O37" s="7" t="s">
        <v>824</v>
      </c>
      <c r="P37" s="7">
        <v>0</v>
      </c>
      <c r="Q37" s="7">
        <v>26494.460000000003</v>
      </c>
      <c r="R37" s="7">
        <v>24619.039999999997</v>
      </c>
      <c r="S37" s="7">
        <v>1875.4200000000055</v>
      </c>
      <c r="T37" s="7" t="s">
        <v>823</v>
      </c>
      <c r="U37" s="7"/>
    </row>
    <row r="38" spans="1:21" x14ac:dyDescent="0.25">
      <c r="A38" s="7" t="s">
        <v>63</v>
      </c>
      <c r="B38" s="7" t="s">
        <v>808</v>
      </c>
      <c r="C38" s="7">
        <v>44846</v>
      </c>
      <c r="D38" s="7">
        <v>44865</v>
      </c>
      <c r="E38" s="7" t="s">
        <v>13</v>
      </c>
      <c r="F38" s="7" t="s">
        <v>35</v>
      </c>
      <c r="G38" s="7">
        <v>797</v>
      </c>
      <c r="H38" s="7">
        <v>99.54</v>
      </c>
      <c r="I38" s="7">
        <v>91.37</v>
      </c>
      <c r="J38" s="7">
        <v>18</v>
      </c>
      <c r="K38" s="7" t="s">
        <v>15</v>
      </c>
      <c r="L38" s="7">
        <v>19</v>
      </c>
      <c r="M38" s="7">
        <v>11</v>
      </c>
      <c r="N38" s="7">
        <v>8</v>
      </c>
      <c r="O38" s="7" t="s">
        <v>824</v>
      </c>
      <c r="P38" s="7">
        <v>0</v>
      </c>
      <c r="Q38" s="7">
        <v>79333.38</v>
      </c>
      <c r="R38" s="7">
        <v>72821.89</v>
      </c>
      <c r="S38" s="7">
        <v>6511.4900000000052</v>
      </c>
      <c r="T38" s="7" t="s">
        <v>825</v>
      </c>
      <c r="U38" s="7"/>
    </row>
    <row r="39" spans="1:21" x14ac:dyDescent="0.25">
      <c r="A39" s="7" t="s">
        <v>64</v>
      </c>
      <c r="B39" s="7" t="s">
        <v>807</v>
      </c>
      <c r="C39" s="7">
        <v>44721</v>
      </c>
      <c r="D39" s="7">
        <v>44739</v>
      </c>
      <c r="E39" s="7" t="s">
        <v>13</v>
      </c>
      <c r="F39" s="7" t="s">
        <v>35</v>
      </c>
      <c r="G39" s="7">
        <v>906</v>
      </c>
      <c r="H39" s="7">
        <v>101.21</v>
      </c>
      <c r="I39" s="7">
        <v>90.9</v>
      </c>
      <c r="J39" s="7">
        <v>94</v>
      </c>
      <c r="K39" s="7" t="s">
        <v>15</v>
      </c>
      <c r="L39" s="7">
        <v>18</v>
      </c>
      <c r="M39" s="7">
        <v>11</v>
      </c>
      <c r="N39" s="7">
        <v>7</v>
      </c>
      <c r="O39" s="7" t="s">
        <v>824</v>
      </c>
      <c r="P39" s="7">
        <v>0</v>
      </c>
      <c r="Q39" s="7">
        <v>91696.26</v>
      </c>
      <c r="R39" s="7">
        <v>82355.400000000009</v>
      </c>
      <c r="S39" s="7">
        <v>9340.859999999986</v>
      </c>
      <c r="T39" s="7" t="s">
        <v>825</v>
      </c>
      <c r="U39" s="7"/>
    </row>
    <row r="40" spans="1:21" x14ac:dyDescent="0.25">
      <c r="A40" s="7" t="s">
        <v>65</v>
      </c>
      <c r="B40" s="7" t="s">
        <v>808</v>
      </c>
      <c r="C40" s="7">
        <v>44782</v>
      </c>
      <c r="D40" s="7">
        <v>44796</v>
      </c>
      <c r="E40" s="7" t="s">
        <v>13</v>
      </c>
      <c r="F40" s="7" t="s">
        <v>18</v>
      </c>
      <c r="G40" s="7">
        <v>1634</v>
      </c>
      <c r="H40" s="7">
        <v>80.53</v>
      </c>
      <c r="I40" s="7">
        <v>76.150000000000006</v>
      </c>
      <c r="J40" s="7">
        <v>50</v>
      </c>
      <c r="K40" s="7" t="s">
        <v>15</v>
      </c>
      <c r="L40" s="7">
        <v>14</v>
      </c>
      <c r="M40" s="7">
        <v>11</v>
      </c>
      <c r="N40" s="7">
        <v>3</v>
      </c>
      <c r="O40" s="7" t="s">
        <v>824</v>
      </c>
      <c r="P40" s="7">
        <v>0</v>
      </c>
      <c r="Q40" s="7">
        <v>131586.01999999999</v>
      </c>
      <c r="R40" s="7">
        <v>124429.1</v>
      </c>
      <c r="S40" s="7">
        <v>7156.9199999999837</v>
      </c>
      <c r="T40" s="7" t="s">
        <v>826</v>
      </c>
      <c r="U40" s="7"/>
    </row>
    <row r="41" spans="1:21" x14ac:dyDescent="0.25">
      <c r="A41" s="7" t="s">
        <v>66</v>
      </c>
      <c r="B41" s="7" t="s">
        <v>808</v>
      </c>
      <c r="C41" s="7">
        <v>44906</v>
      </c>
      <c r="D41" s="7">
        <v>44917</v>
      </c>
      <c r="E41" s="7" t="s">
        <v>13</v>
      </c>
      <c r="F41" s="7" t="s">
        <v>18</v>
      </c>
      <c r="G41" s="7">
        <v>524</v>
      </c>
      <c r="H41" s="7">
        <v>46.28</v>
      </c>
      <c r="I41" s="7">
        <v>39.65</v>
      </c>
      <c r="J41" s="7">
        <v>14</v>
      </c>
      <c r="K41" s="7" t="s">
        <v>15</v>
      </c>
      <c r="L41" s="7">
        <v>11</v>
      </c>
      <c r="M41" s="7">
        <v>11</v>
      </c>
      <c r="N41" s="7">
        <v>0</v>
      </c>
      <c r="O41" s="7" t="s">
        <v>824</v>
      </c>
      <c r="P41" s="7">
        <v>0</v>
      </c>
      <c r="Q41" s="7">
        <v>24250.720000000001</v>
      </c>
      <c r="R41" s="7">
        <v>20776.599999999999</v>
      </c>
      <c r="S41" s="7">
        <v>3474.1200000000026</v>
      </c>
      <c r="T41" s="7" t="s">
        <v>823</v>
      </c>
      <c r="U41" s="7"/>
    </row>
    <row r="42" spans="1:21" x14ac:dyDescent="0.25">
      <c r="A42" s="7" t="s">
        <v>67</v>
      </c>
      <c r="B42" s="7" t="s">
        <v>807</v>
      </c>
      <c r="C42" s="7">
        <v>44666</v>
      </c>
      <c r="D42" s="7">
        <v>44678</v>
      </c>
      <c r="E42" s="7" t="s">
        <v>39</v>
      </c>
      <c r="F42" s="7" t="s">
        <v>18</v>
      </c>
      <c r="G42" s="7">
        <v>1132</v>
      </c>
      <c r="H42" s="7">
        <v>17.78</v>
      </c>
      <c r="I42" s="7">
        <v>15.36</v>
      </c>
      <c r="J42" s="7">
        <v>96</v>
      </c>
      <c r="K42" s="7" t="s">
        <v>15</v>
      </c>
      <c r="L42" s="7">
        <v>12</v>
      </c>
      <c r="M42" s="7">
        <v>11</v>
      </c>
      <c r="N42" s="7">
        <v>1</v>
      </c>
      <c r="O42" s="7" t="s">
        <v>824</v>
      </c>
      <c r="P42" s="7">
        <v>0</v>
      </c>
      <c r="Q42" s="7">
        <v>20126.960000000003</v>
      </c>
      <c r="R42" s="7">
        <v>17387.52</v>
      </c>
      <c r="S42" s="7">
        <v>2739.4400000000023</v>
      </c>
      <c r="T42" s="7" t="s">
        <v>826</v>
      </c>
      <c r="U42" s="7"/>
    </row>
    <row r="43" spans="1:21" x14ac:dyDescent="0.25">
      <c r="A43" s="7" t="s">
        <v>68</v>
      </c>
      <c r="B43" s="7" t="s">
        <v>807</v>
      </c>
      <c r="C43" s="7">
        <v>44656</v>
      </c>
      <c r="D43" s="7">
        <v>44665</v>
      </c>
      <c r="E43" s="7" t="s">
        <v>13</v>
      </c>
      <c r="F43" s="7" t="s">
        <v>18</v>
      </c>
      <c r="G43" s="7">
        <v>560</v>
      </c>
      <c r="H43" s="7">
        <v>81.14</v>
      </c>
      <c r="I43" s="7">
        <v>77.87</v>
      </c>
      <c r="J43" s="7">
        <v>34</v>
      </c>
      <c r="K43" s="7" t="s">
        <v>27</v>
      </c>
      <c r="L43" s="7">
        <v>9</v>
      </c>
      <c r="M43" s="7">
        <v>11</v>
      </c>
      <c r="N43" s="7">
        <v>0</v>
      </c>
      <c r="O43" s="7" t="s">
        <v>824</v>
      </c>
      <c r="P43" s="7">
        <v>0</v>
      </c>
      <c r="Q43" s="7">
        <v>45438.400000000001</v>
      </c>
      <c r="R43" s="7">
        <v>43607.200000000004</v>
      </c>
      <c r="S43" s="7">
        <v>1831.1999999999971</v>
      </c>
      <c r="T43" s="7" t="s">
        <v>823</v>
      </c>
      <c r="U43" s="7"/>
    </row>
    <row r="44" spans="1:21" x14ac:dyDescent="0.25">
      <c r="A44" s="7" t="s">
        <v>69</v>
      </c>
      <c r="B44" s="7" t="s">
        <v>806</v>
      </c>
      <c r="C44" s="7">
        <v>44951</v>
      </c>
      <c r="D44" s="7">
        <v>44959</v>
      </c>
      <c r="E44" s="7" t="s">
        <v>39</v>
      </c>
      <c r="F44" s="7" t="s">
        <v>18</v>
      </c>
      <c r="G44" s="7">
        <v>1755</v>
      </c>
      <c r="H44" s="7">
        <v>63.87</v>
      </c>
      <c r="I44" s="7">
        <v>58.4</v>
      </c>
      <c r="J44" s="7">
        <v>85</v>
      </c>
      <c r="K44" s="7" t="s">
        <v>15</v>
      </c>
      <c r="L44" s="7">
        <v>8</v>
      </c>
      <c r="M44" s="7">
        <v>11</v>
      </c>
      <c r="N44" s="7">
        <v>0</v>
      </c>
      <c r="O44" s="7" t="s">
        <v>824</v>
      </c>
      <c r="P44" s="7">
        <v>0</v>
      </c>
      <c r="Q44" s="7">
        <v>112091.84999999999</v>
      </c>
      <c r="R44" s="7">
        <v>102492</v>
      </c>
      <c r="S44" s="7">
        <v>9599.8499999999913</v>
      </c>
      <c r="T44" s="7" t="s">
        <v>823</v>
      </c>
      <c r="U44" s="7"/>
    </row>
    <row r="45" spans="1:21" x14ac:dyDescent="0.25">
      <c r="A45" s="7" t="s">
        <v>70</v>
      </c>
      <c r="B45" s="7" t="s">
        <v>808</v>
      </c>
      <c r="C45" s="7">
        <v>44661</v>
      </c>
      <c r="D45" s="7">
        <v>44668</v>
      </c>
      <c r="E45" s="7" t="s">
        <v>21</v>
      </c>
      <c r="F45" s="7" t="s">
        <v>18</v>
      </c>
      <c r="G45" s="7">
        <v>1549</v>
      </c>
      <c r="H45" s="7">
        <v>48.9</v>
      </c>
      <c r="I45" s="7">
        <v>42.42</v>
      </c>
      <c r="J45" s="7">
        <v>48</v>
      </c>
      <c r="K45" s="7" t="s">
        <v>15</v>
      </c>
      <c r="L45" s="7">
        <v>7</v>
      </c>
      <c r="M45" s="7">
        <v>11</v>
      </c>
      <c r="N45" s="7">
        <v>0</v>
      </c>
      <c r="O45" s="7" t="s">
        <v>824</v>
      </c>
      <c r="P45" s="7">
        <v>0</v>
      </c>
      <c r="Q45" s="7">
        <v>75746.099999999991</v>
      </c>
      <c r="R45" s="7">
        <v>65708.58</v>
      </c>
      <c r="S45" s="7">
        <v>10037.51999999999</v>
      </c>
      <c r="T45" s="7" t="s">
        <v>823</v>
      </c>
      <c r="U45" s="7"/>
    </row>
    <row r="46" spans="1:21" x14ac:dyDescent="0.25">
      <c r="A46" s="7" t="s">
        <v>71</v>
      </c>
      <c r="B46" s="7" t="s">
        <v>805</v>
      </c>
      <c r="C46" s="7">
        <v>44929</v>
      </c>
      <c r="D46" s="7">
        <v>44947</v>
      </c>
      <c r="E46" s="7" t="s">
        <v>21</v>
      </c>
      <c r="F46" s="7" t="s">
        <v>18</v>
      </c>
      <c r="G46" s="7">
        <v>749</v>
      </c>
      <c r="H46" s="7">
        <v>97.07</v>
      </c>
      <c r="I46" s="7">
        <v>94.16</v>
      </c>
      <c r="J46" s="7">
        <v>123</v>
      </c>
      <c r="K46" s="7" t="s">
        <v>15</v>
      </c>
      <c r="L46" s="7">
        <v>18</v>
      </c>
      <c r="M46" s="7">
        <v>11</v>
      </c>
      <c r="N46" s="7">
        <v>7</v>
      </c>
      <c r="O46" s="7" t="s">
        <v>824</v>
      </c>
      <c r="P46" s="7">
        <v>0</v>
      </c>
      <c r="Q46" s="7">
        <v>72705.429999999993</v>
      </c>
      <c r="R46" s="7">
        <v>70525.84</v>
      </c>
      <c r="S46" s="7">
        <v>2179.5899999999965</v>
      </c>
      <c r="T46" s="7" t="s">
        <v>825</v>
      </c>
      <c r="U46" s="7"/>
    </row>
    <row r="47" spans="1:21" x14ac:dyDescent="0.25">
      <c r="A47" s="7" t="s">
        <v>72</v>
      </c>
      <c r="B47" s="7" t="s">
        <v>804</v>
      </c>
      <c r="C47" s="7">
        <v>44914</v>
      </c>
      <c r="D47" s="7">
        <v>44925</v>
      </c>
      <c r="E47" s="7" t="s">
        <v>39</v>
      </c>
      <c r="F47" s="7" t="s">
        <v>18</v>
      </c>
      <c r="G47" s="7">
        <v>1025</v>
      </c>
      <c r="H47" s="7">
        <v>21.11</v>
      </c>
      <c r="I47" s="7">
        <v>19.25</v>
      </c>
      <c r="J47" s="7">
        <v>15</v>
      </c>
      <c r="K47" s="7" t="s">
        <v>15</v>
      </c>
      <c r="L47" s="7">
        <v>11</v>
      </c>
      <c r="M47" s="7">
        <v>11</v>
      </c>
      <c r="N47" s="7">
        <v>0</v>
      </c>
      <c r="O47" s="7" t="s">
        <v>824</v>
      </c>
      <c r="P47" s="7">
        <v>0</v>
      </c>
      <c r="Q47" s="7">
        <v>21637.75</v>
      </c>
      <c r="R47" s="7">
        <v>19731.25</v>
      </c>
      <c r="S47" s="7">
        <v>1906.5</v>
      </c>
      <c r="T47" s="7" t="s">
        <v>823</v>
      </c>
      <c r="U47" s="7"/>
    </row>
    <row r="48" spans="1:21" x14ac:dyDescent="0.25">
      <c r="A48" s="7" t="s">
        <v>73</v>
      </c>
      <c r="B48" s="7" t="s">
        <v>807</v>
      </c>
      <c r="C48" s="7">
        <v>45180</v>
      </c>
      <c r="D48" s="7">
        <v>45187</v>
      </c>
      <c r="E48" s="7" t="s">
        <v>26</v>
      </c>
      <c r="F48" s="7" t="s">
        <v>18</v>
      </c>
      <c r="G48" s="7">
        <v>1856</v>
      </c>
      <c r="H48" s="7">
        <v>59.77</v>
      </c>
      <c r="I48" s="7">
        <v>50.81</v>
      </c>
      <c r="J48" s="7">
        <v>191</v>
      </c>
      <c r="K48" s="7" t="s">
        <v>15</v>
      </c>
      <c r="L48" s="7">
        <v>7</v>
      </c>
      <c r="M48" s="7">
        <v>11</v>
      </c>
      <c r="N48" s="7">
        <v>0</v>
      </c>
      <c r="O48" s="7" t="s">
        <v>824</v>
      </c>
      <c r="P48" s="7">
        <v>0</v>
      </c>
      <c r="Q48" s="7">
        <v>110933.12000000001</v>
      </c>
      <c r="R48" s="7">
        <v>94303.360000000001</v>
      </c>
      <c r="S48" s="7">
        <v>16629.760000000009</v>
      </c>
      <c r="T48" s="7" t="s">
        <v>823</v>
      </c>
      <c r="U48" s="7"/>
    </row>
    <row r="49" spans="1:21" x14ac:dyDescent="0.25">
      <c r="A49" s="7" t="s">
        <v>74</v>
      </c>
      <c r="B49" s="7" t="s">
        <v>808</v>
      </c>
      <c r="C49" s="7">
        <v>44832</v>
      </c>
      <c r="D49" s="7">
        <v>44848</v>
      </c>
      <c r="E49" s="7" t="s">
        <v>13</v>
      </c>
      <c r="F49" s="7" t="s">
        <v>18</v>
      </c>
      <c r="G49" s="7">
        <v>239</v>
      </c>
      <c r="H49" s="7">
        <v>11.46</v>
      </c>
      <c r="I49" s="7">
        <v>11.28</v>
      </c>
      <c r="J49" s="7">
        <v>4</v>
      </c>
      <c r="K49" s="7" t="s">
        <v>15</v>
      </c>
      <c r="L49" s="7">
        <v>16</v>
      </c>
      <c r="M49" s="7">
        <v>11</v>
      </c>
      <c r="N49" s="7">
        <v>5</v>
      </c>
      <c r="O49" s="7" t="s">
        <v>824</v>
      </c>
      <c r="P49" s="7">
        <v>0</v>
      </c>
      <c r="Q49" s="7">
        <v>2738.94</v>
      </c>
      <c r="R49" s="7">
        <v>2695.92</v>
      </c>
      <c r="S49" s="7">
        <v>43.019999999999982</v>
      </c>
      <c r="T49" s="7" t="s">
        <v>825</v>
      </c>
      <c r="U49" s="7"/>
    </row>
    <row r="50" spans="1:21" x14ac:dyDescent="0.25">
      <c r="A50" s="7" t="s">
        <v>75</v>
      </c>
      <c r="B50" s="7" t="s">
        <v>805</v>
      </c>
      <c r="C50" s="7">
        <v>44606</v>
      </c>
      <c r="D50" s="7">
        <v>44625</v>
      </c>
      <c r="E50" s="7" t="s">
        <v>13</v>
      </c>
      <c r="F50" s="7" t="s">
        <v>35</v>
      </c>
      <c r="G50" s="7">
        <v>1007</v>
      </c>
      <c r="H50" s="7">
        <v>52.44</v>
      </c>
      <c r="I50" s="7">
        <v>46.06</v>
      </c>
      <c r="J50" s="7">
        <v>167</v>
      </c>
      <c r="K50" s="7" t="s">
        <v>15</v>
      </c>
      <c r="L50" s="7">
        <v>19</v>
      </c>
      <c r="M50" s="7">
        <v>11</v>
      </c>
      <c r="N50" s="7">
        <v>8</v>
      </c>
      <c r="O50" s="7" t="s">
        <v>824</v>
      </c>
      <c r="P50" s="7">
        <v>0</v>
      </c>
      <c r="Q50" s="7">
        <v>52807.079999999994</v>
      </c>
      <c r="R50" s="7">
        <v>46382.420000000006</v>
      </c>
      <c r="S50" s="7">
        <v>6424.6599999999889</v>
      </c>
      <c r="T50" s="7" t="s">
        <v>825</v>
      </c>
      <c r="U50" s="7"/>
    </row>
    <row r="51" spans="1:21" x14ac:dyDescent="0.25">
      <c r="A51" s="7" t="s">
        <v>76</v>
      </c>
      <c r="B51" s="7" t="s">
        <v>804</v>
      </c>
      <c r="C51" s="7">
        <v>45032</v>
      </c>
      <c r="D51" s="7">
        <v>45043</v>
      </c>
      <c r="E51" s="7" t="s">
        <v>21</v>
      </c>
      <c r="F51" s="7" t="s">
        <v>35</v>
      </c>
      <c r="G51" s="7">
        <v>736</v>
      </c>
      <c r="H51" s="7">
        <v>16.2</v>
      </c>
      <c r="I51" s="7">
        <v>15.33</v>
      </c>
      <c r="J51" s="7">
        <v>18</v>
      </c>
      <c r="K51" s="7" t="s">
        <v>15</v>
      </c>
      <c r="L51" s="7">
        <v>11</v>
      </c>
      <c r="M51" s="7">
        <v>11</v>
      </c>
      <c r="N51" s="7">
        <v>0</v>
      </c>
      <c r="O51" s="7" t="s">
        <v>824</v>
      </c>
      <c r="P51" s="7">
        <v>0</v>
      </c>
      <c r="Q51" s="7">
        <v>11923.199999999999</v>
      </c>
      <c r="R51" s="7">
        <v>11282.88</v>
      </c>
      <c r="S51" s="7">
        <v>640.31999999999971</v>
      </c>
      <c r="T51" s="7" t="s">
        <v>823</v>
      </c>
      <c r="U51" s="7"/>
    </row>
    <row r="52" spans="1:21" x14ac:dyDescent="0.25">
      <c r="A52" s="7" t="s">
        <v>77</v>
      </c>
      <c r="B52" s="7" t="s">
        <v>808</v>
      </c>
      <c r="C52" s="7">
        <v>45111</v>
      </c>
      <c r="D52" s="7">
        <v>45121</v>
      </c>
      <c r="E52" s="7" t="s">
        <v>39</v>
      </c>
      <c r="F52" s="7" t="s">
        <v>18</v>
      </c>
      <c r="G52" s="7">
        <v>1007</v>
      </c>
      <c r="H52" s="7">
        <v>22.56</v>
      </c>
      <c r="I52" s="7">
        <v>19.59</v>
      </c>
      <c r="J52" s="7"/>
      <c r="K52" s="7" t="s">
        <v>15</v>
      </c>
      <c r="L52" s="7">
        <v>10</v>
      </c>
      <c r="M52" s="7">
        <v>11</v>
      </c>
      <c r="N52" s="7">
        <v>0</v>
      </c>
      <c r="O52" s="7" t="s">
        <v>822</v>
      </c>
      <c r="P52" s="7">
        <v>1</v>
      </c>
      <c r="Q52" s="7">
        <v>22717.919999999998</v>
      </c>
      <c r="R52" s="7">
        <v>19727.13</v>
      </c>
      <c r="S52" s="7">
        <v>2990.7899999999972</v>
      </c>
      <c r="T52" s="7" t="s">
        <v>823</v>
      </c>
      <c r="U52" s="7"/>
    </row>
    <row r="53" spans="1:21" x14ac:dyDescent="0.25">
      <c r="A53" s="7" t="s">
        <v>78</v>
      </c>
      <c r="B53" s="7" t="s">
        <v>805</v>
      </c>
      <c r="C53" s="7">
        <v>44689</v>
      </c>
      <c r="D53" s="7">
        <v>44700</v>
      </c>
      <c r="E53" s="7" t="s">
        <v>13</v>
      </c>
      <c r="F53" s="7" t="s">
        <v>18</v>
      </c>
      <c r="G53" s="7">
        <v>612</v>
      </c>
      <c r="H53" s="7">
        <v>20.99</v>
      </c>
      <c r="I53" s="7">
        <v>19.75</v>
      </c>
      <c r="J53" s="7">
        <v>102</v>
      </c>
      <c r="K53" s="7" t="s">
        <v>15</v>
      </c>
      <c r="L53" s="7">
        <v>11</v>
      </c>
      <c r="M53" s="7">
        <v>11</v>
      </c>
      <c r="N53" s="7">
        <v>0</v>
      </c>
      <c r="O53" s="7" t="s">
        <v>824</v>
      </c>
      <c r="P53" s="7">
        <v>0</v>
      </c>
      <c r="Q53" s="7">
        <v>12845.88</v>
      </c>
      <c r="R53" s="7">
        <v>12087</v>
      </c>
      <c r="S53" s="7">
        <v>758.8799999999992</v>
      </c>
      <c r="T53" s="7" t="s">
        <v>823</v>
      </c>
      <c r="U53" s="7"/>
    </row>
    <row r="54" spans="1:21" x14ac:dyDescent="0.25">
      <c r="A54" s="7" t="s">
        <v>79</v>
      </c>
      <c r="B54" s="7" t="s">
        <v>804</v>
      </c>
      <c r="C54" s="7">
        <v>44949</v>
      </c>
      <c r="D54" s="7">
        <v>44959</v>
      </c>
      <c r="E54" s="7" t="s">
        <v>21</v>
      </c>
      <c r="F54" s="7" t="s">
        <v>35</v>
      </c>
      <c r="G54" s="7">
        <v>1949</v>
      </c>
      <c r="H54" s="7">
        <v>72.53</v>
      </c>
      <c r="I54" s="7">
        <v>63.26</v>
      </c>
      <c r="J54" s="7">
        <v>48</v>
      </c>
      <c r="K54" s="7" t="s">
        <v>27</v>
      </c>
      <c r="L54" s="7">
        <v>10</v>
      </c>
      <c r="M54" s="7">
        <v>11</v>
      </c>
      <c r="N54" s="7">
        <v>0</v>
      </c>
      <c r="O54" s="7" t="s">
        <v>824</v>
      </c>
      <c r="P54" s="7">
        <v>0</v>
      </c>
      <c r="Q54" s="7">
        <v>141360.97</v>
      </c>
      <c r="R54" s="7">
        <v>123293.73999999999</v>
      </c>
      <c r="S54" s="7">
        <v>18067.23000000001</v>
      </c>
      <c r="T54" s="7" t="s">
        <v>823</v>
      </c>
      <c r="U54" s="7"/>
    </row>
    <row r="55" spans="1:21" x14ac:dyDescent="0.25">
      <c r="A55" s="7" t="s">
        <v>80</v>
      </c>
      <c r="B55" s="7" t="s">
        <v>805</v>
      </c>
      <c r="C55" s="7">
        <v>44642</v>
      </c>
      <c r="D55" s="7">
        <v>44648</v>
      </c>
      <c r="E55" s="7" t="s">
        <v>13</v>
      </c>
      <c r="F55" s="7" t="s">
        <v>14</v>
      </c>
      <c r="G55" s="7">
        <v>1640</v>
      </c>
      <c r="H55" s="7">
        <v>77.92</v>
      </c>
      <c r="I55" s="7">
        <v>76.41</v>
      </c>
      <c r="J55" s="7">
        <v>262</v>
      </c>
      <c r="K55" s="7" t="s">
        <v>27</v>
      </c>
      <c r="L55" s="7">
        <v>6</v>
      </c>
      <c r="M55" s="7">
        <v>11</v>
      </c>
      <c r="N55" s="7">
        <v>0</v>
      </c>
      <c r="O55" s="7" t="s">
        <v>824</v>
      </c>
      <c r="P55" s="7">
        <v>0</v>
      </c>
      <c r="Q55" s="7">
        <v>127788.8</v>
      </c>
      <c r="R55" s="7">
        <v>125312.4</v>
      </c>
      <c r="S55" s="7">
        <v>2476.4000000000087</v>
      </c>
      <c r="T55" s="7" t="s">
        <v>823</v>
      </c>
      <c r="U55" s="7"/>
    </row>
    <row r="56" spans="1:21" x14ac:dyDescent="0.25">
      <c r="A56" s="7" t="s">
        <v>81</v>
      </c>
      <c r="B56" s="7" t="s">
        <v>807</v>
      </c>
      <c r="C56" s="7">
        <v>45127</v>
      </c>
      <c r="D56" s="7">
        <v>45145</v>
      </c>
      <c r="E56" s="7" t="s">
        <v>39</v>
      </c>
      <c r="F56" s="7" t="s">
        <v>18</v>
      </c>
      <c r="G56" s="7">
        <v>1317</v>
      </c>
      <c r="H56" s="7">
        <v>68.13</v>
      </c>
      <c r="I56" s="7">
        <v>60.52</v>
      </c>
      <c r="J56" s="7">
        <v>136</v>
      </c>
      <c r="K56" s="7" t="s">
        <v>15</v>
      </c>
      <c r="L56" s="7">
        <v>18</v>
      </c>
      <c r="M56" s="7">
        <v>11</v>
      </c>
      <c r="N56" s="7">
        <v>7</v>
      </c>
      <c r="O56" s="7" t="s">
        <v>824</v>
      </c>
      <c r="P56" s="7">
        <v>0</v>
      </c>
      <c r="Q56" s="7">
        <v>89727.209999999992</v>
      </c>
      <c r="R56" s="7">
        <v>79704.840000000011</v>
      </c>
      <c r="S56" s="7">
        <v>10022.369999999981</v>
      </c>
      <c r="T56" s="7" t="s">
        <v>825</v>
      </c>
      <c r="U56" s="7"/>
    </row>
    <row r="57" spans="1:21" x14ac:dyDescent="0.25">
      <c r="A57" s="7" t="s">
        <v>82</v>
      </c>
      <c r="B57" s="7" t="s">
        <v>808</v>
      </c>
      <c r="C57" s="7">
        <v>44862</v>
      </c>
      <c r="D57" s="7">
        <v>44864</v>
      </c>
      <c r="E57" s="7" t="s">
        <v>26</v>
      </c>
      <c r="F57" s="7" t="s">
        <v>18</v>
      </c>
      <c r="G57" s="7">
        <v>881</v>
      </c>
      <c r="H57" s="7">
        <v>100.94</v>
      </c>
      <c r="I57" s="7">
        <v>95.05</v>
      </c>
      <c r="J57" s="7">
        <v>30</v>
      </c>
      <c r="K57" s="7" t="s">
        <v>15</v>
      </c>
      <c r="L57" s="7">
        <v>2</v>
      </c>
      <c r="M57" s="7">
        <v>11</v>
      </c>
      <c r="N57" s="7">
        <v>0</v>
      </c>
      <c r="O57" s="7" t="s">
        <v>824</v>
      </c>
      <c r="P57" s="7">
        <v>0</v>
      </c>
      <c r="Q57" s="7">
        <v>88928.14</v>
      </c>
      <c r="R57" s="7">
        <v>83739.05</v>
      </c>
      <c r="S57" s="7">
        <v>5189.0899999999965</v>
      </c>
      <c r="T57" s="7" t="s">
        <v>823</v>
      </c>
      <c r="U57" s="7"/>
    </row>
    <row r="58" spans="1:21" x14ac:dyDescent="0.25">
      <c r="A58" s="7" t="s">
        <v>83</v>
      </c>
      <c r="B58" s="7" t="s">
        <v>805</v>
      </c>
      <c r="C58" s="7">
        <v>45205</v>
      </c>
      <c r="D58" s="7">
        <v>45216</v>
      </c>
      <c r="E58" s="7" t="s">
        <v>24</v>
      </c>
      <c r="F58" s="7" t="s">
        <v>18</v>
      </c>
      <c r="G58" s="7">
        <v>1578</v>
      </c>
      <c r="H58" s="7">
        <v>48.33</v>
      </c>
      <c r="I58" s="7">
        <v>42.77</v>
      </c>
      <c r="J58" s="7">
        <v>206</v>
      </c>
      <c r="K58" s="7" t="s">
        <v>15</v>
      </c>
      <c r="L58" s="7">
        <v>11</v>
      </c>
      <c r="M58" s="7">
        <v>11</v>
      </c>
      <c r="N58" s="7">
        <v>0</v>
      </c>
      <c r="O58" s="7" t="s">
        <v>824</v>
      </c>
      <c r="P58" s="7">
        <v>0</v>
      </c>
      <c r="Q58" s="7">
        <v>76264.739999999991</v>
      </c>
      <c r="R58" s="7">
        <v>67491.06</v>
      </c>
      <c r="S58" s="7">
        <v>8773.679999999993</v>
      </c>
      <c r="T58" s="7" t="s">
        <v>823</v>
      </c>
      <c r="U58" s="7"/>
    </row>
    <row r="59" spans="1:21" x14ac:dyDescent="0.25">
      <c r="A59" s="7" t="s">
        <v>84</v>
      </c>
      <c r="B59" s="7" t="s">
        <v>805</v>
      </c>
      <c r="C59" s="7">
        <v>45195</v>
      </c>
      <c r="D59" s="7">
        <v>45200</v>
      </c>
      <c r="E59" s="7" t="s">
        <v>21</v>
      </c>
      <c r="F59" s="7" t="s">
        <v>18</v>
      </c>
      <c r="G59" s="7">
        <v>1204</v>
      </c>
      <c r="H59" s="7">
        <v>39.29</v>
      </c>
      <c r="I59" s="7">
        <v>35.44</v>
      </c>
      <c r="J59" s="7"/>
      <c r="K59" s="7" t="s">
        <v>15</v>
      </c>
      <c r="L59" s="7">
        <v>5</v>
      </c>
      <c r="M59" s="7">
        <v>11</v>
      </c>
      <c r="N59" s="7">
        <v>0</v>
      </c>
      <c r="O59" s="7" t="s">
        <v>822</v>
      </c>
      <c r="P59" s="7">
        <v>1</v>
      </c>
      <c r="Q59" s="7">
        <v>47305.159999999996</v>
      </c>
      <c r="R59" s="7">
        <v>42669.759999999995</v>
      </c>
      <c r="S59" s="7">
        <v>4635.4000000000015</v>
      </c>
      <c r="T59" s="7" t="s">
        <v>823</v>
      </c>
      <c r="U59" s="7"/>
    </row>
    <row r="60" spans="1:21" x14ac:dyDescent="0.25">
      <c r="A60" s="7" t="s">
        <v>85</v>
      </c>
      <c r="B60" s="7" t="s">
        <v>808</v>
      </c>
      <c r="C60" s="7">
        <v>44932</v>
      </c>
      <c r="D60" s="7">
        <v>44948</v>
      </c>
      <c r="E60" s="7" t="s">
        <v>21</v>
      </c>
      <c r="F60" s="7" t="s">
        <v>35</v>
      </c>
      <c r="G60" s="7">
        <v>1558</v>
      </c>
      <c r="H60" s="7">
        <v>93.46</v>
      </c>
      <c r="I60" s="7">
        <v>91.27</v>
      </c>
      <c r="J60" s="7">
        <v>39</v>
      </c>
      <c r="K60" s="7" t="s">
        <v>15</v>
      </c>
      <c r="L60" s="7">
        <v>16</v>
      </c>
      <c r="M60" s="7">
        <v>11</v>
      </c>
      <c r="N60" s="7">
        <v>5</v>
      </c>
      <c r="O60" s="7" t="s">
        <v>824</v>
      </c>
      <c r="P60" s="7">
        <v>0</v>
      </c>
      <c r="Q60" s="7">
        <v>145610.68</v>
      </c>
      <c r="R60" s="7">
        <v>142198.66</v>
      </c>
      <c r="S60" s="7">
        <v>3412.0199999999895</v>
      </c>
      <c r="T60" s="7" t="s">
        <v>825</v>
      </c>
      <c r="U60" s="7"/>
    </row>
    <row r="61" spans="1:21" x14ac:dyDescent="0.25">
      <c r="A61" s="7" t="s">
        <v>86</v>
      </c>
      <c r="B61" s="7" t="s">
        <v>804</v>
      </c>
      <c r="C61" s="7">
        <v>45153</v>
      </c>
      <c r="D61" s="7">
        <v>45154</v>
      </c>
      <c r="E61" s="7" t="s">
        <v>24</v>
      </c>
      <c r="F61" s="7" t="s">
        <v>18</v>
      </c>
      <c r="G61" s="7">
        <v>1892</v>
      </c>
      <c r="H61" s="7">
        <v>32.99</v>
      </c>
      <c r="I61" s="7">
        <v>28.81</v>
      </c>
      <c r="J61" s="7">
        <v>35</v>
      </c>
      <c r="K61" s="7" t="s">
        <v>15</v>
      </c>
      <c r="L61" s="7">
        <v>1</v>
      </c>
      <c r="M61" s="7">
        <v>11</v>
      </c>
      <c r="N61" s="7">
        <v>0</v>
      </c>
      <c r="O61" s="7" t="s">
        <v>824</v>
      </c>
      <c r="P61" s="7">
        <v>0</v>
      </c>
      <c r="Q61" s="7">
        <v>62417.08</v>
      </c>
      <c r="R61" s="7">
        <v>54508.52</v>
      </c>
      <c r="S61" s="7">
        <v>7908.5600000000049</v>
      </c>
      <c r="T61" s="7" t="s">
        <v>823</v>
      </c>
      <c r="U61" s="7"/>
    </row>
    <row r="62" spans="1:21" x14ac:dyDescent="0.25">
      <c r="A62" s="7" t="s">
        <v>87</v>
      </c>
      <c r="B62" s="7" t="s">
        <v>808</v>
      </c>
      <c r="C62" s="7">
        <v>44758</v>
      </c>
      <c r="D62" s="7">
        <v>44774</v>
      </c>
      <c r="E62" s="7" t="s">
        <v>24</v>
      </c>
      <c r="F62" s="7" t="s">
        <v>18</v>
      </c>
      <c r="G62" s="7">
        <v>696</v>
      </c>
      <c r="H62" s="7">
        <v>99.59</v>
      </c>
      <c r="I62" s="7">
        <v>90.18</v>
      </c>
      <c r="J62" s="7">
        <v>25</v>
      </c>
      <c r="K62" s="7" t="s">
        <v>15</v>
      </c>
      <c r="L62" s="7">
        <v>16</v>
      </c>
      <c r="M62" s="7">
        <v>11</v>
      </c>
      <c r="N62" s="7">
        <v>5</v>
      </c>
      <c r="O62" s="7" t="s">
        <v>824</v>
      </c>
      <c r="P62" s="7">
        <v>0</v>
      </c>
      <c r="Q62" s="7">
        <v>69314.64</v>
      </c>
      <c r="R62" s="7">
        <v>62765.280000000006</v>
      </c>
      <c r="S62" s="7">
        <v>6549.3599999999933</v>
      </c>
      <c r="T62" s="7" t="s">
        <v>825</v>
      </c>
      <c r="U62" s="7"/>
    </row>
    <row r="63" spans="1:21" x14ac:dyDescent="0.25">
      <c r="A63" s="7" t="s">
        <v>88</v>
      </c>
      <c r="B63" s="7" t="s">
        <v>805</v>
      </c>
      <c r="C63" s="7">
        <v>45283</v>
      </c>
      <c r="D63" s="7">
        <v>45294</v>
      </c>
      <c r="E63" s="7" t="s">
        <v>21</v>
      </c>
      <c r="F63" s="7" t="s">
        <v>33</v>
      </c>
      <c r="G63" s="7">
        <v>70</v>
      </c>
      <c r="H63" s="7">
        <v>12.37</v>
      </c>
      <c r="I63" s="7">
        <v>11.04</v>
      </c>
      <c r="J63" s="7">
        <v>10</v>
      </c>
      <c r="K63" s="7" t="s">
        <v>15</v>
      </c>
      <c r="L63" s="7">
        <v>11</v>
      </c>
      <c r="M63" s="7">
        <v>11</v>
      </c>
      <c r="N63" s="7">
        <v>0</v>
      </c>
      <c r="O63" s="7" t="s">
        <v>824</v>
      </c>
      <c r="P63" s="7">
        <v>0</v>
      </c>
      <c r="Q63" s="7">
        <v>865.9</v>
      </c>
      <c r="R63" s="7">
        <v>772.8</v>
      </c>
      <c r="S63" s="7">
        <v>93.100000000000023</v>
      </c>
      <c r="T63" s="7" t="s">
        <v>823</v>
      </c>
      <c r="U63" s="7"/>
    </row>
    <row r="64" spans="1:21" x14ac:dyDescent="0.25">
      <c r="A64" s="7" t="s">
        <v>89</v>
      </c>
      <c r="B64" s="7" t="s">
        <v>806</v>
      </c>
      <c r="C64" s="7">
        <v>44633</v>
      </c>
      <c r="D64" s="7">
        <v>44635</v>
      </c>
      <c r="E64" s="7" t="s">
        <v>26</v>
      </c>
      <c r="F64" s="7" t="s">
        <v>18</v>
      </c>
      <c r="G64" s="7">
        <v>890</v>
      </c>
      <c r="H64" s="7">
        <v>98.26</v>
      </c>
      <c r="I64" s="7">
        <v>93.14</v>
      </c>
      <c r="J64" s="7">
        <v>49</v>
      </c>
      <c r="K64" s="7" t="s">
        <v>15</v>
      </c>
      <c r="L64" s="7">
        <v>2</v>
      </c>
      <c r="M64" s="7">
        <v>11</v>
      </c>
      <c r="N64" s="7">
        <v>0</v>
      </c>
      <c r="O64" s="7" t="s">
        <v>824</v>
      </c>
      <c r="P64" s="7">
        <v>0</v>
      </c>
      <c r="Q64" s="7">
        <v>87451.400000000009</v>
      </c>
      <c r="R64" s="7">
        <v>82894.600000000006</v>
      </c>
      <c r="S64" s="7">
        <v>4556.8000000000029</v>
      </c>
      <c r="T64" s="7" t="s">
        <v>823</v>
      </c>
      <c r="U64" s="7"/>
    </row>
    <row r="65" spans="1:21" x14ac:dyDescent="0.25">
      <c r="A65" s="7" t="s">
        <v>90</v>
      </c>
      <c r="B65" s="7" t="s">
        <v>804</v>
      </c>
      <c r="C65" s="7">
        <v>44608</v>
      </c>
      <c r="D65" s="7">
        <v>44624</v>
      </c>
      <c r="E65" s="7" t="s">
        <v>21</v>
      </c>
      <c r="F65" s="7" t="s">
        <v>18</v>
      </c>
      <c r="G65" s="7">
        <v>216</v>
      </c>
      <c r="H65" s="7">
        <v>13.95</v>
      </c>
      <c r="I65" s="7">
        <v>12.31</v>
      </c>
      <c r="J65" s="7">
        <v>5</v>
      </c>
      <c r="K65" s="7" t="s">
        <v>15</v>
      </c>
      <c r="L65" s="7">
        <v>16</v>
      </c>
      <c r="M65" s="7">
        <v>11</v>
      </c>
      <c r="N65" s="7">
        <v>5</v>
      </c>
      <c r="O65" s="7" t="s">
        <v>824</v>
      </c>
      <c r="P65" s="7">
        <v>0</v>
      </c>
      <c r="Q65" s="7">
        <v>3013.2</v>
      </c>
      <c r="R65" s="7">
        <v>2658.96</v>
      </c>
      <c r="S65" s="7">
        <v>354.23999999999978</v>
      </c>
      <c r="T65" s="7" t="s">
        <v>825</v>
      </c>
      <c r="U65" s="7"/>
    </row>
    <row r="66" spans="1:21" x14ac:dyDescent="0.25">
      <c r="A66" s="7" t="s">
        <v>91</v>
      </c>
      <c r="B66" s="7" t="s">
        <v>805</v>
      </c>
      <c r="C66" s="7">
        <v>45239</v>
      </c>
      <c r="D66" s="7">
        <v>45242</v>
      </c>
      <c r="E66" s="7" t="s">
        <v>24</v>
      </c>
      <c r="F66" s="7" t="s">
        <v>18</v>
      </c>
      <c r="G66" s="7">
        <v>1347</v>
      </c>
      <c r="H66" s="7">
        <v>100.13</v>
      </c>
      <c r="I66" s="7">
        <v>94.3</v>
      </c>
      <c r="J66" s="7">
        <v>200</v>
      </c>
      <c r="K66" s="7" t="s">
        <v>15</v>
      </c>
      <c r="L66" s="7">
        <v>3</v>
      </c>
      <c r="M66" s="7">
        <v>11</v>
      </c>
      <c r="N66" s="7">
        <v>0</v>
      </c>
      <c r="O66" s="7" t="s">
        <v>824</v>
      </c>
      <c r="P66" s="7">
        <v>0</v>
      </c>
      <c r="Q66" s="7">
        <v>134875.10999999999</v>
      </c>
      <c r="R66" s="7">
        <v>127022.09999999999</v>
      </c>
      <c r="S66" s="7">
        <v>7853.0099999999948</v>
      </c>
      <c r="T66" s="7" t="s">
        <v>823</v>
      </c>
      <c r="U66" s="7"/>
    </row>
    <row r="67" spans="1:21" x14ac:dyDescent="0.25">
      <c r="A67" s="7" t="s">
        <v>92</v>
      </c>
      <c r="B67" s="7" t="s">
        <v>806</v>
      </c>
      <c r="C67" s="7">
        <v>44795</v>
      </c>
      <c r="D67" s="7">
        <v>44798</v>
      </c>
      <c r="E67" s="7" t="s">
        <v>13</v>
      </c>
      <c r="F67" s="7" t="s">
        <v>33</v>
      </c>
      <c r="G67" s="7">
        <v>437</v>
      </c>
      <c r="H67" s="7">
        <v>59.51</v>
      </c>
      <c r="I67" s="7">
        <v>56.45</v>
      </c>
      <c r="J67" s="7">
        <v>25</v>
      </c>
      <c r="K67" s="7" t="s">
        <v>27</v>
      </c>
      <c r="L67" s="7">
        <v>3</v>
      </c>
      <c r="M67" s="7">
        <v>11</v>
      </c>
      <c r="N67" s="7">
        <v>0</v>
      </c>
      <c r="O67" s="7" t="s">
        <v>824</v>
      </c>
      <c r="P67" s="7">
        <v>0</v>
      </c>
      <c r="Q67" s="7">
        <v>26005.87</v>
      </c>
      <c r="R67" s="7">
        <v>24668.65</v>
      </c>
      <c r="S67" s="7">
        <v>1337.2199999999975</v>
      </c>
      <c r="T67" s="7" t="s">
        <v>823</v>
      </c>
      <c r="U67" s="7"/>
    </row>
    <row r="68" spans="1:21" x14ac:dyDescent="0.25">
      <c r="A68" s="7" t="s">
        <v>93</v>
      </c>
      <c r="B68" s="7" t="s">
        <v>804</v>
      </c>
      <c r="C68" s="7">
        <v>44858</v>
      </c>
      <c r="D68" s="7">
        <v>44860</v>
      </c>
      <c r="E68" s="7" t="s">
        <v>39</v>
      </c>
      <c r="F68" s="7" t="s">
        <v>18</v>
      </c>
      <c r="G68" s="7">
        <v>650</v>
      </c>
      <c r="H68" s="7">
        <v>103.84</v>
      </c>
      <c r="I68" s="7">
        <v>88.28</v>
      </c>
      <c r="J68" s="7">
        <v>12</v>
      </c>
      <c r="K68" s="7" t="s">
        <v>15</v>
      </c>
      <c r="L68" s="7">
        <v>2</v>
      </c>
      <c r="M68" s="7">
        <v>11</v>
      </c>
      <c r="N68" s="7">
        <v>0</v>
      </c>
      <c r="O68" s="7" t="s">
        <v>824</v>
      </c>
      <c r="P68" s="7">
        <v>0</v>
      </c>
      <c r="Q68" s="7">
        <v>67496</v>
      </c>
      <c r="R68" s="7">
        <v>57382</v>
      </c>
      <c r="S68" s="7">
        <v>10114</v>
      </c>
      <c r="T68" s="7" t="s">
        <v>823</v>
      </c>
      <c r="U68" s="7"/>
    </row>
    <row r="69" spans="1:21" x14ac:dyDescent="0.25">
      <c r="A69" s="7" t="s">
        <v>94</v>
      </c>
      <c r="B69" s="7" t="s">
        <v>807</v>
      </c>
      <c r="C69" s="7">
        <v>44643</v>
      </c>
      <c r="D69" s="7">
        <v>44662</v>
      </c>
      <c r="E69" s="7" t="s">
        <v>13</v>
      </c>
      <c r="F69" s="7" t="s">
        <v>18</v>
      </c>
      <c r="G69" s="7">
        <v>365</v>
      </c>
      <c r="H69" s="7">
        <v>16.809999999999999</v>
      </c>
      <c r="I69" s="7">
        <v>15.41</v>
      </c>
      <c r="J69" s="7">
        <v>38</v>
      </c>
      <c r="K69" s="7" t="s">
        <v>15</v>
      </c>
      <c r="L69" s="7">
        <v>19</v>
      </c>
      <c r="M69" s="7">
        <v>11</v>
      </c>
      <c r="N69" s="7">
        <v>8</v>
      </c>
      <c r="O69" s="7" t="s">
        <v>824</v>
      </c>
      <c r="P69" s="7">
        <v>0</v>
      </c>
      <c r="Q69" s="7">
        <v>6135.65</v>
      </c>
      <c r="R69" s="7">
        <v>5624.65</v>
      </c>
      <c r="S69" s="7">
        <v>511</v>
      </c>
      <c r="T69" s="7" t="s">
        <v>825</v>
      </c>
      <c r="U69" s="7"/>
    </row>
    <row r="70" spans="1:21" x14ac:dyDescent="0.25">
      <c r="A70" s="7" t="s">
        <v>95</v>
      </c>
      <c r="B70" s="7" t="s">
        <v>808</v>
      </c>
      <c r="C70" s="7">
        <v>44800</v>
      </c>
      <c r="D70" s="7">
        <v>44811</v>
      </c>
      <c r="E70" s="7" t="s">
        <v>26</v>
      </c>
      <c r="F70" s="7" t="s">
        <v>14</v>
      </c>
      <c r="G70" s="7">
        <v>63</v>
      </c>
      <c r="H70" s="7">
        <v>61.94</v>
      </c>
      <c r="I70" s="7">
        <v>53.8</v>
      </c>
      <c r="J70" s="7"/>
      <c r="K70" s="7" t="s">
        <v>15</v>
      </c>
      <c r="L70" s="7">
        <v>11</v>
      </c>
      <c r="M70" s="7">
        <v>11</v>
      </c>
      <c r="N70" s="7">
        <v>0</v>
      </c>
      <c r="O70" s="7" t="s">
        <v>822</v>
      </c>
      <c r="P70" s="7">
        <v>1</v>
      </c>
      <c r="Q70" s="7">
        <v>3902.22</v>
      </c>
      <c r="R70" s="7">
        <v>3389.3999999999996</v>
      </c>
      <c r="S70" s="7">
        <v>512.82000000000016</v>
      </c>
      <c r="T70" s="7" t="s">
        <v>823</v>
      </c>
      <c r="U70" s="7"/>
    </row>
    <row r="71" spans="1:21" x14ac:dyDescent="0.25">
      <c r="A71" s="7" t="s">
        <v>96</v>
      </c>
      <c r="B71" s="7" t="s">
        <v>804</v>
      </c>
      <c r="C71" s="7">
        <v>44665</v>
      </c>
      <c r="D71" s="7">
        <v>44673</v>
      </c>
      <c r="E71" s="7" t="s">
        <v>21</v>
      </c>
      <c r="F71" s="7" t="s">
        <v>18</v>
      </c>
      <c r="G71" s="7">
        <v>291</v>
      </c>
      <c r="H71" s="7">
        <v>98.7</v>
      </c>
      <c r="I71" s="7">
        <v>87.02</v>
      </c>
      <c r="J71" s="7">
        <v>9</v>
      </c>
      <c r="K71" s="7" t="s">
        <v>15</v>
      </c>
      <c r="L71" s="7">
        <v>8</v>
      </c>
      <c r="M71" s="7">
        <v>11</v>
      </c>
      <c r="N71" s="7">
        <v>0</v>
      </c>
      <c r="O71" s="7" t="s">
        <v>824</v>
      </c>
      <c r="P71" s="7">
        <v>0</v>
      </c>
      <c r="Q71" s="7">
        <v>28721.7</v>
      </c>
      <c r="R71" s="7">
        <v>25322.82</v>
      </c>
      <c r="S71" s="7">
        <v>3398.880000000001</v>
      </c>
      <c r="T71" s="7" t="s">
        <v>823</v>
      </c>
      <c r="U71" s="7"/>
    </row>
    <row r="72" spans="1:21" x14ac:dyDescent="0.25">
      <c r="A72" s="7" t="s">
        <v>97</v>
      </c>
      <c r="B72" s="7" t="s">
        <v>804</v>
      </c>
      <c r="C72" s="7">
        <v>44951</v>
      </c>
      <c r="D72" s="7">
        <v>44965</v>
      </c>
      <c r="E72" s="7" t="s">
        <v>21</v>
      </c>
      <c r="F72" s="7" t="s">
        <v>14</v>
      </c>
      <c r="G72" s="7">
        <v>826</v>
      </c>
      <c r="H72" s="7">
        <v>60.5</v>
      </c>
      <c r="I72" s="7">
        <v>57.18</v>
      </c>
      <c r="J72" s="7">
        <v>18</v>
      </c>
      <c r="K72" s="7" t="s">
        <v>15</v>
      </c>
      <c r="L72" s="7">
        <v>14</v>
      </c>
      <c r="M72" s="7">
        <v>11</v>
      </c>
      <c r="N72" s="7">
        <v>3</v>
      </c>
      <c r="O72" s="7" t="s">
        <v>824</v>
      </c>
      <c r="P72" s="7">
        <v>0</v>
      </c>
      <c r="Q72" s="7">
        <v>49973</v>
      </c>
      <c r="R72" s="7">
        <v>47230.68</v>
      </c>
      <c r="S72" s="7">
        <v>2742.3199999999997</v>
      </c>
      <c r="T72" s="7" t="s">
        <v>826</v>
      </c>
      <c r="U72" s="7"/>
    </row>
    <row r="73" spans="1:21" x14ac:dyDescent="0.25">
      <c r="A73" s="7" t="s">
        <v>98</v>
      </c>
      <c r="B73" s="7" t="s">
        <v>805</v>
      </c>
      <c r="C73" s="7">
        <v>44846</v>
      </c>
      <c r="D73" s="7">
        <v>44866</v>
      </c>
      <c r="E73" s="7" t="s">
        <v>39</v>
      </c>
      <c r="F73" s="7" t="s">
        <v>35</v>
      </c>
      <c r="G73" s="7">
        <v>1419</v>
      </c>
      <c r="H73" s="7">
        <v>69.64</v>
      </c>
      <c r="I73" s="7">
        <v>59.28</v>
      </c>
      <c r="J73" s="7">
        <v>194</v>
      </c>
      <c r="K73" s="7" t="s">
        <v>15</v>
      </c>
      <c r="L73" s="7">
        <v>20</v>
      </c>
      <c r="M73" s="7">
        <v>11</v>
      </c>
      <c r="N73" s="7">
        <v>9</v>
      </c>
      <c r="O73" s="7" t="s">
        <v>824</v>
      </c>
      <c r="P73" s="7">
        <v>0</v>
      </c>
      <c r="Q73" s="7">
        <v>98819.16</v>
      </c>
      <c r="R73" s="7">
        <v>84118.32</v>
      </c>
      <c r="S73" s="7">
        <v>14700.839999999997</v>
      </c>
      <c r="T73" s="7" t="s">
        <v>825</v>
      </c>
      <c r="U73" s="7"/>
    </row>
    <row r="74" spans="1:21" x14ac:dyDescent="0.25">
      <c r="A74" s="7" t="s">
        <v>99</v>
      </c>
      <c r="B74" s="7" t="s">
        <v>806</v>
      </c>
      <c r="C74" s="7">
        <v>45026</v>
      </c>
      <c r="D74" s="7">
        <v>45043</v>
      </c>
      <c r="E74" s="7" t="s">
        <v>13</v>
      </c>
      <c r="F74" s="7" t="s">
        <v>18</v>
      </c>
      <c r="G74" s="7">
        <v>614</v>
      </c>
      <c r="H74" s="7">
        <v>78.06</v>
      </c>
      <c r="I74" s="7">
        <v>73.95</v>
      </c>
      <c r="J74" s="7">
        <v>40</v>
      </c>
      <c r="K74" s="7" t="s">
        <v>15</v>
      </c>
      <c r="L74" s="7">
        <v>17</v>
      </c>
      <c r="M74" s="7">
        <v>11</v>
      </c>
      <c r="N74" s="7">
        <v>6</v>
      </c>
      <c r="O74" s="7" t="s">
        <v>824</v>
      </c>
      <c r="P74" s="7">
        <v>0</v>
      </c>
      <c r="Q74" s="7">
        <v>47928.840000000004</v>
      </c>
      <c r="R74" s="7">
        <v>45405.3</v>
      </c>
      <c r="S74" s="7">
        <v>2523.5400000000009</v>
      </c>
      <c r="T74" s="7" t="s">
        <v>825</v>
      </c>
      <c r="U74" s="7"/>
    </row>
    <row r="75" spans="1:21" x14ac:dyDescent="0.25">
      <c r="A75" s="7" t="s">
        <v>100</v>
      </c>
      <c r="B75" s="7" t="s">
        <v>804</v>
      </c>
      <c r="C75" s="7">
        <v>45212</v>
      </c>
      <c r="D75" s="7">
        <v>45227</v>
      </c>
      <c r="E75" s="7" t="s">
        <v>39</v>
      </c>
      <c r="F75" s="7" t="s">
        <v>18</v>
      </c>
      <c r="G75" s="7">
        <v>947</v>
      </c>
      <c r="H75" s="7">
        <v>56.25</v>
      </c>
      <c r="I75" s="7">
        <v>54.25</v>
      </c>
      <c r="J75" s="7">
        <v>19</v>
      </c>
      <c r="K75" s="7" t="s">
        <v>15</v>
      </c>
      <c r="L75" s="7">
        <v>15</v>
      </c>
      <c r="M75" s="7">
        <v>11</v>
      </c>
      <c r="N75" s="7">
        <v>4</v>
      </c>
      <c r="O75" s="7" t="s">
        <v>824</v>
      </c>
      <c r="P75" s="7">
        <v>0</v>
      </c>
      <c r="Q75" s="7">
        <v>53268.75</v>
      </c>
      <c r="R75" s="7">
        <v>51374.75</v>
      </c>
      <c r="S75" s="7">
        <v>1894</v>
      </c>
      <c r="T75" s="7" t="s">
        <v>826</v>
      </c>
      <c r="U75" s="7"/>
    </row>
    <row r="76" spans="1:21" x14ac:dyDescent="0.25">
      <c r="A76" s="7" t="s">
        <v>101</v>
      </c>
      <c r="B76" s="7" t="s">
        <v>808</v>
      </c>
      <c r="C76" s="7">
        <v>44935</v>
      </c>
      <c r="D76" s="7">
        <v>44954</v>
      </c>
      <c r="E76" s="7" t="s">
        <v>26</v>
      </c>
      <c r="F76" s="7" t="s">
        <v>18</v>
      </c>
      <c r="G76" s="7">
        <v>1413</v>
      </c>
      <c r="H76" s="7">
        <v>70.47</v>
      </c>
      <c r="I76" s="7">
        <v>69.650000000000006</v>
      </c>
      <c r="J76" s="7"/>
      <c r="K76" s="7" t="s">
        <v>15</v>
      </c>
      <c r="L76" s="7">
        <v>19</v>
      </c>
      <c r="M76" s="7">
        <v>11</v>
      </c>
      <c r="N76" s="7">
        <v>8</v>
      </c>
      <c r="O76" s="7" t="s">
        <v>824</v>
      </c>
      <c r="P76" s="7">
        <v>0</v>
      </c>
      <c r="Q76" s="7">
        <v>99574.11</v>
      </c>
      <c r="R76" s="7">
        <v>98415.450000000012</v>
      </c>
      <c r="S76" s="7">
        <v>1158.6599999999889</v>
      </c>
      <c r="T76" s="7" t="s">
        <v>825</v>
      </c>
      <c r="U76" s="7"/>
    </row>
    <row r="77" spans="1:21" x14ac:dyDescent="0.25">
      <c r="A77" s="7" t="s">
        <v>102</v>
      </c>
      <c r="B77" s="7" t="s">
        <v>804</v>
      </c>
      <c r="C77" s="7">
        <v>44728</v>
      </c>
      <c r="D77" s="7">
        <v>44739</v>
      </c>
      <c r="E77" s="7" t="s">
        <v>13</v>
      </c>
      <c r="F77" s="7" t="s">
        <v>33</v>
      </c>
      <c r="G77" s="7">
        <v>141</v>
      </c>
      <c r="H77" s="7">
        <v>64.150000000000006</v>
      </c>
      <c r="I77" s="7">
        <v>58.32</v>
      </c>
      <c r="J77" s="7"/>
      <c r="K77" s="7" t="s">
        <v>15</v>
      </c>
      <c r="L77" s="7">
        <v>11</v>
      </c>
      <c r="M77" s="7">
        <v>11</v>
      </c>
      <c r="N77" s="7">
        <v>0</v>
      </c>
      <c r="O77" s="7" t="s">
        <v>822</v>
      </c>
      <c r="P77" s="7">
        <v>1</v>
      </c>
      <c r="Q77" s="7">
        <v>9045.1500000000015</v>
      </c>
      <c r="R77" s="7">
        <v>8223.1200000000008</v>
      </c>
      <c r="S77" s="7">
        <v>822.03000000000065</v>
      </c>
      <c r="T77" s="7" t="s">
        <v>823</v>
      </c>
      <c r="U77" s="7"/>
    </row>
    <row r="78" spans="1:21" x14ac:dyDescent="0.25">
      <c r="A78" s="7" t="s">
        <v>103</v>
      </c>
      <c r="B78" s="7" t="s">
        <v>804</v>
      </c>
      <c r="C78" s="7">
        <v>44941</v>
      </c>
      <c r="D78" s="7">
        <v>44961</v>
      </c>
      <c r="E78" s="7" t="s">
        <v>13</v>
      </c>
      <c r="F78" s="7" t="s">
        <v>18</v>
      </c>
      <c r="G78" s="7">
        <v>1440</v>
      </c>
      <c r="H78" s="7">
        <v>96.57</v>
      </c>
      <c r="I78" s="7">
        <v>83.87</v>
      </c>
      <c r="J78" s="7">
        <v>36</v>
      </c>
      <c r="K78" s="7" t="s">
        <v>15</v>
      </c>
      <c r="L78" s="7">
        <v>20</v>
      </c>
      <c r="M78" s="7">
        <v>11</v>
      </c>
      <c r="N78" s="7">
        <v>9</v>
      </c>
      <c r="O78" s="7" t="s">
        <v>824</v>
      </c>
      <c r="P78" s="7">
        <v>0</v>
      </c>
      <c r="Q78" s="7">
        <v>139060.79999999999</v>
      </c>
      <c r="R78" s="7">
        <v>120772.8</v>
      </c>
      <c r="S78" s="7">
        <v>18287.999999999985</v>
      </c>
      <c r="T78" s="7" t="s">
        <v>825</v>
      </c>
      <c r="U78" s="7"/>
    </row>
    <row r="79" spans="1:21" x14ac:dyDescent="0.25">
      <c r="A79" s="7" t="s">
        <v>104</v>
      </c>
      <c r="B79" s="7" t="s">
        <v>805</v>
      </c>
      <c r="C79" s="7">
        <v>44925</v>
      </c>
      <c r="D79" s="7">
        <v>44929</v>
      </c>
      <c r="E79" s="7" t="s">
        <v>26</v>
      </c>
      <c r="F79" s="7" t="s">
        <v>18</v>
      </c>
      <c r="G79" s="7">
        <v>1005</v>
      </c>
      <c r="H79" s="7">
        <v>14.87</v>
      </c>
      <c r="I79" s="7">
        <v>12.79</v>
      </c>
      <c r="J79" s="7"/>
      <c r="K79" s="7" t="s">
        <v>27</v>
      </c>
      <c r="L79" s="7">
        <v>4</v>
      </c>
      <c r="M79" s="7">
        <v>11</v>
      </c>
      <c r="N79" s="7">
        <v>0</v>
      </c>
      <c r="O79" s="7" t="s">
        <v>822</v>
      </c>
      <c r="P79" s="7">
        <v>1</v>
      </c>
      <c r="Q79" s="7">
        <v>14944.349999999999</v>
      </c>
      <c r="R79" s="7">
        <v>12853.949999999999</v>
      </c>
      <c r="S79" s="7">
        <v>2090.3999999999996</v>
      </c>
      <c r="T79" s="7" t="s">
        <v>823</v>
      </c>
      <c r="U79" s="7"/>
    </row>
    <row r="80" spans="1:21" x14ac:dyDescent="0.25">
      <c r="A80" s="7" t="s">
        <v>105</v>
      </c>
      <c r="B80" s="7" t="s">
        <v>804</v>
      </c>
      <c r="C80" s="7">
        <v>44776</v>
      </c>
      <c r="D80" s="7">
        <v>44787</v>
      </c>
      <c r="E80" s="7" t="s">
        <v>21</v>
      </c>
      <c r="F80" s="7" t="s">
        <v>18</v>
      </c>
      <c r="G80" s="7">
        <v>1528</v>
      </c>
      <c r="H80" s="7">
        <v>36.520000000000003</v>
      </c>
      <c r="I80" s="7">
        <v>33</v>
      </c>
      <c r="J80" s="7">
        <v>31</v>
      </c>
      <c r="K80" s="7" t="s">
        <v>27</v>
      </c>
      <c r="L80" s="7">
        <v>11</v>
      </c>
      <c r="M80" s="7">
        <v>11</v>
      </c>
      <c r="N80" s="7">
        <v>0</v>
      </c>
      <c r="O80" s="7" t="s">
        <v>824</v>
      </c>
      <c r="P80" s="7">
        <v>0</v>
      </c>
      <c r="Q80" s="7">
        <v>55802.560000000005</v>
      </c>
      <c r="R80" s="7">
        <v>50424</v>
      </c>
      <c r="S80" s="7">
        <v>5378.5600000000049</v>
      </c>
      <c r="T80" s="7" t="s">
        <v>823</v>
      </c>
      <c r="U80" s="7"/>
    </row>
    <row r="81" spans="1:21" x14ac:dyDescent="0.25">
      <c r="A81" s="7" t="s">
        <v>106</v>
      </c>
      <c r="B81" s="7" t="s">
        <v>806</v>
      </c>
      <c r="C81" s="7">
        <v>45248</v>
      </c>
      <c r="D81" s="7">
        <v>45255</v>
      </c>
      <c r="E81" s="7" t="s">
        <v>21</v>
      </c>
      <c r="F81" s="7" t="s">
        <v>18</v>
      </c>
      <c r="G81" s="7">
        <v>1501</v>
      </c>
      <c r="H81" s="7">
        <v>106.05</v>
      </c>
      <c r="I81" s="7">
        <v>100.99</v>
      </c>
      <c r="J81" s="7">
        <v>77</v>
      </c>
      <c r="K81" s="7" t="s">
        <v>27</v>
      </c>
      <c r="L81" s="7">
        <v>7</v>
      </c>
      <c r="M81" s="7">
        <v>11</v>
      </c>
      <c r="N81" s="7">
        <v>0</v>
      </c>
      <c r="O81" s="7" t="s">
        <v>824</v>
      </c>
      <c r="P81" s="7">
        <v>0</v>
      </c>
      <c r="Q81" s="7">
        <v>159181.04999999999</v>
      </c>
      <c r="R81" s="7">
        <v>151585.99</v>
      </c>
      <c r="S81" s="7">
        <v>7595.0599999999977</v>
      </c>
      <c r="T81" s="7" t="s">
        <v>823</v>
      </c>
      <c r="U81" s="7"/>
    </row>
    <row r="82" spans="1:21" x14ac:dyDescent="0.25">
      <c r="A82" s="7" t="s">
        <v>107</v>
      </c>
      <c r="B82" s="7" t="s">
        <v>805</v>
      </c>
      <c r="C82" s="7">
        <v>44835</v>
      </c>
      <c r="D82" s="7">
        <v>44838</v>
      </c>
      <c r="E82" s="7" t="s">
        <v>24</v>
      </c>
      <c r="F82" s="7" t="s">
        <v>18</v>
      </c>
      <c r="G82" s="7">
        <v>558</v>
      </c>
      <c r="H82" s="7">
        <v>94.18</v>
      </c>
      <c r="I82" s="7">
        <v>81.400000000000006</v>
      </c>
      <c r="J82" s="7"/>
      <c r="K82" s="7" t="s">
        <v>27</v>
      </c>
      <c r="L82" s="7">
        <v>3</v>
      </c>
      <c r="M82" s="7">
        <v>11</v>
      </c>
      <c r="N82" s="7">
        <v>0</v>
      </c>
      <c r="O82" s="7" t="s">
        <v>822</v>
      </c>
      <c r="P82" s="7">
        <v>1</v>
      </c>
      <c r="Q82" s="7">
        <v>52552.44</v>
      </c>
      <c r="R82" s="7">
        <v>45421.200000000004</v>
      </c>
      <c r="S82" s="7">
        <v>7131.239999999998</v>
      </c>
      <c r="T82" s="7" t="s">
        <v>823</v>
      </c>
      <c r="U82" s="7"/>
    </row>
    <row r="83" spans="1:21" x14ac:dyDescent="0.25">
      <c r="A83" s="7" t="s">
        <v>108</v>
      </c>
      <c r="B83" s="7" t="s">
        <v>807</v>
      </c>
      <c r="C83" s="7">
        <v>45280</v>
      </c>
      <c r="D83" s="7">
        <v>45286</v>
      </c>
      <c r="E83" s="7" t="s">
        <v>21</v>
      </c>
      <c r="F83" s="7" t="s">
        <v>18</v>
      </c>
      <c r="G83" s="7">
        <v>825</v>
      </c>
      <c r="H83" s="7">
        <v>56.88</v>
      </c>
      <c r="I83" s="7">
        <v>50.84</v>
      </c>
      <c r="J83" s="7"/>
      <c r="K83" s="7" t="s">
        <v>15</v>
      </c>
      <c r="L83" s="7">
        <v>6</v>
      </c>
      <c r="M83" s="7">
        <v>11</v>
      </c>
      <c r="N83" s="7">
        <v>0</v>
      </c>
      <c r="O83" s="7" t="s">
        <v>822</v>
      </c>
      <c r="P83" s="7">
        <v>1</v>
      </c>
      <c r="Q83" s="7">
        <v>46926</v>
      </c>
      <c r="R83" s="7">
        <v>41943</v>
      </c>
      <c r="S83" s="7">
        <v>4983</v>
      </c>
      <c r="T83" s="7" t="s">
        <v>823</v>
      </c>
      <c r="U83" s="7"/>
    </row>
    <row r="84" spans="1:21" x14ac:dyDescent="0.25">
      <c r="A84" s="7" t="s">
        <v>109</v>
      </c>
      <c r="B84" s="7" t="s">
        <v>807</v>
      </c>
      <c r="C84" s="7">
        <v>45261</v>
      </c>
      <c r="D84" s="7">
        <v>45267</v>
      </c>
      <c r="E84" s="7" t="s">
        <v>39</v>
      </c>
      <c r="F84" s="7" t="s">
        <v>14</v>
      </c>
      <c r="G84" s="7">
        <v>84</v>
      </c>
      <c r="H84" s="7">
        <v>73.38</v>
      </c>
      <c r="I84" s="7">
        <v>71.42</v>
      </c>
      <c r="J84" s="7">
        <v>9</v>
      </c>
      <c r="K84" s="7" t="s">
        <v>15</v>
      </c>
      <c r="L84" s="7">
        <v>6</v>
      </c>
      <c r="M84" s="7">
        <v>11</v>
      </c>
      <c r="N84" s="7">
        <v>0</v>
      </c>
      <c r="O84" s="7" t="s">
        <v>824</v>
      </c>
      <c r="P84" s="7">
        <v>0</v>
      </c>
      <c r="Q84" s="7">
        <v>6163.92</v>
      </c>
      <c r="R84" s="7">
        <v>5999.28</v>
      </c>
      <c r="S84" s="7">
        <v>164.64000000000033</v>
      </c>
      <c r="T84" s="7" t="s">
        <v>823</v>
      </c>
      <c r="U84" s="7"/>
    </row>
    <row r="85" spans="1:21" x14ac:dyDescent="0.25">
      <c r="A85" s="7" t="s">
        <v>110</v>
      </c>
      <c r="B85" s="7" t="s">
        <v>805</v>
      </c>
      <c r="C85" s="7">
        <v>45225</v>
      </c>
      <c r="D85" s="7">
        <v>45240</v>
      </c>
      <c r="E85" s="7" t="s">
        <v>26</v>
      </c>
      <c r="F85" s="7" t="s">
        <v>18</v>
      </c>
      <c r="G85" s="7">
        <v>255</v>
      </c>
      <c r="H85" s="7">
        <v>38.64</v>
      </c>
      <c r="I85" s="7">
        <v>33.590000000000003</v>
      </c>
      <c r="J85" s="7">
        <v>27</v>
      </c>
      <c r="K85" s="7" t="s">
        <v>27</v>
      </c>
      <c r="L85" s="7">
        <v>15</v>
      </c>
      <c r="M85" s="7">
        <v>11</v>
      </c>
      <c r="N85" s="7">
        <v>4</v>
      </c>
      <c r="O85" s="7" t="s">
        <v>824</v>
      </c>
      <c r="P85" s="7">
        <v>0</v>
      </c>
      <c r="Q85" s="7">
        <v>9853.2000000000007</v>
      </c>
      <c r="R85" s="7">
        <v>8565.4500000000007</v>
      </c>
      <c r="S85" s="7">
        <v>1287.75</v>
      </c>
      <c r="T85" s="7" t="s">
        <v>826</v>
      </c>
      <c r="U85" s="7"/>
    </row>
    <row r="86" spans="1:21" x14ac:dyDescent="0.25">
      <c r="A86" s="7" t="s">
        <v>111</v>
      </c>
      <c r="B86" s="7" t="s">
        <v>806</v>
      </c>
      <c r="C86" s="7">
        <v>44635</v>
      </c>
      <c r="D86" s="7">
        <v>44651</v>
      </c>
      <c r="E86" s="7" t="s">
        <v>21</v>
      </c>
      <c r="F86" s="7" t="s">
        <v>18</v>
      </c>
      <c r="G86" s="7">
        <v>1154</v>
      </c>
      <c r="H86" s="7">
        <v>27.2</v>
      </c>
      <c r="I86" s="7">
        <v>26.07</v>
      </c>
      <c r="J86" s="7">
        <v>58</v>
      </c>
      <c r="K86" s="7" t="s">
        <v>15</v>
      </c>
      <c r="L86" s="7">
        <v>16</v>
      </c>
      <c r="M86" s="7">
        <v>11</v>
      </c>
      <c r="N86" s="7">
        <v>5</v>
      </c>
      <c r="O86" s="7" t="s">
        <v>824</v>
      </c>
      <c r="P86" s="7">
        <v>0</v>
      </c>
      <c r="Q86" s="7">
        <v>31388.799999999999</v>
      </c>
      <c r="R86" s="7">
        <v>30084.78</v>
      </c>
      <c r="S86" s="7">
        <v>1304.0200000000004</v>
      </c>
      <c r="T86" s="7" t="s">
        <v>825</v>
      </c>
      <c r="U86" s="7"/>
    </row>
    <row r="87" spans="1:21" x14ac:dyDescent="0.25">
      <c r="A87" s="7" t="s">
        <v>112</v>
      </c>
      <c r="B87" s="7" t="s">
        <v>805</v>
      </c>
      <c r="C87" s="7">
        <v>45185</v>
      </c>
      <c r="D87" s="7">
        <v>45193</v>
      </c>
      <c r="E87" s="7" t="s">
        <v>13</v>
      </c>
      <c r="F87" s="7" t="s">
        <v>18</v>
      </c>
      <c r="G87" s="7">
        <v>1635</v>
      </c>
      <c r="H87" s="7">
        <v>56.91</v>
      </c>
      <c r="I87" s="7">
        <v>54.37</v>
      </c>
      <c r="J87" s="7">
        <v>262</v>
      </c>
      <c r="K87" s="7" t="s">
        <v>27</v>
      </c>
      <c r="L87" s="7">
        <v>8</v>
      </c>
      <c r="M87" s="7">
        <v>11</v>
      </c>
      <c r="N87" s="7">
        <v>0</v>
      </c>
      <c r="O87" s="7" t="s">
        <v>824</v>
      </c>
      <c r="P87" s="7">
        <v>0</v>
      </c>
      <c r="Q87" s="7">
        <v>93047.849999999991</v>
      </c>
      <c r="R87" s="7">
        <v>88894.95</v>
      </c>
      <c r="S87" s="7">
        <v>4152.8999999999942</v>
      </c>
      <c r="T87" s="7" t="s">
        <v>823</v>
      </c>
      <c r="U87" s="7"/>
    </row>
    <row r="88" spans="1:21" x14ac:dyDescent="0.25">
      <c r="A88" s="7" t="s">
        <v>113</v>
      </c>
      <c r="B88" s="7" t="s">
        <v>805</v>
      </c>
      <c r="C88" s="7">
        <v>45212</v>
      </c>
      <c r="D88" s="7">
        <v>45222</v>
      </c>
      <c r="E88" s="7" t="s">
        <v>26</v>
      </c>
      <c r="F88" s="7" t="s">
        <v>18</v>
      </c>
      <c r="G88" s="7">
        <v>1945</v>
      </c>
      <c r="H88" s="7">
        <v>46.19</v>
      </c>
      <c r="I88" s="7">
        <v>40.119999999999997</v>
      </c>
      <c r="J88" s="7">
        <v>278</v>
      </c>
      <c r="K88" s="7" t="s">
        <v>27</v>
      </c>
      <c r="L88" s="7">
        <v>10</v>
      </c>
      <c r="M88" s="7">
        <v>11</v>
      </c>
      <c r="N88" s="7">
        <v>0</v>
      </c>
      <c r="O88" s="7" t="s">
        <v>824</v>
      </c>
      <c r="P88" s="7">
        <v>0</v>
      </c>
      <c r="Q88" s="7">
        <v>89839.549999999988</v>
      </c>
      <c r="R88" s="7">
        <v>78033.399999999994</v>
      </c>
      <c r="S88" s="7">
        <v>11806.149999999994</v>
      </c>
      <c r="T88" s="7" t="s">
        <v>823</v>
      </c>
      <c r="U88" s="7"/>
    </row>
    <row r="89" spans="1:21" x14ac:dyDescent="0.25">
      <c r="A89" s="7" t="s">
        <v>114</v>
      </c>
      <c r="B89" s="7" t="s">
        <v>805</v>
      </c>
      <c r="C89" s="7">
        <v>44737</v>
      </c>
      <c r="D89" s="7">
        <v>44752</v>
      </c>
      <c r="E89" s="7" t="s">
        <v>21</v>
      </c>
      <c r="F89" s="7" t="s">
        <v>33</v>
      </c>
      <c r="G89" s="7">
        <v>1461</v>
      </c>
      <c r="H89" s="7">
        <v>64.09</v>
      </c>
      <c r="I89" s="7">
        <v>63.39</v>
      </c>
      <c r="J89" s="7">
        <v>228</v>
      </c>
      <c r="K89" s="7" t="s">
        <v>27</v>
      </c>
      <c r="L89" s="7">
        <v>15</v>
      </c>
      <c r="M89" s="7">
        <v>11</v>
      </c>
      <c r="N89" s="7">
        <v>4</v>
      </c>
      <c r="O89" s="7" t="s">
        <v>824</v>
      </c>
      <c r="P89" s="7">
        <v>0</v>
      </c>
      <c r="Q89" s="7">
        <v>93635.49</v>
      </c>
      <c r="R89" s="7">
        <v>92612.79</v>
      </c>
      <c r="S89" s="7">
        <v>1022.7000000000116</v>
      </c>
      <c r="T89" s="7" t="s">
        <v>826</v>
      </c>
      <c r="U89" s="7"/>
    </row>
    <row r="90" spans="1:21" x14ac:dyDescent="0.25">
      <c r="A90" s="7" t="s">
        <v>115</v>
      </c>
      <c r="B90" s="7" t="s">
        <v>805</v>
      </c>
      <c r="C90" s="7">
        <v>45108</v>
      </c>
      <c r="D90" s="7">
        <v>45116</v>
      </c>
      <c r="E90" s="7" t="s">
        <v>39</v>
      </c>
      <c r="F90" s="7" t="s">
        <v>18</v>
      </c>
      <c r="G90" s="7">
        <v>1075</v>
      </c>
      <c r="H90" s="7">
        <v>18.53</v>
      </c>
      <c r="I90" s="7">
        <v>16.12</v>
      </c>
      <c r="J90" s="7">
        <v>147</v>
      </c>
      <c r="K90" s="7" t="s">
        <v>15</v>
      </c>
      <c r="L90" s="7">
        <v>8</v>
      </c>
      <c r="M90" s="7">
        <v>11</v>
      </c>
      <c r="N90" s="7">
        <v>0</v>
      </c>
      <c r="O90" s="7" t="s">
        <v>824</v>
      </c>
      <c r="P90" s="7">
        <v>0</v>
      </c>
      <c r="Q90" s="7">
        <v>19919.75</v>
      </c>
      <c r="R90" s="7">
        <v>17329</v>
      </c>
      <c r="S90" s="7">
        <v>2590.75</v>
      </c>
      <c r="T90" s="7" t="s">
        <v>823</v>
      </c>
      <c r="U90" s="7"/>
    </row>
    <row r="91" spans="1:21" x14ac:dyDescent="0.25">
      <c r="A91" s="7" t="s">
        <v>116</v>
      </c>
      <c r="B91" s="7" t="s">
        <v>804</v>
      </c>
      <c r="C91" s="7">
        <v>44812</v>
      </c>
      <c r="D91" s="7">
        <v>44823</v>
      </c>
      <c r="E91" s="7" t="s">
        <v>24</v>
      </c>
      <c r="F91" s="7" t="s">
        <v>18</v>
      </c>
      <c r="G91" s="7">
        <v>1071</v>
      </c>
      <c r="H91" s="7">
        <v>101.6</v>
      </c>
      <c r="I91" s="7">
        <v>93.91</v>
      </c>
      <c r="J91" s="7">
        <v>25</v>
      </c>
      <c r="K91" s="7" t="s">
        <v>15</v>
      </c>
      <c r="L91" s="7">
        <v>11</v>
      </c>
      <c r="M91" s="7">
        <v>11</v>
      </c>
      <c r="N91" s="7">
        <v>0</v>
      </c>
      <c r="O91" s="7" t="s">
        <v>824</v>
      </c>
      <c r="P91" s="7">
        <v>0</v>
      </c>
      <c r="Q91" s="7">
        <v>108813.59999999999</v>
      </c>
      <c r="R91" s="7">
        <v>100577.61</v>
      </c>
      <c r="S91" s="7">
        <v>8235.9899999999907</v>
      </c>
      <c r="T91" s="7" t="s">
        <v>823</v>
      </c>
      <c r="U91" s="7"/>
    </row>
    <row r="92" spans="1:21" x14ac:dyDescent="0.25">
      <c r="A92" s="7" t="s">
        <v>117</v>
      </c>
      <c r="B92" s="7" t="s">
        <v>808</v>
      </c>
      <c r="C92" s="7">
        <v>44729</v>
      </c>
      <c r="D92" s="7">
        <v>44748</v>
      </c>
      <c r="E92" s="7" t="s">
        <v>24</v>
      </c>
      <c r="F92" s="7" t="s">
        <v>35</v>
      </c>
      <c r="G92" s="7">
        <v>1463</v>
      </c>
      <c r="H92" s="7">
        <v>101.23</v>
      </c>
      <c r="I92" s="7">
        <v>86.17</v>
      </c>
      <c r="J92" s="7">
        <v>43</v>
      </c>
      <c r="K92" s="7" t="s">
        <v>15</v>
      </c>
      <c r="L92" s="7">
        <v>19</v>
      </c>
      <c r="M92" s="7">
        <v>11</v>
      </c>
      <c r="N92" s="7">
        <v>8</v>
      </c>
      <c r="O92" s="7" t="s">
        <v>824</v>
      </c>
      <c r="P92" s="7">
        <v>0</v>
      </c>
      <c r="Q92" s="7">
        <v>148099.49000000002</v>
      </c>
      <c r="R92" s="7">
        <v>126066.71</v>
      </c>
      <c r="S92" s="7">
        <v>22032.780000000013</v>
      </c>
      <c r="T92" s="7" t="s">
        <v>825</v>
      </c>
      <c r="U92" s="7"/>
    </row>
    <row r="93" spans="1:21" x14ac:dyDescent="0.25">
      <c r="A93" s="7" t="s">
        <v>118</v>
      </c>
      <c r="B93" s="7" t="s">
        <v>807</v>
      </c>
      <c r="C93" s="7">
        <v>45035</v>
      </c>
      <c r="D93" s="7">
        <v>45042</v>
      </c>
      <c r="E93" s="7" t="s">
        <v>26</v>
      </c>
      <c r="F93" s="7" t="s">
        <v>18</v>
      </c>
      <c r="G93" s="7">
        <v>615</v>
      </c>
      <c r="H93" s="7">
        <v>78.3</v>
      </c>
      <c r="I93" s="7">
        <v>73.680000000000007</v>
      </c>
      <c r="J93" s="7">
        <v>69</v>
      </c>
      <c r="K93" s="7" t="s">
        <v>15</v>
      </c>
      <c r="L93" s="7">
        <v>7</v>
      </c>
      <c r="M93" s="7">
        <v>11</v>
      </c>
      <c r="N93" s="7">
        <v>0</v>
      </c>
      <c r="O93" s="7" t="s">
        <v>824</v>
      </c>
      <c r="P93" s="7">
        <v>0</v>
      </c>
      <c r="Q93" s="7">
        <v>48154.5</v>
      </c>
      <c r="R93" s="7">
        <v>45313.200000000004</v>
      </c>
      <c r="S93" s="7">
        <v>2841.2999999999956</v>
      </c>
      <c r="T93" s="7" t="s">
        <v>823</v>
      </c>
      <c r="U93" s="7"/>
    </row>
    <row r="94" spans="1:21" x14ac:dyDescent="0.25">
      <c r="A94" s="7" t="s">
        <v>119</v>
      </c>
      <c r="B94" s="7" t="s">
        <v>806</v>
      </c>
      <c r="C94" s="7">
        <v>44950</v>
      </c>
      <c r="D94" s="7">
        <v>44968</v>
      </c>
      <c r="E94" s="7" t="s">
        <v>39</v>
      </c>
      <c r="F94" s="7" t="s">
        <v>18</v>
      </c>
      <c r="G94" s="7">
        <v>1179</v>
      </c>
      <c r="H94" s="7">
        <v>61.74</v>
      </c>
      <c r="I94" s="7">
        <v>56.28</v>
      </c>
      <c r="J94" s="7"/>
      <c r="K94" s="7" t="s">
        <v>15</v>
      </c>
      <c r="L94" s="7">
        <v>18</v>
      </c>
      <c r="M94" s="7">
        <v>11</v>
      </c>
      <c r="N94" s="7">
        <v>7</v>
      </c>
      <c r="O94" s="7" t="s">
        <v>824</v>
      </c>
      <c r="P94" s="7">
        <v>0</v>
      </c>
      <c r="Q94" s="7">
        <v>72791.460000000006</v>
      </c>
      <c r="R94" s="7">
        <v>66354.12</v>
      </c>
      <c r="S94" s="7">
        <v>6437.3400000000111</v>
      </c>
      <c r="T94" s="7" t="s">
        <v>825</v>
      </c>
      <c r="U94" s="7"/>
    </row>
    <row r="95" spans="1:21" x14ac:dyDescent="0.25">
      <c r="A95" s="7" t="s">
        <v>120</v>
      </c>
      <c r="B95" s="7" t="s">
        <v>804</v>
      </c>
      <c r="C95" s="7">
        <v>44838</v>
      </c>
      <c r="D95" s="7">
        <v>44843</v>
      </c>
      <c r="E95" s="7" t="s">
        <v>39</v>
      </c>
      <c r="F95" s="7" t="s">
        <v>33</v>
      </c>
      <c r="G95" s="7">
        <v>1845</v>
      </c>
      <c r="H95" s="7">
        <v>39.56</v>
      </c>
      <c r="I95" s="7">
        <v>37.630000000000003</v>
      </c>
      <c r="J95" s="7">
        <v>45</v>
      </c>
      <c r="K95" s="7" t="s">
        <v>15</v>
      </c>
      <c r="L95" s="7">
        <v>5</v>
      </c>
      <c r="M95" s="7">
        <v>11</v>
      </c>
      <c r="N95" s="7">
        <v>0</v>
      </c>
      <c r="O95" s="7" t="s">
        <v>824</v>
      </c>
      <c r="P95" s="7">
        <v>0</v>
      </c>
      <c r="Q95" s="7">
        <v>72988.2</v>
      </c>
      <c r="R95" s="7">
        <v>69427.350000000006</v>
      </c>
      <c r="S95" s="7">
        <v>3560.8499999999913</v>
      </c>
      <c r="T95" s="7" t="s">
        <v>823</v>
      </c>
      <c r="U95" s="7"/>
    </row>
    <row r="96" spans="1:21" x14ac:dyDescent="0.25">
      <c r="A96" s="7" t="s">
        <v>121</v>
      </c>
      <c r="B96" s="7" t="s">
        <v>807</v>
      </c>
      <c r="C96" s="7">
        <v>45217</v>
      </c>
      <c r="D96" s="7">
        <v>45228</v>
      </c>
      <c r="E96" s="7" t="s">
        <v>39</v>
      </c>
      <c r="F96" s="7" t="s">
        <v>14</v>
      </c>
      <c r="G96" s="7">
        <v>1895</v>
      </c>
      <c r="H96" s="7">
        <v>91.98</v>
      </c>
      <c r="I96" s="7">
        <v>86.27</v>
      </c>
      <c r="J96" s="7">
        <v>170</v>
      </c>
      <c r="K96" s="7" t="s">
        <v>15</v>
      </c>
      <c r="L96" s="7">
        <v>11</v>
      </c>
      <c r="M96" s="7">
        <v>11</v>
      </c>
      <c r="N96" s="7">
        <v>0</v>
      </c>
      <c r="O96" s="7" t="s">
        <v>824</v>
      </c>
      <c r="P96" s="7">
        <v>0</v>
      </c>
      <c r="Q96" s="7">
        <v>174302.1</v>
      </c>
      <c r="R96" s="7">
        <v>163481.65</v>
      </c>
      <c r="S96" s="7">
        <v>10820.450000000012</v>
      </c>
      <c r="T96" s="7" t="s">
        <v>823</v>
      </c>
      <c r="U96" s="7"/>
    </row>
    <row r="97" spans="1:21" x14ac:dyDescent="0.25">
      <c r="A97" s="7" t="s">
        <v>122</v>
      </c>
      <c r="B97" s="7" t="s">
        <v>808</v>
      </c>
      <c r="C97" s="7">
        <v>45266</v>
      </c>
      <c r="D97" s="7">
        <v>45269</v>
      </c>
      <c r="E97" s="7" t="s">
        <v>21</v>
      </c>
      <c r="F97" s="7" t="s">
        <v>33</v>
      </c>
      <c r="G97" s="7">
        <v>1550</v>
      </c>
      <c r="H97" s="7">
        <v>79.86</v>
      </c>
      <c r="I97" s="7">
        <v>69.569999999999993</v>
      </c>
      <c r="J97" s="7">
        <v>32</v>
      </c>
      <c r="K97" s="7" t="s">
        <v>27</v>
      </c>
      <c r="L97" s="7">
        <v>3</v>
      </c>
      <c r="M97" s="7">
        <v>11</v>
      </c>
      <c r="N97" s="7">
        <v>0</v>
      </c>
      <c r="O97" s="7" t="s">
        <v>824</v>
      </c>
      <c r="P97" s="7">
        <v>0</v>
      </c>
      <c r="Q97" s="7">
        <v>123783</v>
      </c>
      <c r="R97" s="7">
        <v>107833.49999999999</v>
      </c>
      <c r="S97" s="7">
        <v>15949.500000000015</v>
      </c>
      <c r="T97" s="7" t="s">
        <v>823</v>
      </c>
      <c r="U97" s="7"/>
    </row>
    <row r="98" spans="1:21" x14ac:dyDescent="0.25">
      <c r="A98" s="7" t="s">
        <v>123</v>
      </c>
      <c r="B98" s="7" t="s">
        <v>805</v>
      </c>
      <c r="C98" s="7">
        <v>45132</v>
      </c>
      <c r="D98" s="7">
        <v>45142</v>
      </c>
      <c r="E98" s="7" t="s">
        <v>24</v>
      </c>
      <c r="F98" s="7" t="s">
        <v>18</v>
      </c>
      <c r="G98" s="7">
        <v>752</v>
      </c>
      <c r="H98" s="7">
        <v>26.85</v>
      </c>
      <c r="I98" s="7">
        <v>24.37</v>
      </c>
      <c r="J98" s="7"/>
      <c r="K98" s="7" t="s">
        <v>27</v>
      </c>
      <c r="L98" s="7">
        <v>10</v>
      </c>
      <c r="M98" s="7">
        <v>11</v>
      </c>
      <c r="N98" s="7">
        <v>0</v>
      </c>
      <c r="O98" s="7" t="s">
        <v>822</v>
      </c>
      <c r="P98" s="7">
        <v>1</v>
      </c>
      <c r="Q98" s="7">
        <v>20191.2</v>
      </c>
      <c r="R98" s="7">
        <v>18326.240000000002</v>
      </c>
      <c r="S98" s="7">
        <v>1864.9599999999991</v>
      </c>
      <c r="T98" s="7" t="s">
        <v>823</v>
      </c>
      <c r="U98" s="7"/>
    </row>
    <row r="99" spans="1:21" x14ac:dyDescent="0.25">
      <c r="A99" s="7" t="s">
        <v>124</v>
      </c>
      <c r="B99" s="7" t="s">
        <v>808</v>
      </c>
      <c r="C99" s="7">
        <v>44786</v>
      </c>
      <c r="D99" s="7">
        <v>44805</v>
      </c>
      <c r="E99" s="7" t="s">
        <v>39</v>
      </c>
      <c r="F99" s="7" t="s">
        <v>18</v>
      </c>
      <c r="G99" s="7">
        <v>451</v>
      </c>
      <c r="H99" s="7">
        <v>95.2</v>
      </c>
      <c r="I99" s="7">
        <v>90.07</v>
      </c>
      <c r="J99" s="7">
        <v>21</v>
      </c>
      <c r="K99" s="7" t="s">
        <v>15</v>
      </c>
      <c r="L99" s="7">
        <v>19</v>
      </c>
      <c r="M99" s="7">
        <v>11</v>
      </c>
      <c r="N99" s="7">
        <v>8</v>
      </c>
      <c r="O99" s="7" t="s">
        <v>824</v>
      </c>
      <c r="P99" s="7">
        <v>0</v>
      </c>
      <c r="Q99" s="7">
        <v>42935.200000000004</v>
      </c>
      <c r="R99" s="7">
        <v>40621.57</v>
      </c>
      <c r="S99" s="7">
        <v>2313.6300000000047</v>
      </c>
      <c r="T99" s="7" t="s">
        <v>825</v>
      </c>
      <c r="U99" s="7"/>
    </row>
    <row r="100" spans="1:21" x14ac:dyDescent="0.25">
      <c r="A100" s="7" t="s">
        <v>125</v>
      </c>
      <c r="B100" s="7" t="s">
        <v>807</v>
      </c>
      <c r="C100" s="7">
        <v>45263</v>
      </c>
      <c r="D100" s="7">
        <v>45274</v>
      </c>
      <c r="E100" s="7" t="s">
        <v>13</v>
      </c>
      <c r="F100" s="7" t="s">
        <v>18</v>
      </c>
      <c r="G100" s="7">
        <v>779</v>
      </c>
      <c r="H100" s="7">
        <v>93.69</v>
      </c>
      <c r="I100" s="7">
        <v>90.92</v>
      </c>
      <c r="J100" s="7">
        <v>66</v>
      </c>
      <c r="K100" s="7" t="s">
        <v>15</v>
      </c>
      <c r="L100" s="7">
        <v>11</v>
      </c>
      <c r="M100" s="7">
        <v>11</v>
      </c>
      <c r="N100" s="7">
        <v>0</v>
      </c>
      <c r="O100" s="7" t="s">
        <v>824</v>
      </c>
      <c r="P100" s="7">
        <v>0</v>
      </c>
      <c r="Q100" s="7">
        <v>72984.509999999995</v>
      </c>
      <c r="R100" s="7">
        <v>70826.680000000008</v>
      </c>
      <c r="S100" s="7">
        <v>2157.8299999999872</v>
      </c>
      <c r="T100" s="7" t="s">
        <v>823</v>
      </c>
      <c r="U100" s="7"/>
    </row>
    <row r="101" spans="1:21" x14ac:dyDescent="0.25">
      <c r="A101" s="7" t="s">
        <v>126</v>
      </c>
      <c r="B101" s="7" t="s">
        <v>807</v>
      </c>
      <c r="C101" s="7">
        <v>44894</v>
      </c>
      <c r="D101" s="7">
        <v>44909</v>
      </c>
      <c r="E101" s="7" t="s">
        <v>21</v>
      </c>
      <c r="F101" s="7" t="s">
        <v>35</v>
      </c>
      <c r="G101" s="7">
        <v>1629</v>
      </c>
      <c r="H101" s="7">
        <v>100.26</v>
      </c>
      <c r="I101" s="7">
        <v>86.44</v>
      </c>
      <c r="J101" s="7">
        <v>187</v>
      </c>
      <c r="K101" s="7" t="s">
        <v>27</v>
      </c>
      <c r="L101" s="7">
        <v>15</v>
      </c>
      <c r="M101" s="7">
        <v>11</v>
      </c>
      <c r="N101" s="7">
        <v>4</v>
      </c>
      <c r="O101" s="7" t="s">
        <v>824</v>
      </c>
      <c r="P101" s="7">
        <v>0</v>
      </c>
      <c r="Q101" s="7">
        <v>163323.54</v>
      </c>
      <c r="R101" s="7">
        <v>140810.76</v>
      </c>
      <c r="S101" s="7">
        <v>22512.78</v>
      </c>
      <c r="T101" s="7" t="s">
        <v>826</v>
      </c>
      <c r="U101" s="7"/>
    </row>
    <row r="102" spans="1:21" x14ac:dyDescent="0.25">
      <c r="A102" s="7" t="s">
        <v>127</v>
      </c>
      <c r="B102" s="7" t="s">
        <v>804</v>
      </c>
      <c r="C102" s="7">
        <v>44614</v>
      </c>
      <c r="D102" s="7">
        <v>44619</v>
      </c>
      <c r="E102" s="7" t="s">
        <v>13</v>
      </c>
      <c r="F102" s="7" t="s">
        <v>18</v>
      </c>
      <c r="G102" s="7">
        <v>211</v>
      </c>
      <c r="H102" s="7">
        <v>75.69</v>
      </c>
      <c r="I102" s="7">
        <v>65.400000000000006</v>
      </c>
      <c r="J102" s="7">
        <v>2</v>
      </c>
      <c r="K102" s="7" t="s">
        <v>15</v>
      </c>
      <c r="L102" s="7">
        <v>5</v>
      </c>
      <c r="M102" s="7">
        <v>11</v>
      </c>
      <c r="N102" s="7">
        <v>0</v>
      </c>
      <c r="O102" s="7" t="s">
        <v>824</v>
      </c>
      <c r="P102" s="7">
        <v>0</v>
      </c>
      <c r="Q102" s="7">
        <v>15970.59</v>
      </c>
      <c r="R102" s="7">
        <v>13799.400000000001</v>
      </c>
      <c r="S102" s="7">
        <v>2171.1899999999987</v>
      </c>
      <c r="T102" s="7" t="s">
        <v>823</v>
      </c>
      <c r="U102" s="7" t="s">
        <v>815</v>
      </c>
    </row>
    <row r="103" spans="1:21" x14ac:dyDescent="0.25">
      <c r="A103" s="7" t="s">
        <v>128</v>
      </c>
      <c r="B103" s="7" t="s">
        <v>804</v>
      </c>
      <c r="C103" s="7">
        <v>44796</v>
      </c>
      <c r="D103" s="7">
        <v>44807</v>
      </c>
      <c r="E103" s="7" t="s">
        <v>13</v>
      </c>
      <c r="F103" s="7" t="s">
        <v>18</v>
      </c>
      <c r="G103" s="7">
        <v>251</v>
      </c>
      <c r="H103" s="7">
        <v>67.489999999999995</v>
      </c>
      <c r="I103" s="7">
        <v>64.48</v>
      </c>
      <c r="J103" s="7">
        <v>2</v>
      </c>
      <c r="K103" s="7" t="s">
        <v>15</v>
      </c>
      <c r="L103" s="7">
        <v>11</v>
      </c>
      <c r="M103" s="7">
        <v>11</v>
      </c>
      <c r="N103" s="7">
        <v>0</v>
      </c>
      <c r="O103" s="7" t="s">
        <v>824</v>
      </c>
      <c r="P103" s="7">
        <v>0</v>
      </c>
      <c r="Q103" s="7">
        <v>16939.989999999998</v>
      </c>
      <c r="R103" s="7">
        <v>16184.480000000001</v>
      </c>
      <c r="S103" s="7">
        <v>755.50999999999658</v>
      </c>
      <c r="T103" s="7" t="s">
        <v>823</v>
      </c>
      <c r="U103" s="7"/>
    </row>
    <row r="104" spans="1:21" x14ac:dyDescent="0.25">
      <c r="A104" s="7" t="s">
        <v>129</v>
      </c>
      <c r="B104" s="7" t="s">
        <v>806</v>
      </c>
      <c r="C104" s="7">
        <v>44594</v>
      </c>
      <c r="D104" s="7">
        <v>44610</v>
      </c>
      <c r="E104" s="7" t="s">
        <v>26</v>
      </c>
      <c r="F104" s="7" t="s">
        <v>18</v>
      </c>
      <c r="G104" s="7">
        <v>1045</v>
      </c>
      <c r="H104" s="7">
        <v>47.88</v>
      </c>
      <c r="I104" s="7">
        <v>44.65</v>
      </c>
      <c r="J104" s="7">
        <v>69</v>
      </c>
      <c r="K104" s="7" t="s">
        <v>15</v>
      </c>
      <c r="L104" s="7">
        <v>16</v>
      </c>
      <c r="M104" s="7">
        <v>11</v>
      </c>
      <c r="N104" s="7">
        <v>5</v>
      </c>
      <c r="O104" s="7" t="s">
        <v>824</v>
      </c>
      <c r="P104" s="7">
        <v>0</v>
      </c>
      <c r="Q104" s="7">
        <v>50034.600000000006</v>
      </c>
      <c r="R104" s="7">
        <v>46659.25</v>
      </c>
      <c r="S104" s="7">
        <v>3375.3500000000058</v>
      </c>
      <c r="T104" s="7" t="s">
        <v>825</v>
      </c>
      <c r="U104" s="7"/>
    </row>
    <row r="105" spans="1:21" x14ac:dyDescent="0.25">
      <c r="A105" s="7" t="s">
        <v>130</v>
      </c>
      <c r="B105" s="7" t="s">
        <v>805</v>
      </c>
      <c r="C105" s="7">
        <v>44885</v>
      </c>
      <c r="D105" s="7">
        <v>44905</v>
      </c>
      <c r="E105" s="7" t="s">
        <v>21</v>
      </c>
      <c r="F105" s="7" t="s">
        <v>18</v>
      </c>
      <c r="G105" s="7">
        <v>319</v>
      </c>
      <c r="H105" s="7">
        <v>98.64</v>
      </c>
      <c r="I105" s="7">
        <v>89.15</v>
      </c>
      <c r="J105" s="7">
        <v>57</v>
      </c>
      <c r="K105" s="7" t="s">
        <v>15</v>
      </c>
      <c r="L105" s="7">
        <v>20</v>
      </c>
      <c r="M105" s="7">
        <v>11</v>
      </c>
      <c r="N105" s="7">
        <v>9</v>
      </c>
      <c r="O105" s="7" t="s">
        <v>824</v>
      </c>
      <c r="P105" s="7">
        <v>0</v>
      </c>
      <c r="Q105" s="7">
        <v>31466.16</v>
      </c>
      <c r="R105" s="7">
        <v>28438.850000000002</v>
      </c>
      <c r="S105" s="7">
        <v>3027.3099999999977</v>
      </c>
      <c r="T105" s="7" t="s">
        <v>825</v>
      </c>
      <c r="U105" s="7"/>
    </row>
    <row r="106" spans="1:21" x14ac:dyDescent="0.25">
      <c r="A106" s="7" t="s">
        <v>131</v>
      </c>
      <c r="B106" s="7" t="s">
        <v>808</v>
      </c>
      <c r="C106" s="7">
        <v>44972</v>
      </c>
      <c r="D106" s="7">
        <v>44986</v>
      </c>
      <c r="E106" s="7" t="s">
        <v>13</v>
      </c>
      <c r="F106" s="7" t="s">
        <v>33</v>
      </c>
      <c r="G106" s="7">
        <v>1936</v>
      </c>
      <c r="H106" s="7">
        <v>93.66</v>
      </c>
      <c r="I106" s="7">
        <v>92.24</v>
      </c>
      <c r="J106" s="7">
        <v>58</v>
      </c>
      <c r="K106" s="7" t="s">
        <v>15</v>
      </c>
      <c r="L106" s="7">
        <v>14</v>
      </c>
      <c r="M106" s="7">
        <v>11</v>
      </c>
      <c r="N106" s="7">
        <v>3</v>
      </c>
      <c r="O106" s="7" t="s">
        <v>824</v>
      </c>
      <c r="P106" s="7">
        <v>0</v>
      </c>
      <c r="Q106" s="7">
        <v>181325.75999999998</v>
      </c>
      <c r="R106" s="7">
        <v>178576.63999999998</v>
      </c>
      <c r="S106" s="7">
        <v>2749.1199999999953</v>
      </c>
      <c r="T106" s="7" t="s">
        <v>826</v>
      </c>
      <c r="U106" s="7"/>
    </row>
    <row r="107" spans="1:21" x14ac:dyDescent="0.25">
      <c r="A107" s="7" t="s">
        <v>132</v>
      </c>
      <c r="B107" s="7" t="s">
        <v>805</v>
      </c>
      <c r="C107" s="7">
        <v>44836</v>
      </c>
      <c r="D107" s="7">
        <v>44856</v>
      </c>
      <c r="E107" s="7" t="s">
        <v>21</v>
      </c>
      <c r="F107" s="7" t="s">
        <v>14</v>
      </c>
      <c r="G107" s="7">
        <v>865</v>
      </c>
      <c r="H107" s="7">
        <v>14.7</v>
      </c>
      <c r="I107" s="7">
        <v>13.14</v>
      </c>
      <c r="J107" s="7">
        <v>135</v>
      </c>
      <c r="K107" s="7" t="s">
        <v>27</v>
      </c>
      <c r="L107" s="7">
        <v>20</v>
      </c>
      <c r="M107" s="7">
        <v>11</v>
      </c>
      <c r="N107" s="7">
        <v>9</v>
      </c>
      <c r="O107" s="7" t="s">
        <v>824</v>
      </c>
      <c r="P107" s="7">
        <v>0</v>
      </c>
      <c r="Q107" s="7">
        <v>12715.5</v>
      </c>
      <c r="R107" s="7">
        <v>11366.1</v>
      </c>
      <c r="S107" s="7">
        <v>1349.3999999999996</v>
      </c>
      <c r="T107" s="7" t="s">
        <v>825</v>
      </c>
      <c r="U107" s="7"/>
    </row>
    <row r="108" spans="1:21" x14ac:dyDescent="0.25">
      <c r="A108" s="7" t="s">
        <v>133</v>
      </c>
      <c r="B108" s="7" t="s">
        <v>808</v>
      </c>
      <c r="C108" s="7">
        <v>44629</v>
      </c>
      <c r="D108" s="7">
        <v>44632</v>
      </c>
      <c r="E108" s="7" t="s">
        <v>39</v>
      </c>
      <c r="F108" s="7" t="s">
        <v>18</v>
      </c>
      <c r="G108" s="7">
        <v>1344</v>
      </c>
      <c r="H108" s="7">
        <v>12.5</v>
      </c>
      <c r="I108" s="7">
        <v>10.87</v>
      </c>
      <c r="J108" s="7">
        <v>44</v>
      </c>
      <c r="K108" s="7" t="s">
        <v>15</v>
      </c>
      <c r="L108" s="7">
        <v>3</v>
      </c>
      <c r="M108" s="7">
        <v>11</v>
      </c>
      <c r="N108" s="7">
        <v>0</v>
      </c>
      <c r="O108" s="7" t="s">
        <v>824</v>
      </c>
      <c r="P108" s="7">
        <v>0</v>
      </c>
      <c r="Q108" s="7">
        <v>16800</v>
      </c>
      <c r="R108" s="7">
        <v>14609.279999999999</v>
      </c>
      <c r="S108" s="7">
        <v>2190.7200000000012</v>
      </c>
      <c r="T108" s="7" t="s">
        <v>823</v>
      </c>
      <c r="U108" s="7"/>
    </row>
    <row r="109" spans="1:21" x14ac:dyDescent="0.25">
      <c r="A109" s="7" t="s">
        <v>134</v>
      </c>
      <c r="B109" s="7" t="s">
        <v>805</v>
      </c>
      <c r="C109" s="7">
        <v>44778</v>
      </c>
      <c r="D109" s="7">
        <v>44797</v>
      </c>
      <c r="E109" s="7" t="s">
        <v>26</v>
      </c>
      <c r="F109" s="7" t="s">
        <v>35</v>
      </c>
      <c r="G109" s="7">
        <v>505</v>
      </c>
      <c r="H109" s="7">
        <v>45.42</v>
      </c>
      <c r="I109" s="7">
        <v>40.369999999999997</v>
      </c>
      <c r="J109" s="7">
        <v>62</v>
      </c>
      <c r="K109" s="7" t="s">
        <v>15</v>
      </c>
      <c r="L109" s="7">
        <v>19</v>
      </c>
      <c r="M109" s="7">
        <v>11</v>
      </c>
      <c r="N109" s="7">
        <v>8</v>
      </c>
      <c r="O109" s="7" t="s">
        <v>824</v>
      </c>
      <c r="P109" s="7">
        <v>0</v>
      </c>
      <c r="Q109" s="7">
        <v>22937.100000000002</v>
      </c>
      <c r="R109" s="7">
        <v>20386.849999999999</v>
      </c>
      <c r="S109" s="7">
        <v>2550.2500000000036</v>
      </c>
      <c r="T109" s="7" t="s">
        <v>825</v>
      </c>
      <c r="U109" s="7"/>
    </row>
    <row r="110" spans="1:21" x14ac:dyDescent="0.25">
      <c r="A110" s="7" t="s">
        <v>135</v>
      </c>
      <c r="B110" s="7" t="s">
        <v>807</v>
      </c>
      <c r="C110" s="7">
        <v>45142</v>
      </c>
      <c r="D110" s="7">
        <v>45143</v>
      </c>
      <c r="E110" s="7" t="s">
        <v>24</v>
      </c>
      <c r="F110" s="7" t="s">
        <v>18</v>
      </c>
      <c r="G110" s="7">
        <v>1535</v>
      </c>
      <c r="H110" s="7">
        <v>90.83</v>
      </c>
      <c r="I110" s="7">
        <v>78.28</v>
      </c>
      <c r="J110" s="7">
        <v>151</v>
      </c>
      <c r="K110" s="7" t="s">
        <v>27</v>
      </c>
      <c r="L110" s="7">
        <v>1</v>
      </c>
      <c r="M110" s="7">
        <v>11</v>
      </c>
      <c r="N110" s="7">
        <v>0</v>
      </c>
      <c r="O110" s="7" t="s">
        <v>824</v>
      </c>
      <c r="P110" s="7">
        <v>0</v>
      </c>
      <c r="Q110" s="7">
        <v>139424.04999999999</v>
      </c>
      <c r="R110" s="7">
        <v>120159.8</v>
      </c>
      <c r="S110" s="7">
        <v>19264.249999999985</v>
      </c>
      <c r="T110" s="7" t="s">
        <v>823</v>
      </c>
      <c r="U110" s="7"/>
    </row>
    <row r="111" spans="1:21" x14ac:dyDescent="0.25">
      <c r="A111" s="7" t="s">
        <v>136</v>
      </c>
      <c r="B111" s="7" t="s">
        <v>807</v>
      </c>
      <c r="C111" s="7">
        <v>44884</v>
      </c>
      <c r="D111" s="7">
        <v>44895</v>
      </c>
      <c r="E111" s="7" t="s">
        <v>13</v>
      </c>
      <c r="F111" s="7" t="s">
        <v>18</v>
      </c>
      <c r="G111" s="7">
        <v>1800</v>
      </c>
      <c r="H111" s="7">
        <v>103.8</v>
      </c>
      <c r="I111" s="7">
        <v>96.27</v>
      </c>
      <c r="J111" s="7">
        <v>166</v>
      </c>
      <c r="K111" s="7" t="s">
        <v>15</v>
      </c>
      <c r="L111" s="7">
        <v>11</v>
      </c>
      <c r="M111" s="7">
        <v>11</v>
      </c>
      <c r="N111" s="7">
        <v>0</v>
      </c>
      <c r="O111" s="7" t="s">
        <v>824</v>
      </c>
      <c r="P111" s="7">
        <v>0</v>
      </c>
      <c r="Q111" s="7">
        <v>186840</v>
      </c>
      <c r="R111" s="7">
        <v>173286</v>
      </c>
      <c r="S111" s="7">
        <v>13554</v>
      </c>
      <c r="T111" s="7" t="s">
        <v>823</v>
      </c>
      <c r="U111" s="7"/>
    </row>
    <row r="112" spans="1:21" x14ac:dyDescent="0.25">
      <c r="A112" s="7" t="s">
        <v>137</v>
      </c>
      <c r="B112" s="7" t="s">
        <v>805</v>
      </c>
      <c r="C112" s="7">
        <v>44779</v>
      </c>
      <c r="D112" s="7">
        <v>44788</v>
      </c>
      <c r="E112" s="7" t="s">
        <v>26</v>
      </c>
      <c r="F112" s="7" t="s">
        <v>35</v>
      </c>
      <c r="G112" s="7">
        <v>1325</v>
      </c>
      <c r="H112" s="7">
        <v>24.36</v>
      </c>
      <c r="I112" s="7">
        <v>22.75</v>
      </c>
      <c r="J112" s="7">
        <v>206</v>
      </c>
      <c r="K112" s="7" t="s">
        <v>15</v>
      </c>
      <c r="L112" s="7">
        <v>9</v>
      </c>
      <c r="M112" s="7">
        <v>11</v>
      </c>
      <c r="N112" s="7">
        <v>0</v>
      </c>
      <c r="O112" s="7" t="s">
        <v>824</v>
      </c>
      <c r="P112" s="7">
        <v>0</v>
      </c>
      <c r="Q112" s="7">
        <v>32277</v>
      </c>
      <c r="R112" s="7">
        <v>30143.75</v>
      </c>
      <c r="S112" s="7">
        <v>2133.25</v>
      </c>
      <c r="T112" s="7" t="s">
        <v>823</v>
      </c>
      <c r="U112" s="7"/>
    </row>
    <row r="113" spans="1:21" x14ac:dyDescent="0.25">
      <c r="A113" s="7" t="s">
        <v>138</v>
      </c>
      <c r="B113" s="7" t="s">
        <v>806</v>
      </c>
      <c r="C113" s="7">
        <v>45233</v>
      </c>
      <c r="D113" s="7">
        <v>45239</v>
      </c>
      <c r="E113" s="7" t="s">
        <v>26</v>
      </c>
      <c r="F113" s="7" t="s">
        <v>18</v>
      </c>
      <c r="G113" s="7">
        <v>1066</v>
      </c>
      <c r="H113" s="7">
        <v>70.45</v>
      </c>
      <c r="I113" s="7">
        <v>65.88</v>
      </c>
      <c r="J113" s="7">
        <v>56</v>
      </c>
      <c r="K113" s="7" t="s">
        <v>27</v>
      </c>
      <c r="L113" s="7">
        <v>6</v>
      </c>
      <c r="M113" s="7">
        <v>11</v>
      </c>
      <c r="N113" s="7">
        <v>0</v>
      </c>
      <c r="O113" s="7" t="s">
        <v>824</v>
      </c>
      <c r="P113" s="7">
        <v>0</v>
      </c>
      <c r="Q113" s="7">
        <v>75099.7</v>
      </c>
      <c r="R113" s="7">
        <v>70228.08</v>
      </c>
      <c r="S113" s="7">
        <v>4871.6199999999953</v>
      </c>
      <c r="T113" s="7" t="s">
        <v>823</v>
      </c>
      <c r="U113" s="7"/>
    </row>
    <row r="114" spans="1:21" x14ac:dyDescent="0.25">
      <c r="A114" s="7" t="s">
        <v>139</v>
      </c>
      <c r="B114" s="7" t="s">
        <v>807</v>
      </c>
      <c r="C114" s="7">
        <v>45073</v>
      </c>
      <c r="D114" s="7">
        <v>45088</v>
      </c>
      <c r="E114" s="7" t="s">
        <v>26</v>
      </c>
      <c r="F114" s="7" t="s">
        <v>18</v>
      </c>
      <c r="G114" s="7">
        <v>1775</v>
      </c>
      <c r="H114" s="7">
        <v>47.82</v>
      </c>
      <c r="I114" s="7">
        <v>45.86</v>
      </c>
      <c r="J114" s="7">
        <v>180</v>
      </c>
      <c r="K114" s="7" t="s">
        <v>15</v>
      </c>
      <c r="L114" s="7">
        <v>15</v>
      </c>
      <c r="M114" s="7">
        <v>11</v>
      </c>
      <c r="N114" s="7">
        <v>4</v>
      </c>
      <c r="O114" s="7" t="s">
        <v>824</v>
      </c>
      <c r="P114" s="7">
        <v>0</v>
      </c>
      <c r="Q114" s="7">
        <v>84880.5</v>
      </c>
      <c r="R114" s="7">
        <v>81401.5</v>
      </c>
      <c r="S114" s="7">
        <v>3479</v>
      </c>
      <c r="T114" s="7" t="s">
        <v>826</v>
      </c>
      <c r="U114" s="7"/>
    </row>
    <row r="115" spans="1:21" x14ac:dyDescent="0.25">
      <c r="A115" s="7" t="s">
        <v>140</v>
      </c>
      <c r="B115" s="7" t="s">
        <v>806</v>
      </c>
      <c r="C115" s="7">
        <v>44967</v>
      </c>
      <c r="D115" s="7">
        <v>44977</v>
      </c>
      <c r="E115" s="7" t="s">
        <v>26</v>
      </c>
      <c r="F115" s="7" t="s">
        <v>33</v>
      </c>
      <c r="G115" s="7">
        <v>345</v>
      </c>
      <c r="H115" s="7">
        <v>103.62</v>
      </c>
      <c r="I115" s="7">
        <v>98.09</v>
      </c>
      <c r="J115" s="7">
        <v>25</v>
      </c>
      <c r="K115" s="7" t="s">
        <v>27</v>
      </c>
      <c r="L115" s="7">
        <v>10</v>
      </c>
      <c r="M115" s="7">
        <v>11</v>
      </c>
      <c r="N115" s="7">
        <v>0</v>
      </c>
      <c r="O115" s="7" t="s">
        <v>824</v>
      </c>
      <c r="P115" s="7">
        <v>0</v>
      </c>
      <c r="Q115" s="7">
        <v>35748.9</v>
      </c>
      <c r="R115" s="7">
        <v>33841.050000000003</v>
      </c>
      <c r="S115" s="7">
        <v>1907.8499999999985</v>
      </c>
      <c r="T115" s="7" t="s">
        <v>823</v>
      </c>
      <c r="U115" s="7"/>
    </row>
    <row r="116" spans="1:21" x14ac:dyDescent="0.25">
      <c r="A116" s="7" t="s">
        <v>141</v>
      </c>
      <c r="B116" s="7" t="s">
        <v>807</v>
      </c>
      <c r="C116" s="7">
        <v>45220</v>
      </c>
      <c r="D116" s="7">
        <v>45239</v>
      </c>
      <c r="E116" s="7" t="s">
        <v>39</v>
      </c>
      <c r="F116" s="7" t="s">
        <v>18</v>
      </c>
      <c r="G116" s="7">
        <v>1798</v>
      </c>
      <c r="H116" s="7">
        <v>94.8</v>
      </c>
      <c r="I116" s="7">
        <v>91.83</v>
      </c>
      <c r="J116" s="7"/>
      <c r="K116" s="7" t="s">
        <v>15</v>
      </c>
      <c r="L116" s="7">
        <v>19</v>
      </c>
      <c r="M116" s="7">
        <v>11</v>
      </c>
      <c r="N116" s="7">
        <v>8</v>
      </c>
      <c r="O116" s="7" t="s">
        <v>824</v>
      </c>
      <c r="P116" s="7">
        <v>0</v>
      </c>
      <c r="Q116" s="7">
        <v>170450.4</v>
      </c>
      <c r="R116" s="7">
        <v>165110.34</v>
      </c>
      <c r="S116" s="7">
        <v>5340.0599999999977</v>
      </c>
      <c r="T116" s="7" t="s">
        <v>825</v>
      </c>
      <c r="U116" s="7"/>
    </row>
    <row r="117" spans="1:21" x14ac:dyDescent="0.25">
      <c r="A117" s="7" t="s">
        <v>142</v>
      </c>
      <c r="B117" s="7" t="s">
        <v>804</v>
      </c>
      <c r="C117" s="7">
        <v>45031</v>
      </c>
      <c r="D117" s="7">
        <v>45047</v>
      </c>
      <c r="E117" s="7" t="s">
        <v>21</v>
      </c>
      <c r="F117" s="7" t="s">
        <v>18</v>
      </c>
      <c r="G117" s="7">
        <v>769</v>
      </c>
      <c r="H117" s="7">
        <v>91.86</v>
      </c>
      <c r="I117" s="7">
        <v>86.55</v>
      </c>
      <c r="J117" s="7">
        <v>17</v>
      </c>
      <c r="K117" s="7" t="s">
        <v>15</v>
      </c>
      <c r="L117" s="7">
        <v>16</v>
      </c>
      <c r="M117" s="7">
        <v>11</v>
      </c>
      <c r="N117" s="7">
        <v>5</v>
      </c>
      <c r="O117" s="7" t="s">
        <v>824</v>
      </c>
      <c r="P117" s="7">
        <v>0</v>
      </c>
      <c r="Q117" s="7">
        <v>70640.34</v>
      </c>
      <c r="R117" s="7">
        <v>66556.95</v>
      </c>
      <c r="S117" s="7">
        <v>4083.3899999999994</v>
      </c>
      <c r="T117" s="7" t="s">
        <v>825</v>
      </c>
      <c r="U117" s="7"/>
    </row>
    <row r="118" spans="1:21" x14ac:dyDescent="0.25">
      <c r="A118" s="7" t="s">
        <v>143</v>
      </c>
      <c r="B118" s="7" t="s">
        <v>804</v>
      </c>
      <c r="C118" s="7">
        <v>44708</v>
      </c>
      <c r="D118" s="7">
        <v>44719</v>
      </c>
      <c r="E118" s="7" t="s">
        <v>24</v>
      </c>
      <c r="F118" s="7" t="s">
        <v>18</v>
      </c>
      <c r="G118" s="7">
        <v>1822</v>
      </c>
      <c r="H118" s="7">
        <v>53.23</v>
      </c>
      <c r="I118" s="7">
        <v>47.49</v>
      </c>
      <c r="J118" s="7">
        <v>39</v>
      </c>
      <c r="K118" s="7" t="s">
        <v>15</v>
      </c>
      <c r="L118" s="7">
        <v>11</v>
      </c>
      <c r="M118" s="7">
        <v>11</v>
      </c>
      <c r="N118" s="7">
        <v>0</v>
      </c>
      <c r="O118" s="7" t="s">
        <v>824</v>
      </c>
      <c r="P118" s="7">
        <v>0</v>
      </c>
      <c r="Q118" s="7">
        <v>96985.06</v>
      </c>
      <c r="R118" s="7">
        <v>86526.78</v>
      </c>
      <c r="S118" s="7">
        <v>10458.279999999999</v>
      </c>
      <c r="T118" s="7" t="s">
        <v>823</v>
      </c>
      <c r="U118" s="7"/>
    </row>
    <row r="119" spans="1:21" x14ac:dyDescent="0.25">
      <c r="A119" s="7" t="s">
        <v>144</v>
      </c>
      <c r="B119" s="7" t="s">
        <v>805</v>
      </c>
      <c r="C119" s="7">
        <v>44833</v>
      </c>
      <c r="D119" s="7">
        <v>44847</v>
      </c>
      <c r="E119" s="7" t="s">
        <v>24</v>
      </c>
      <c r="F119" s="7" t="s">
        <v>18</v>
      </c>
      <c r="G119" s="7">
        <v>387</v>
      </c>
      <c r="H119" s="7">
        <v>49.23</v>
      </c>
      <c r="I119" s="7">
        <v>45.41</v>
      </c>
      <c r="J119" s="7">
        <v>61</v>
      </c>
      <c r="K119" s="7" t="s">
        <v>15</v>
      </c>
      <c r="L119" s="7">
        <v>14</v>
      </c>
      <c r="M119" s="7">
        <v>11</v>
      </c>
      <c r="N119" s="7">
        <v>3</v>
      </c>
      <c r="O119" s="7" t="s">
        <v>824</v>
      </c>
      <c r="P119" s="7">
        <v>0</v>
      </c>
      <c r="Q119" s="7">
        <v>19052.009999999998</v>
      </c>
      <c r="R119" s="7">
        <v>17573.669999999998</v>
      </c>
      <c r="S119" s="7">
        <v>1478.3400000000001</v>
      </c>
      <c r="T119" s="7" t="s">
        <v>826</v>
      </c>
      <c r="U119" s="7"/>
    </row>
    <row r="120" spans="1:21" x14ac:dyDescent="0.25">
      <c r="A120" s="7" t="s">
        <v>145</v>
      </c>
      <c r="B120" s="7" t="s">
        <v>808</v>
      </c>
      <c r="C120" s="7">
        <v>44704</v>
      </c>
      <c r="D120" s="7">
        <v>44708</v>
      </c>
      <c r="E120" s="7" t="s">
        <v>21</v>
      </c>
      <c r="F120" s="7" t="s">
        <v>18</v>
      </c>
      <c r="G120" s="7">
        <v>928</v>
      </c>
      <c r="H120" s="7">
        <v>35.299999999999997</v>
      </c>
      <c r="I120" s="7">
        <v>32.520000000000003</v>
      </c>
      <c r="J120" s="7">
        <v>26</v>
      </c>
      <c r="K120" s="7" t="s">
        <v>15</v>
      </c>
      <c r="L120" s="7">
        <v>4</v>
      </c>
      <c r="M120" s="7">
        <v>11</v>
      </c>
      <c r="N120" s="7">
        <v>0</v>
      </c>
      <c r="O120" s="7" t="s">
        <v>824</v>
      </c>
      <c r="P120" s="7">
        <v>0</v>
      </c>
      <c r="Q120" s="7">
        <v>32758.399999999998</v>
      </c>
      <c r="R120" s="7">
        <v>30178.560000000001</v>
      </c>
      <c r="S120" s="7">
        <v>2579.8399999999965</v>
      </c>
      <c r="T120" s="7" t="s">
        <v>823</v>
      </c>
      <c r="U120" s="7"/>
    </row>
    <row r="121" spans="1:21" x14ac:dyDescent="0.25">
      <c r="A121" s="7" t="s">
        <v>146</v>
      </c>
      <c r="B121" s="7" t="s">
        <v>804</v>
      </c>
      <c r="C121" s="7">
        <v>44814</v>
      </c>
      <c r="D121" s="7">
        <v>44825</v>
      </c>
      <c r="E121" s="7" t="s">
        <v>24</v>
      </c>
      <c r="F121" s="7" t="s">
        <v>33</v>
      </c>
      <c r="G121" s="7">
        <v>1126</v>
      </c>
      <c r="H121" s="7">
        <v>15.68</v>
      </c>
      <c r="I121" s="7">
        <v>14.97</v>
      </c>
      <c r="J121" s="7">
        <v>27</v>
      </c>
      <c r="K121" s="7" t="s">
        <v>15</v>
      </c>
      <c r="L121" s="7">
        <v>11</v>
      </c>
      <c r="M121" s="7">
        <v>11</v>
      </c>
      <c r="N121" s="7">
        <v>0</v>
      </c>
      <c r="O121" s="7" t="s">
        <v>824</v>
      </c>
      <c r="P121" s="7">
        <v>0</v>
      </c>
      <c r="Q121" s="7">
        <v>17655.68</v>
      </c>
      <c r="R121" s="7">
        <v>16856.22</v>
      </c>
      <c r="S121" s="7">
        <v>799.45999999999913</v>
      </c>
      <c r="T121" s="7" t="s">
        <v>823</v>
      </c>
      <c r="U121" s="7"/>
    </row>
    <row r="122" spans="1:21" x14ac:dyDescent="0.25">
      <c r="A122" s="7" t="s">
        <v>147</v>
      </c>
      <c r="B122" s="7" t="s">
        <v>807</v>
      </c>
      <c r="C122" s="7">
        <v>45136</v>
      </c>
      <c r="D122" s="7">
        <v>45152</v>
      </c>
      <c r="E122" s="7" t="s">
        <v>26</v>
      </c>
      <c r="F122" s="7" t="s">
        <v>14</v>
      </c>
      <c r="G122" s="7">
        <v>841</v>
      </c>
      <c r="H122" s="7">
        <v>95.73</v>
      </c>
      <c r="I122" s="7">
        <v>85.33</v>
      </c>
      <c r="J122" s="7">
        <v>81</v>
      </c>
      <c r="K122" s="7" t="s">
        <v>15</v>
      </c>
      <c r="L122" s="7">
        <v>16</v>
      </c>
      <c r="M122" s="7">
        <v>11</v>
      </c>
      <c r="N122" s="7">
        <v>5</v>
      </c>
      <c r="O122" s="7" t="s">
        <v>824</v>
      </c>
      <c r="P122" s="7">
        <v>0</v>
      </c>
      <c r="Q122" s="7">
        <v>80508.930000000008</v>
      </c>
      <c r="R122" s="7">
        <v>71762.53</v>
      </c>
      <c r="S122" s="7">
        <v>8746.4000000000087</v>
      </c>
      <c r="T122" s="7" t="s">
        <v>825</v>
      </c>
      <c r="U122" s="7"/>
    </row>
    <row r="123" spans="1:21" x14ac:dyDescent="0.25">
      <c r="A123" s="7" t="s">
        <v>148</v>
      </c>
      <c r="B123" s="7" t="s">
        <v>807</v>
      </c>
      <c r="C123" s="7">
        <v>45113</v>
      </c>
      <c r="D123" s="7">
        <v>45126</v>
      </c>
      <c r="E123" s="7" t="s">
        <v>39</v>
      </c>
      <c r="F123" s="7" t="s">
        <v>18</v>
      </c>
      <c r="G123" s="7">
        <v>1995</v>
      </c>
      <c r="H123" s="7">
        <v>90.65</v>
      </c>
      <c r="I123" s="7">
        <v>77.75</v>
      </c>
      <c r="J123" s="7">
        <v>206</v>
      </c>
      <c r="K123" s="7" t="s">
        <v>15</v>
      </c>
      <c r="L123" s="7">
        <v>13</v>
      </c>
      <c r="M123" s="7">
        <v>11</v>
      </c>
      <c r="N123" s="7">
        <v>2</v>
      </c>
      <c r="O123" s="7" t="s">
        <v>824</v>
      </c>
      <c r="P123" s="7">
        <v>0</v>
      </c>
      <c r="Q123" s="7">
        <v>180846.75</v>
      </c>
      <c r="R123" s="7">
        <v>155111.25</v>
      </c>
      <c r="S123" s="7">
        <v>25735.5</v>
      </c>
      <c r="T123" s="7" t="s">
        <v>826</v>
      </c>
      <c r="U123" s="7"/>
    </row>
    <row r="124" spans="1:21" x14ac:dyDescent="0.25">
      <c r="A124" s="7" t="s">
        <v>149</v>
      </c>
      <c r="B124" s="7" t="s">
        <v>804</v>
      </c>
      <c r="C124" s="7">
        <v>44831</v>
      </c>
      <c r="D124" s="7">
        <v>44849</v>
      </c>
      <c r="E124" s="7" t="s">
        <v>26</v>
      </c>
      <c r="F124" s="7" t="s">
        <v>18</v>
      </c>
      <c r="G124" s="7">
        <v>266</v>
      </c>
      <c r="H124" s="7">
        <v>103.97</v>
      </c>
      <c r="I124" s="7">
        <v>101.44</v>
      </c>
      <c r="J124" s="7">
        <v>6</v>
      </c>
      <c r="K124" s="7" t="s">
        <v>15</v>
      </c>
      <c r="L124" s="7">
        <v>18</v>
      </c>
      <c r="M124" s="7">
        <v>11</v>
      </c>
      <c r="N124" s="7">
        <v>7</v>
      </c>
      <c r="O124" s="7" t="s">
        <v>824</v>
      </c>
      <c r="P124" s="7">
        <v>0</v>
      </c>
      <c r="Q124" s="7">
        <v>27656.02</v>
      </c>
      <c r="R124" s="7">
        <v>26983.040000000001</v>
      </c>
      <c r="S124" s="7">
        <v>672.97999999999956</v>
      </c>
      <c r="T124" s="7" t="s">
        <v>825</v>
      </c>
      <c r="U124" s="7"/>
    </row>
    <row r="125" spans="1:21" x14ac:dyDescent="0.25">
      <c r="A125" s="7" t="s">
        <v>150</v>
      </c>
      <c r="B125" s="7" t="s">
        <v>804</v>
      </c>
      <c r="C125" s="7">
        <v>45160</v>
      </c>
      <c r="D125" s="7">
        <v>45163</v>
      </c>
      <c r="E125" s="7" t="s">
        <v>26</v>
      </c>
      <c r="F125" s="7" t="s">
        <v>14</v>
      </c>
      <c r="G125" s="7">
        <v>813</v>
      </c>
      <c r="H125" s="7">
        <v>109.17</v>
      </c>
      <c r="I125" s="7">
        <v>107.39</v>
      </c>
      <c r="J125" s="7">
        <v>14</v>
      </c>
      <c r="K125" s="7" t="s">
        <v>15</v>
      </c>
      <c r="L125" s="7">
        <v>3</v>
      </c>
      <c r="M125" s="7">
        <v>11</v>
      </c>
      <c r="N125" s="7">
        <v>0</v>
      </c>
      <c r="O125" s="7" t="s">
        <v>824</v>
      </c>
      <c r="P125" s="7">
        <v>0</v>
      </c>
      <c r="Q125" s="7">
        <v>88755.21</v>
      </c>
      <c r="R125" s="7">
        <v>87308.07</v>
      </c>
      <c r="S125" s="7">
        <v>1447.1399999999994</v>
      </c>
      <c r="T125" s="7" t="s">
        <v>823</v>
      </c>
      <c r="U125" s="7"/>
    </row>
    <row r="126" spans="1:21" x14ac:dyDescent="0.25">
      <c r="A126" s="7" t="s">
        <v>151</v>
      </c>
      <c r="B126" s="7" t="s">
        <v>808</v>
      </c>
      <c r="C126" s="7">
        <v>45000</v>
      </c>
      <c r="D126" s="7">
        <v>45011</v>
      </c>
      <c r="E126" s="7" t="s">
        <v>39</v>
      </c>
      <c r="F126" s="7" t="s">
        <v>18</v>
      </c>
      <c r="G126" s="7">
        <v>237</v>
      </c>
      <c r="H126" s="7">
        <v>64.19</v>
      </c>
      <c r="I126" s="7">
        <v>59.01</v>
      </c>
      <c r="J126" s="7">
        <v>7</v>
      </c>
      <c r="K126" s="7" t="s">
        <v>15</v>
      </c>
      <c r="L126" s="7">
        <v>11</v>
      </c>
      <c r="M126" s="7">
        <v>11</v>
      </c>
      <c r="N126" s="7">
        <v>0</v>
      </c>
      <c r="O126" s="7" t="s">
        <v>824</v>
      </c>
      <c r="P126" s="7">
        <v>0</v>
      </c>
      <c r="Q126" s="7">
        <v>15213.029999999999</v>
      </c>
      <c r="R126" s="7">
        <v>13985.369999999999</v>
      </c>
      <c r="S126" s="7">
        <v>1227.6599999999999</v>
      </c>
      <c r="T126" s="7" t="s">
        <v>823</v>
      </c>
      <c r="U126" s="7"/>
    </row>
    <row r="127" spans="1:21" x14ac:dyDescent="0.25">
      <c r="A127" s="7" t="s">
        <v>152</v>
      </c>
      <c r="B127" s="7" t="s">
        <v>804</v>
      </c>
      <c r="C127" s="7">
        <v>45159</v>
      </c>
      <c r="D127" s="7">
        <v>45172</v>
      </c>
      <c r="E127" s="7" t="s">
        <v>13</v>
      </c>
      <c r="F127" s="7" t="s">
        <v>14</v>
      </c>
      <c r="G127" s="7">
        <v>429</v>
      </c>
      <c r="H127" s="7">
        <v>86.73</v>
      </c>
      <c r="I127" s="7">
        <v>75.09</v>
      </c>
      <c r="J127" s="7">
        <v>9</v>
      </c>
      <c r="K127" s="7" t="s">
        <v>15</v>
      </c>
      <c r="L127" s="7">
        <v>13</v>
      </c>
      <c r="M127" s="7">
        <v>11</v>
      </c>
      <c r="N127" s="7">
        <v>2</v>
      </c>
      <c r="O127" s="7" t="s">
        <v>824</v>
      </c>
      <c r="P127" s="7">
        <v>0</v>
      </c>
      <c r="Q127" s="7">
        <v>37207.17</v>
      </c>
      <c r="R127" s="7">
        <v>32213.61</v>
      </c>
      <c r="S127" s="7">
        <v>4993.5599999999977</v>
      </c>
      <c r="T127" s="7" t="s">
        <v>826</v>
      </c>
      <c r="U127" s="7"/>
    </row>
    <row r="128" spans="1:21" x14ac:dyDescent="0.25">
      <c r="A128" s="7" t="s">
        <v>153</v>
      </c>
      <c r="B128" s="7" t="s">
        <v>805</v>
      </c>
      <c r="C128" s="7">
        <v>44970</v>
      </c>
      <c r="D128" s="7">
        <v>44971</v>
      </c>
      <c r="E128" s="7" t="s">
        <v>24</v>
      </c>
      <c r="F128" s="7" t="s">
        <v>18</v>
      </c>
      <c r="G128" s="7">
        <v>542</v>
      </c>
      <c r="H128" s="7">
        <v>101.21</v>
      </c>
      <c r="I128" s="7">
        <v>93.11</v>
      </c>
      <c r="J128" s="7">
        <v>78</v>
      </c>
      <c r="K128" s="7" t="s">
        <v>27</v>
      </c>
      <c r="L128" s="7">
        <v>1</v>
      </c>
      <c r="M128" s="7">
        <v>11</v>
      </c>
      <c r="N128" s="7">
        <v>0</v>
      </c>
      <c r="O128" s="7" t="s">
        <v>824</v>
      </c>
      <c r="P128" s="7">
        <v>0</v>
      </c>
      <c r="Q128" s="7">
        <v>54855.82</v>
      </c>
      <c r="R128" s="7">
        <v>50465.62</v>
      </c>
      <c r="S128" s="7">
        <v>4390.1999999999971</v>
      </c>
      <c r="T128" s="7" t="s">
        <v>823</v>
      </c>
      <c r="U128" s="7"/>
    </row>
    <row r="129" spans="1:21" x14ac:dyDescent="0.25">
      <c r="A129" s="7" t="s">
        <v>154</v>
      </c>
      <c r="B129" s="7" t="s">
        <v>808</v>
      </c>
      <c r="C129" s="7">
        <v>44932</v>
      </c>
      <c r="D129" s="7">
        <v>44950</v>
      </c>
      <c r="E129" s="7" t="s">
        <v>39</v>
      </c>
      <c r="F129" s="7" t="s">
        <v>18</v>
      </c>
      <c r="G129" s="7">
        <v>1114</v>
      </c>
      <c r="H129" s="7">
        <v>91.66</v>
      </c>
      <c r="I129" s="7">
        <v>85.53</v>
      </c>
      <c r="J129" s="7">
        <v>35</v>
      </c>
      <c r="K129" s="7" t="s">
        <v>15</v>
      </c>
      <c r="L129" s="7">
        <v>18</v>
      </c>
      <c r="M129" s="7">
        <v>11</v>
      </c>
      <c r="N129" s="7">
        <v>7</v>
      </c>
      <c r="O129" s="7" t="s">
        <v>824</v>
      </c>
      <c r="P129" s="7">
        <v>0</v>
      </c>
      <c r="Q129" s="7">
        <v>102109.23999999999</v>
      </c>
      <c r="R129" s="7">
        <v>95280.42</v>
      </c>
      <c r="S129" s="7">
        <v>6828.8199999999924</v>
      </c>
      <c r="T129" s="7" t="s">
        <v>825</v>
      </c>
      <c r="U129" s="7"/>
    </row>
    <row r="130" spans="1:21" x14ac:dyDescent="0.25">
      <c r="A130" s="7" t="s">
        <v>155</v>
      </c>
      <c r="B130" s="7" t="s">
        <v>804</v>
      </c>
      <c r="C130" s="7">
        <v>44786</v>
      </c>
      <c r="D130" s="7">
        <v>44788</v>
      </c>
      <c r="E130" s="7" t="s">
        <v>21</v>
      </c>
      <c r="F130" s="7" t="s">
        <v>18</v>
      </c>
      <c r="G130" s="7">
        <v>1230</v>
      </c>
      <c r="H130" s="7">
        <v>33.39</v>
      </c>
      <c r="I130" s="7">
        <v>30.85</v>
      </c>
      <c r="J130" s="7">
        <v>26</v>
      </c>
      <c r="K130" s="7" t="s">
        <v>15</v>
      </c>
      <c r="L130" s="7">
        <v>2</v>
      </c>
      <c r="M130" s="7">
        <v>11</v>
      </c>
      <c r="N130" s="7">
        <v>0</v>
      </c>
      <c r="O130" s="7" t="s">
        <v>824</v>
      </c>
      <c r="P130" s="7">
        <v>0</v>
      </c>
      <c r="Q130" s="7">
        <v>41069.699999999997</v>
      </c>
      <c r="R130" s="7">
        <v>37945.5</v>
      </c>
      <c r="S130" s="7">
        <v>3124.1999999999971</v>
      </c>
      <c r="T130" s="7" t="s">
        <v>823</v>
      </c>
      <c r="U130" s="7"/>
    </row>
    <row r="131" spans="1:21" x14ac:dyDescent="0.25">
      <c r="A131" s="7" t="s">
        <v>156</v>
      </c>
      <c r="B131" s="7" t="s">
        <v>807</v>
      </c>
      <c r="C131" s="7">
        <v>44703</v>
      </c>
      <c r="D131" s="7">
        <v>44715</v>
      </c>
      <c r="E131" s="7" t="s">
        <v>21</v>
      </c>
      <c r="F131" s="7" t="s">
        <v>18</v>
      </c>
      <c r="G131" s="7">
        <v>64</v>
      </c>
      <c r="H131" s="7">
        <v>51.56</v>
      </c>
      <c r="I131" s="7">
        <v>50.88</v>
      </c>
      <c r="J131" s="7">
        <v>5</v>
      </c>
      <c r="K131" s="7" t="s">
        <v>15</v>
      </c>
      <c r="L131" s="7">
        <v>12</v>
      </c>
      <c r="M131" s="7">
        <v>11</v>
      </c>
      <c r="N131" s="7">
        <v>1</v>
      </c>
      <c r="O131" s="7" t="s">
        <v>824</v>
      </c>
      <c r="P131" s="7">
        <v>0</v>
      </c>
      <c r="Q131" s="7">
        <v>3299.84</v>
      </c>
      <c r="R131" s="7">
        <v>3256.32</v>
      </c>
      <c r="S131" s="7">
        <v>43.519999999999982</v>
      </c>
      <c r="T131" s="7" t="s">
        <v>826</v>
      </c>
      <c r="U131" s="7"/>
    </row>
    <row r="132" spans="1:21" x14ac:dyDescent="0.25">
      <c r="A132" s="7" t="s">
        <v>157</v>
      </c>
      <c r="B132" s="7" t="s">
        <v>804</v>
      </c>
      <c r="C132" s="7">
        <v>45083</v>
      </c>
      <c r="D132" s="7">
        <v>45099</v>
      </c>
      <c r="E132" s="7" t="s">
        <v>21</v>
      </c>
      <c r="F132" s="7" t="s">
        <v>18</v>
      </c>
      <c r="G132" s="7">
        <v>1886</v>
      </c>
      <c r="H132" s="7">
        <v>23.46</v>
      </c>
      <c r="I132" s="7">
        <v>23.18</v>
      </c>
      <c r="J132" s="7"/>
      <c r="K132" s="7" t="s">
        <v>15</v>
      </c>
      <c r="L132" s="7">
        <v>16</v>
      </c>
      <c r="M132" s="7">
        <v>11</v>
      </c>
      <c r="N132" s="7">
        <v>5</v>
      </c>
      <c r="O132" s="7" t="s">
        <v>824</v>
      </c>
      <c r="P132" s="7">
        <v>0</v>
      </c>
      <c r="Q132" s="7">
        <v>44245.560000000005</v>
      </c>
      <c r="R132" s="7">
        <v>43717.479999999996</v>
      </c>
      <c r="S132" s="7">
        <v>528.08000000000902</v>
      </c>
      <c r="T132" s="7" t="s">
        <v>825</v>
      </c>
      <c r="U132" s="7"/>
    </row>
    <row r="133" spans="1:21" x14ac:dyDescent="0.25">
      <c r="A133" s="7" t="s">
        <v>158</v>
      </c>
      <c r="B133" s="7" t="s">
        <v>805</v>
      </c>
      <c r="C133" s="7">
        <v>45067</v>
      </c>
      <c r="D133" s="7">
        <v>45069</v>
      </c>
      <c r="E133" s="7" t="s">
        <v>13</v>
      </c>
      <c r="F133" s="7" t="s">
        <v>18</v>
      </c>
      <c r="G133" s="7">
        <v>114</v>
      </c>
      <c r="H133" s="7">
        <v>103.53</v>
      </c>
      <c r="I133" s="7">
        <v>101.54</v>
      </c>
      <c r="J133" s="7">
        <v>14</v>
      </c>
      <c r="K133" s="7" t="s">
        <v>15</v>
      </c>
      <c r="L133" s="7">
        <v>2</v>
      </c>
      <c r="M133" s="7">
        <v>11</v>
      </c>
      <c r="N133" s="7">
        <v>0</v>
      </c>
      <c r="O133" s="7" t="s">
        <v>824</v>
      </c>
      <c r="P133" s="7">
        <v>0</v>
      </c>
      <c r="Q133" s="7">
        <v>11802.42</v>
      </c>
      <c r="R133" s="7">
        <v>11575.560000000001</v>
      </c>
      <c r="S133" s="7">
        <v>226.85999999999876</v>
      </c>
      <c r="T133" s="7" t="s">
        <v>823</v>
      </c>
      <c r="U133" s="7"/>
    </row>
    <row r="134" spans="1:21" x14ac:dyDescent="0.25">
      <c r="A134" s="7" t="s">
        <v>159</v>
      </c>
      <c r="B134" s="7" t="s">
        <v>805</v>
      </c>
      <c r="C134" s="7">
        <v>44655</v>
      </c>
      <c r="D134" s="7">
        <v>44673</v>
      </c>
      <c r="E134" s="7" t="s">
        <v>39</v>
      </c>
      <c r="F134" s="7" t="s">
        <v>14</v>
      </c>
      <c r="G134" s="7">
        <v>1930</v>
      </c>
      <c r="H134" s="7">
        <v>65.52</v>
      </c>
      <c r="I134" s="7">
        <v>56.9</v>
      </c>
      <c r="J134" s="7">
        <v>282</v>
      </c>
      <c r="K134" s="7" t="s">
        <v>15</v>
      </c>
      <c r="L134" s="7">
        <v>18</v>
      </c>
      <c r="M134" s="7">
        <v>11</v>
      </c>
      <c r="N134" s="7">
        <v>7</v>
      </c>
      <c r="O134" s="7" t="s">
        <v>824</v>
      </c>
      <c r="P134" s="7">
        <v>0</v>
      </c>
      <c r="Q134" s="7">
        <v>126453.59999999999</v>
      </c>
      <c r="R134" s="7">
        <v>109817</v>
      </c>
      <c r="S134" s="7">
        <v>16636.599999999991</v>
      </c>
      <c r="T134" s="7" t="s">
        <v>825</v>
      </c>
      <c r="U134" s="7"/>
    </row>
    <row r="135" spans="1:21" x14ac:dyDescent="0.25">
      <c r="A135" s="7" t="s">
        <v>160</v>
      </c>
      <c r="B135" s="7" t="s">
        <v>807</v>
      </c>
      <c r="C135" s="7">
        <v>44610</v>
      </c>
      <c r="D135" s="7">
        <v>44620</v>
      </c>
      <c r="E135" s="7" t="s">
        <v>13</v>
      </c>
      <c r="F135" s="7" t="s">
        <v>35</v>
      </c>
      <c r="G135" s="7">
        <v>1912</v>
      </c>
      <c r="H135" s="7">
        <v>30.73</v>
      </c>
      <c r="I135" s="7">
        <v>29.82</v>
      </c>
      <c r="J135" s="7">
        <v>191</v>
      </c>
      <c r="K135" s="7" t="s">
        <v>15</v>
      </c>
      <c r="L135" s="7">
        <v>10</v>
      </c>
      <c r="M135" s="7">
        <v>11</v>
      </c>
      <c r="N135" s="7">
        <v>0</v>
      </c>
      <c r="O135" s="7" t="s">
        <v>824</v>
      </c>
      <c r="P135" s="7">
        <v>0</v>
      </c>
      <c r="Q135" s="7">
        <v>58755.76</v>
      </c>
      <c r="R135" s="7">
        <v>57015.840000000004</v>
      </c>
      <c r="S135" s="7">
        <v>1739.9199999999983</v>
      </c>
      <c r="T135" s="7" t="s">
        <v>823</v>
      </c>
      <c r="U135" s="7"/>
    </row>
    <row r="136" spans="1:21" x14ac:dyDescent="0.25">
      <c r="A136" s="7" t="s">
        <v>161</v>
      </c>
      <c r="B136" s="7" t="s">
        <v>808</v>
      </c>
      <c r="C136" s="7">
        <v>44674</v>
      </c>
      <c r="D136" s="7">
        <v>44690</v>
      </c>
      <c r="E136" s="7" t="s">
        <v>21</v>
      </c>
      <c r="F136" s="7" t="s">
        <v>18</v>
      </c>
      <c r="G136" s="7">
        <v>570</v>
      </c>
      <c r="H136" s="7">
        <v>71.510000000000005</v>
      </c>
      <c r="I136" s="7">
        <v>66.47</v>
      </c>
      <c r="J136" s="7"/>
      <c r="K136" s="7" t="s">
        <v>15</v>
      </c>
      <c r="L136" s="7">
        <v>16</v>
      </c>
      <c r="M136" s="7">
        <v>11</v>
      </c>
      <c r="N136" s="7">
        <v>5</v>
      </c>
      <c r="O136" s="7" t="s">
        <v>824</v>
      </c>
      <c r="P136" s="7">
        <v>0</v>
      </c>
      <c r="Q136" s="7">
        <v>40760.700000000004</v>
      </c>
      <c r="R136" s="7">
        <v>37887.9</v>
      </c>
      <c r="S136" s="7">
        <v>2872.8000000000029</v>
      </c>
      <c r="T136" s="7" t="s">
        <v>825</v>
      </c>
      <c r="U136" s="7"/>
    </row>
    <row r="137" spans="1:21" x14ac:dyDescent="0.25">
      <c r="A137" s="7" t="s">
        <v>162</v>
      </c>
      <c r="B137" s="7" t="s">
        <v>807</v>
      </c>
      <c r="C137" s="7">
        <v>44718</v>
      </c>
      <c r="D137" s="7">
        <v>44738</v>
      </c>
      <c r="E137" s="7" t="s">
        <v>26</v>
      </c>
      <c r="F137" s="7" t="s">
        <v>18</v>
      </c>
      <c r="G137" s="7">
        <v>1417</v>
      </c>
      <c r="H137" s="7">
        <v>67.27</v>
      </c>
      <c r="I137" s="7">
        <v>60.62</v>
      </c>
      <c r="J137" s="7"/>
      <c r="K137" s="7" t="s">
        <v>15</v>
      </c>
      <c r="L137" s="7">
        <v>20</v>
      </c>
      <c r="M137" s="7">
        <v>11</v>
      </c>
      <c r="N137" s="7">
        <v>9</v>
      </c>
      <c r="O137" s="7" t="s">
        <v>824</v>
      </c>
      <c r="P137" s="7">
        <v>0</v>
      </c>
      <c r="Q137" s="7">
        <v>95321.59</v>
      </c>
      <c r="R137" s="7">
        <v>85898.54</v>
      </c>
      <c r="S137" s="7">
        <v>9423.0500000000029</v>
      </c>
      <c r="T137" s="7" t="s">
        <v>825</v>
      </c>
      <c r="U137" s="7"/>
    </row>
    <row r="138" spans="1:21" x14ac:dyDescent="0.25">
      <c r="A138" s="7" t="s">
        <v>163</v>
      </c>
      <c r="B138" s="7" t="s">
        <v>804</v>
      </c>
      <c r="C138" s="7">
        <v>45204</v>
      </c>
      <c r="D138" s="7">
        <v>45210</v>
      </c>
      <c r="E138" s="7" t="s">
        <v>26</v>
      </c>
      <c r="F138" s="7" t="s">
        <v>18</v>
      </c>
      <c r="G138" s="7">
        <v>1202</v>
      </c>
      <c r="H138" s="7">
        <v>46.67</v>
      </c>
      <c r="I138" s="7">
        <v>44.13</v>
      </c>
      <c r="J138" s="7">
        <v>21</v>
      </c>
      <c r="K138" s="7" t="s">
        <v>27</v>
      </c>
      <c r="L138" s="7">
        <v>6</v>
      </c>
      <c r="M138" s="7">
        <v>11</v>
      </c>
      <c r="N138" s="7">
        <v>0</v>
      </c>
      <c r="O138" s="7" t="s">
        <v>824</v>
      </c>
      <c r="P138" s="7">
        <v>0</v>
      </c>
      <c r="Q138" s="7">
        <v>56097.340000000004</v>
      </c>
      <c r="R138" s="7">
        <v>53044.26</v>
      </c>
      <c r="S138" s="7">
        <v>3053.0800000000017</v>
      </c>
      <c r="T138" s="7" t="s">
        <v>823</v>
      </c>
      <c r="U138" s="7"/>
    </row>
    <row r="139" spans="1:21" x14ac:dyDescent="0.25">
      <c r="A139" s="7" t="s">
        <v>164</v>
      </c>
      <c r="B139" s="7" t="s">
        <v>807</v>
      </c>
      <c r="C139" s="7">
        <v>44725</v>
      </c>
      <c r="D139" s="7">
        <v>44726</v>
      </c>
      <c r="E139" s="7" t="s">
        <v>13</v>
      </c>
      <c r="F139" s="7" t="s">
        <v>18</v>
      </c>
      <c r="G139" s="7">
        <v>697</v>
      </c>
      <c r="H139" s="7">
        <v>20.73</v>
      </c>
      <c r="I139" s="7">
        <v>19.829999999999998</v>
      </c>
      <c r="J139" s="7">
        <v>78</v>
      </c>
      <c r="K139" s="7" t="s">
        <v>27</v>
      </c>
      <c r="L139" s="7">
        <v>1</v>
      </c>
      <c r="M139" s="7">
        <v>11</v>
      </c>
      <c r="N139" s="7">
        <v>0</v>
      </c>
      <c r="O139" s="7" t="s">
        <v>824</v>
      </c>
      <c r="P139" s="7">
        <v>0</v>
      </c>
      <c r="Q139" s="7">
        <v>14448.81</v>
      </c>
      <c r="R139" s="7">
        <v>13821.509999999998</v>
      </c>
      <c r="S139" s="7">
        <v>627.30000000000109</v>
      </c>
      <c r="T139" s="7" t="s">
        <v>823</v>
      </c>
      <c r="U139" s="7"/>
    </row>
    <row r="140" spans="1:21" x14ac:dyDescent="0.25">
      <c r="A140" s="7" t="s">
        <v>165</v>
      </c>
      <c r="B140" s="7" t="s">
        <v>808</v>
      </c>
      <c r="C140" s="7">
        <v>45258</v>
      </c>
      <c r="D140" s="7">
        <v>45261</v>
      </c>
      <c r="E140" s="7" t="s">
        <v>21</v>
      </c>
      <c r="F140" s="7" t="s">
        <v>18</v>
      </c>
      <c r="G140" s="7">
        <v>1545</v>
      </c>
      <c r="H140" s="7">
        <v>78.19</v>
      </c>
      <c r="I140" s="7">
        <v>76.91</v>
      </c>
      <c r="J140" s="7">
        <v>42</v>
      </c>
      <c r="K140" s="7" t="s">
        <v>15</v>
      </c>
      <c r="L140" s="7">
        <v>3</v>
      </c>
      <c r="M140" s="7">
        <v>11</v>
      </c>
      <c r="N140" s="7">
        <v>0</v>
      </c>
      <c r="O140" s="7" t="s">
        <v>824</v>
      </c>
      <c r="P140" s="7">
        <v>0</v>
      </c>
      <c r="Q140" s="7">
        <v>120803.55</v>
      </c>
      <c r="R140" s="7">
        <v>118825.95</v>
      </c>
      <c r="S140" s="7">
        <v>1977.6000000000058</v>
      </c>
      <c r="T140" s="7" t="s">
        <v>823</v>
      </c>
      <c r="U140" s="7"/>
    </row>
    <row r="141" spans="1:21" x14ac:dyDescent="0.25">
      <c r="A141" s="7" t="s">
        <v>166</v>
      </c>
      <c r="B141" s="7" t="s">
        <v>806</v>
      </c>
      <c r="C141" s="7">
        <v>44994</v>
      </c>
      <c r="D141" s="7">
        <v>44998</v>
      </c>
      <c r="E141" s="7" t="s">
        <v>21</v>
      </c>
      <c r="F141" s="7" t="s">
        <v>33</v>
      </c>
      <c r="G141" s="7">
        <v>1136</v>
      </c>
      <c r="H141" s="7">
        <v>60.81</v>
      </c>
      <c r="I141" s="7">
        <v>58.25</v>
      </c>
      <c r="J141" s="7">
        <v>62</v>
      </c>
      <c r="K141" s="7" t="s">
        <v>15</v>
      </c>
      <c r="L141" s="7">
        <v>4</v>
      </c>
      <c r="M141" s="7">
        <v>11</v>
      </c>
      <c r="N141" s="7">
        <v>0</v>
      </c>
      <c r="O141" s="7" t="s">
        <v>824</v>
      </c>
      <c r="P141" s="7">
        <v>0</v>
      </c>
      <c r="Q141" s="7">
        <v>69080.160000000003</v>
      </c>
      <c r="R141" s="7">
        <v>66172</v>
      </c>
      <c r="S141" s="7">
        <v>2908.1600000000035</v>
      </c>
      <c r="T141" s="7" t="s">
        <v>823</v>
      </c>
      <c r="U141" s="7"/>
    </row>
    <row r="142" spans="1:21" x14ac:dyDescent="0.25">
      <c r="A142" s="7" t="s">
        <v>167</v>
      </c>
      <c r="B142" s="7" t="s">
        <v>807</v>
      </c>
      <c r="C142" s="7">
        <v>45172</v>
      </c>
      <c r="D142" s="7">
        <v>45176</v>
      </c>
      <c r="E142" s="7" t="s">
        <v>21</v>
      </c>
      <c r="F142" s="7" t="s">
        <v>18</v>
      </c>
      <c r="G142" s="7">
        <v>1212</v>
      </c>
      <c r="H142" s="7">
        <v>87.46</v>
      </c>
      <c r="I142" s="7">
        <v>74.55</v>
      </c>
      <c r="J142" s="7">
        <v>118</v>
      </c>
      <c r="K142" s="7" t="s">
        <v>27</v>
      </c>
      <c r="L142" s="7">
        <v>4</v>
      </c>
      <c r="M142" s="7">
        <v>11</v>
      </c>
      <c r="N142" s="7">
        <v>0</v>
      </c>
      <c r="O142" s="7" t="s">
        <v>824</v>
      </c>
      <c r="P142" s="7">
        <v>0</v>
      </c>
      <c r="Q142" s="7">
        <v>106001.51999999999</v>
      </c>
      <c r="R142" s="7">
        <v>90354.599999999991</v>
      </c>
      <c r="S142" s="7">
        <v>15646.919999999998</v>
      </c>
      <c r="T142" s="7" t="s">
        <v>823</v>
      </c>
      <c r="U142" s="7"/>
    </row>
    <row r="143" spans="1:21" x14ac:dyDescent="0.25">
      <c r="A143" s="7" t="s">
        <v>168</v>
      </c>
      <c r="B143" s="7" t="s">
        <v>808</v>
      </c>
      <c r="C143" s="7">
        <v>44627</v>
      </c>
      <c r="D143" s="7">
        <v>44632</v>
      </c>
      <c r="E143" s="7" t="s">
        <v>21</v>
      </c>
      <c r="F143" s="7" t="s">
        <v>18</v>
      </c>
      <c r="G143" s="7">
        <v>1572</v>
      </c>
      <c r="H143" s="7">
        <v>57.38</v>
      </c>
      <c r="I143" s="7">
        <v>49.32</v>
      </c>
      <c r="J143" s="7">
        <v>40</v>
      </c>
      <c r="K143" s="7" t="s">
        <v>15</v>
      </c>
      <c r="L143" s="7">
        <v>5</v>
      </c>
      <c r="M143" s="7">
        <v>11</v>
      </c>
      <c r="N143" s="7">
        <v>0</v>
      </c>
      <c r="O143" s="7" t="s">
        <v>824</v>
      </c>
      <c r="P143" s="7">
        <v>0</v>
      </c>
      <c r="Q143" s="7">
        <v>90201.36</v>
      </c>
      <c r="R143" s="7">
        <v>77531.039999999994</v>
      </c>
      <c r="S143" s="7">
        <v>12670.320000000007</v>
      </c>
      <c r="T143" s="7" t="s">
        <v>823</v>
      </c>
      <c r="U143" s="7"/>
    </row>
    <row r="144" spans="1:21" x14ac:dyDescent="0.25">
      <c r="A144" s="7" t="s">
        <v>169</v>
      </c>
      <c r="B144" s="7" t="s">
        <v>806</v>
      </c>
      <c r="C144" s="7">
        <v>44956</v>
      </c>
      <c r="D144" s="7">
        <v>44966</v>
      </c>
      <c r="E144" s="7" t="s">
        <v>39</v>
      </c>
      <c r="F144" s="7" t="s">
        <v>18</v>
      </c>
      <c r="G144" s="7">
        <v>642</v>
      </c>
      <c r="H144" s="7">
        <v>91.9</v>
      </c>
      <c r="I144" s="7">
        <v>81.489999999999995</v>
      </c>
      <c r="J144" s="7">
        <v>26</v>
      </c>
      <c r="K144" s="7" t="s">
        <v>15</v>
      </c>
      <c r="L144" s="7">
        <v>10</v>
      </c>
      <c r="M144" s="7">
        <v>11</v>
      </c>
      <c r="N144" s="7">
        <v>0</v>
      </c>
      <c r="O144" s="7" t="s">
        <v>824</v>
      </c>
      <c r="P144" s="7">
        <v>0</v>
      </c>
      <c r="Q144" s="7">
        <v>58999.8</v>
      </c>
      <c r="R144" s="7">
        <v>52316.579999999994</v>
      </c>
      <c r="S144" s="7">
        <v>6683.2200000000084</v>
      </c>
      <c r="T144" s="7" t="s">
        <v>823</v>
      </c>
      <c r="U144" s="7"/>
    </row>
    <row r="145" spans="1:21" x14ac:dyDescent="0.25">
      <c r="A145" s="7" t="s">
        <v>170</v>
      </c>
      <c r="B145" s="7" t="s">
        <v>808</v>
      </c>
      <c r="C145" s="7">
        <v>44952</v>
      </c>
      <c r="D145" s="7">
        <v>44961</v>
      </c>
      <c r="E145" s="7" t="s">
        <v>13</v>
      </c>
      <c r="F145" s="7" t="s">
        <v>18</v>
      </c>
      <c r="G145" s="7">
        <v>441</v>
      </c>
      <c r="H145" s="7">
        <v>63.25</v>
      </c>
      <c r="I145" s="7">
        <v>54.12</v>
      </c>
      <c r="J145" s="7">
        <v>16</v>
      </c>
      <c r="K145" s="7" t="s">
        <v>15</v>
      </c>
      <c r="L145" s="7">
        <v>9</v>
      </c>
      <c r="M145" s="7">
        <v>11</v>
      </c>
      <c r="N145" s="7">
        <v>0</v>
      </c>
      <c r="O145" s="7" t="s">
        <v>824</v>
      </c>
      <c r="P145" s="7">
        <v>0</v>
      </c>
      <c r="Q145" s="7">
        <v>27893.25</v>
      </c>
      <c r="R145" s="7">
        <v>23866.92</v>
      </c>
      <c r="S145" s="7">
        <v>4026.3300000000017</v>
      </c>
      <c r="T145" s="7" t="s">
        <v>823</v>
      </c>
      <c r="U145" s="7"/>
    </row>
    <row r="146" spans="1:21" x14ac:dyDescent="0.25">
      <c r="A146" s="7" t="s">
        <v>171</v>
      </c>
      <c r="B146" s="7" t="s">
        <v>808</v>
      </c>
      <c r="C146" s="7">
        <v>45172</v>
      </c>
      <c r="D146" s="7">
        <v>45188</v>
      </c>
      <c r="E146" s="7" t="s">
        <v>13</v>
      </c>
      <c r="F146" s="7" t="s">
        <v>18</v>
      </c>
      <c r="G146" s="7">
        <v>1748</v>
      </c>
      <c r="H146" s="7">
        <v>66.53</v>
      </c>
      <c r="I146" s="7">
        <v>57.11</v>
      </c>
      <c r="J146" s="7"/>
      <c r="K146" s="7" t="s">
        <v>15</v>
      </c>
      <c r="L146" s="7">
        <v>16</v>
      </c>
      <c r="M146" s="7">
        <v>11</v>
      </c>
      <c r="N146" s="7">
        <v>5</v>
      </c>
      <c r="O146" s="7" t="s">
        <v>824</v>
      </c>
      <c r="P146" s="7">
        <v>0</v>
      </c>
      <c r="Q146" s="7">
        <v>116294.44</v>
      </c>
      <c r="R146" s="7">
        <v>99828.28</v>
      </c>
      <c r="S146" s="7">
        <v>16466.160000000003</v>
      </c>
      <c r="T146" s="7" t="s">
        <v>825</v>
      </c>
      <c r="U146" s="7"/>
    </row>
    <row r="147" spans="1:21" x14ac:dyDescent="0.25">
      <c r="A147" s="7" t="s">
        <v>172</v>
      </c>
      <c r="B147" s="7" t="s">
        <v>806</v>
      </c>
      <c r="C147" s="7">
        <v>45041</v>
      </c>
      <c r="D147" s="7">
        <v>45051</v>
      </c>
      <c r="E147" s="7" t="s">
        <v>39</v>
      </c>
      <c r="F147" s="7" t="s">
        <v>35</v>
      </c>
      <c r="G147" s="7">
        <v>468</v>
      </c>
      <c r="H147" s="7">
        <v>95.57</v>
      </c>
      <c r="I147" s="7">
        <v>91.8</v>
      </c>
      <c r="J147" s="7">
        <v>24</v>
      </c>
      <c r="K147" s="7" t="s">
        <v>15</v>
      </c>
      <c r="L147" s="7">
        <v>10</v>
      </c>
      <c r="M147" s="7">
        <v>11</v>
      </c>
      <c r="N147" s="7">
        <v>0</v>
      </c>
      <c r="O147" s="7" t="s">
        <v>824</v>
      </c>
      <c r="P147" s="7">
        <v>0</v>
      </c>
      <c r="Q147" s="7">
        <v>44726.759999999995</v>
      </c>
      <c r="R147" s="7">
        <v>42962.400000000001</v>
      </c>
      <c r="S147" s="7">
        <v>1764.3599999999933</v>
      </c>
      <c r="T147" s="7" t="s">
        <v>823</v>
      </c>
      <c r="U147" s="7"/>
    </row>
    <row r="148" spans="1:21" x14ac:dyDescent="0.25">
      <c r="A148" s="7" t="s">
        <v>173</v>
      </c>
      <c r="B148" s="7" t="s">
        <v>807</v>
      </c>
      <c r="C148" s="7">
        <v>45103</v>
      </c>
      <c r="D148" s="7">
        <v>45121</v>
      </c>
      <c r="E148" s="7" t="s">
        <v>26</v>
      </c>
      <c r="F148" s="7" t="s">
        <v>18</v>
      </c>
      <c r="G148" s="7">
        <v>338</v>
      </c>
      <c r="H148" s="7">
        <v>50.25</v>
      </c>
      <c r="I148" s="7">
        <v>46.28</v>
      </c>
      <c r="J148" s="7">
        <v>49</v>
      </c>
      <c r="K148" s="7" t="s">
        <v>27</v>
      </c>
      <c r="L148" s="7">
        <v>18</v>
      </c>
      <c r="M148" s="7">
        <v>11</v>
      </c>
      <c r="N148" s="7">
        <v>7</v>
      </c>
      <c r="O148" s="7" t="s">
        <v>824</v>
      </c>
      <c r="P148" s="7">
        <v>0</v>
      </c>
      <c r="Q148" s="7">
        <v>16984.5</v>
      </c>
      <c r="R148" s="7">
        <v>15642.640000000001</v>
      </c>
      <c r="S148" s="7">
        <v>1341.8599999999988</v>
      </c>
      <c r="T148" s="7" t="s">
        <v>825</v>
      </c>
      <c r="U148" s="7"/>
    </row>
    <row r="149" spans="1:21" x14ac:dyDescent="0.25">
      <c r="A149" s="7" t="s">
        <v>174</v>
      </c>
      <c r="B149" s="7" t="s">
        <v>806</v>
      </c>
      <c r="C149" s="7">
        <v>44819</v>
      </c>
      <c r="D149" s="7">
        <v>44826</v>
      </c>
      <c r="E149" s="7" t="s">
        <v>13</v>
      </c>
      <c r="F149" s="7" t="s">
        <v>18</v>
      </c>
      <c r="G149" s="7">
        <v>428</v>
      </c>
      <c r="H149" s="7">
        <v>22.94</v>
      </c>
      <c r="I149" s="7">
        <v>21.52</v>
      </c>
      <c r="J149" s="7">
        <v>26</v>
      </c>
      <c r="K149" s="7" t="s">
        <v>15</v>
      </c>
      <c r="L149" s="7">
        <v>7</v>
      </c>
      <c r="M149" s="7">
        <v>11</v>
      </c>
      <c r="N149" s="7">
        <v>0</v>
      </c>
      <c r="O149" s="7" t="s">
        <v>824</v>
      </c>
      <c r="P149" s="7">
        <v>0</v>
      </c>
      <c r="Q149" s="7">
        <v>9818.32</v>
      </c>
      <c r="R149" s="7">
        <v>9210.56</v>
      </c>
      <c r="S149" s="7">
        <v>607.76000000000022</v>
      </c>
      <c r="T149" s="7" t="s">
        <v>823</v>
      </c>
      <c r="U149" s="7"/>
    </row>
    <row r="150" spans="1:21" x14ac:dyDescent="0.25">
      <c r="A150" s="7" t="s">
        <v>175</v>
      </c>
      <c r="B150" s="7" t="s">
        <v>807</v>
      </c>
      <c r="C150" s="7">
        <v>45128</v>
      </c>
      <c r="D150" s="7">
        <v>45139</v>
      </c>
      <c r="E150" s="7" t="s">
        <v>24</v>
      </c>
      <c r="F150" s="7" t="s">
        <v>18</v>
      </c>
      <c r="G150" s="7">
        <v>1846</v>
      </c>
      <c r="H150" s="7">
        <v>13.72</v>
      </c>
      <c r="I150" s="7">
        <v>12.62</v>
      </c>
      <c r="J150" s="7">
        <v>216</v>
      </c>
      <c r="K150" s="7" t="s">
        <v>15</v>
      </c>
      <c r="L150" s="7">
        <v>11</v>
      </c>
      <c r="M150" s="7">
        <v>11</v>
      </c>
      <c r="N150" s="7">
        <v>0</v>
      </c>
      <c r="O150" s="7" t="s">
        <v>824</v>
      </c>
      <c r="P150" s="7">
        <v>0</v>
      </c>
      <c r="Q150" s="7">
        <v>25327.120000000003</v>
      </c>
      <c r="R150" s="7">
        <v>23296.519999999997</v>
      </c>
      <c r="S150" s="7">
        <v>2030.6000000000058</v>
      </c>
      <c r="T150" s="7" t="s">
        <v>823</v>
      </c>
      <c r="U150" s="7"/>
    </row>
    <row r="151" spans="1:21" x14ac:dyDescent="0.25">
      <c r="A151" s="7" t="s">
        <v>176</v>
      </c>
      <c r="B151" s="7" t="s">
        <v>808</v>
      </c>
      <c r="C151" s="7">
        <v>44573</v>
      </c>
      <c r="D151" s="7">
        <v>44578</v>
      </c>
      <c r="E151" s="7" t="s">
        <v>13</v>
      </c>
      <c r="F151" s="7" t="s">
        <v>18</v>
      </c>
      <c r="G151" s="7">
        <v>1563</v>
      </c>
      <c r="H151" s="7">
        <v>77.959999999999994</v>
      </c>
      <c r="I151" s="7">
        <v>70.8</v>
      </c>
      <c r="J151" s="7">
        <v>41</v>
      </c>
      <c r="K151" s="7" t="s">
        <v>15</v>
      </c>
      <c r="L151" s="7">
        <v>5</v>
      </c>
      <c r="M151" s="7">
        <v>11</v>
      </c>
      <c r="N151" s="7">
        <v>0</v>
      </c>
      <c r="O151" s="7" t="s">
        <v>824</v>
      </c>
      <c r="P151" s="7">
        <v>0</v>
      </c>
      <c r="Q151" s="7">
        <v>121851.48</v>
      </c>
      <c r="R151" s="7">
        <v>110660.4</v>
      </c>
      <c r="S151" s="7">
        <v>11191.080000000002</v>
      </c>
      <c r="T151" s="7" t="s">
        <v>823</v>
      </c>
      <c r="U151" s="7"/>
    </row>
    <row r="152" spans="1:21" x14ac:dyDescent="0.25">
      <c r="A152" s="7" t="s">
        <v>177</v>
      </c>
      <c r="B152" s="7" t="s">
        <v>807</v>
      </c>
      <c r="C152" s="7">
        <v>45258</v>
      </c>
      <c r="D152" s="7">
        <v>45267</v>
      </c>
      <c r="E152" s="7" t="s">
        <v>13</v>
      </c>
      <c r="F152" s="7" t="s">
        <v>18</v>
      </c>
      <c r="G152" s="7">
        <v>280</v>
      </c>
      <c r="H152" s="7">
        <v>73.069999999999993</v>
      </c>
      <c r="I152" s="7">
        <v>69.290000000000006</v>
      </c>
      <c r="J152" s="7">
        <v>30</v>
      </c>
      <c r="K152" s="7" t="s">
        <v>15</v>
      </c>
      <c r="L152" s="7">
        <v>9</v>
      </c>
      <c r="M152" s="7">
        <v>11</v>
      </c>
      <c r="N152" s="7">
        <v>0</v>
      </c>
      <c r="O152" s="7" t="s">
        <v>824</v>
      </c>
      <c r="P152" s="7">
        <v>0</v>
      </c>
      <c r="Q152" s="7">
        <v>20459.599999999999</v>
      </c>
      <c r="R152" s="7">
        <v>19401.2</v>
      </c>
      <c r="S152" s="7">
        <v>1058.3999999999978</v>
      </c>
      <c r="T152" s="7" t="s">
        <v>823</v>
      </c>
      <c r="U152" s="7"/>
    </row>
    <row r="153" spans="1:21" x14ac:dyDescent="0.25">
      <c r="A153" s="7" t="s">
        <v>178</v>
      </c>
      <c r="B153" s="7" t="s">
        <v>805</v>
      </c>
      <c r="C153" s="7">
        <v>44679</v>
      </c>
      <c r="D153" s="7">
        <v>44693</v>
      </c>
      <c r="E153" s="7" t="s">
        <v>26</v>
      </c>
      <c r="F153" s="7" t="s">
        <v>18</v>
      </c>
      <c r="G153" s="7">
        <v>1067</v>
      </c>
      <c r="H153" s="7">
        <v>74.47</v>
      </c>
      <c r="I153" s="7">
        <v>64.16</v>
      </c>
      <c r="J153" s="7"/>
      <c r="K153" s="7" t="s">
        <v>27</v>
      </c>
      <c r="L153" s="7">
        <v>14</v>
      </c>
      <c r="M153" s="7">
        <v>11</v>
      </c>
      <c r="N153" s="7">
        <v>3</v>
      </c>
      <c r="O153" s="7" t="s">
        <v>824</v>
      </c>
      <c r="P153" s="7">
        <v>0</v>
      </c>
      <c r="Q153" s="7">
        <v>79459.490000000005</v>
      </c>
      <c r="R153" s="7">
        <v>68458.720000000001</v>
      </c>
      <c r="S153" s="7">
        <v>11000.770000000004</v>
      </c>
      <c r="T153" s="7" t="s">
        <v>826</v>
      </c>
      <c r="U153" s="7"/>
    </row>
    <row r="154" spans="1:21" x14ac:dyDescent="0.25">
      <c r="A154" s="7" t="s">
        <v>179</v>
      </c>
      <c r="B154" s="7" t="s">
        <v>806</v>
      </c>
      <c r="C154" s="7">
        <v>45260</v>
      </c>
      <c r="D154" s="7">
        <v>45277</v>
      </c>
      <c r="E154" s="7" t="s">
        <v>39</v>
      </c>
      <c r="F154" s="7" t="s">
        <v>35</v>
      </c>
      <c r="G154" s="7">
        <v>90</v>
      </c>
      <c r="H154" s="7">
        <v>32.380000000000003</v>
      </c>
      <c r="I154" s="7">
        <v>29.96</v>
      </c>
      <c r="J154" s="7">
        <v>7</v>
      </c>
      <c r="K154" s="7" t="s">
        <v>15</v>
      </c>
      <c r="L154" s="7">
        <v>17</v>
      </c>
      <c r="M154" s="7">
        <v>11</v>
      </c>
      <c r="N154" s="7">
        <v>6</v>
      </c>
      <c r="O154" s="7" t="s">
        <v>824</v>
      </c>
      <c r="P154" s="7">
        <v>0</v>
      </c>
      <c r="Q154" s="7">
        <v>2914.2000000000003</v>
      </c>
      <c r="R154" s="7">
        <v>2696.4</v>
      </c>
      <c r="S154" s="7">
        <v>217.80000000000018</v>
      </c>
      <c r="T154" s="7" t="s">
        <v>825</v>
      </c>
      <c r="U154" s="7"/>
    </row>
    <row r="155" spans="1:21" x14ac:dyDescent="0.25">
      <c r="A155" s="7" t="s">
        <v>180</v>
      </c>
      <c r="B155" s="7" t="s">
        <v>806</v>
      </c>
      <c r="C155" s="7">
        <v>45111</v>
      </c>
      <c r="D155" s="7">
        <v>45112</v>
      </c>
      <c r="E155" s="7" t="s">
        <v>26</v>
      </c>
      <c r="F155" s="7" t="s">
        <v>18</v>
      </c>
      <c r="G155" s="7">
        <v>1101</v>
      </c>
      <c r="H155" s="7">
        <v>24.28</v>
      </c>
      <c r="I155" s="7">
        <v>22.73</v>
      </c>
      <c r="J155" s="7">
        <v>59</v>
      </c>
      <c r="K155" s="7" t="s">
        <v>27</v>
      </c>
      <c r="L155" s="7">
        <v>1</v>
      </c>
      <c r="M155" s="7">
        <v>11</v>
      </c>
      <c r="N155" s="7">
        <v>0</v>
      </c>
      <c r="O155" s="7" t="s">
        <v>824</v>
      </c>
      <c r="P155" s="7">
        <v>0</v>
      </c>
      <c r="Q155" s="7">
        <v>26732.280000000002</v>
      </c>
      <c r="R155" s="7">
        <v>25025.73</v>
      </c>
      <c r="S155" s="7">
        <v>1706.5500000000029</v>
      </c>
      <c r="T155" s="7" t="s">
        <v>823</v>
      </c>
      <c r="U155" s="7"/>
    </row>
    <row r="156" spans="1:21" x14ac:dyDescent="0.25">
      <c r="A156" s="7" t="s">
        <v>181</v>
      </c>
      <c r="B156" s="7" t="s">
        <v>804</v>
      </c>
      <c r="C156" s="7">
        <v>44835</v>
      </c>
      <c r="D156" s="7">
        <v>44845</v>
      </c>
      <c r="E156" s="7" t="s">
        <v>26</v>
      </c>
      <c r="F156" s="7" t="s">
        <v>18</v>
      </c>
      <c r="G156" s="7">
        <v>184</v>
      </c>
      <c r="H156" s="7">
        <v>11.82</v>
      </c>
      <c r="I156" s="7">
        <v>10.51</v>
      </c>
      <c r="J156" s="7">
        <v>4</v>
      </c>
      <c r="K156" s="7" t="s">
        <v>15</v>
      </c>
      <c r="L156" s="7">
        <v>10</v>
      </c>
      <c r="M156" s="7">
        <v>11</v>
      </c>
      <c r="N156" s="7">
        <v>0</v>
      </c>
      <c r="O156" s="7" t="s">
        <v>824</v>
      </c>
      <c r="P156" s="7">
        <v>0</v>
      </c>
      <c r="Q156" s="7">
        <v>2174.88</v>
      </c>
      <c r="R156" s="7">
        <v>1933.84</v>
      </c>
      <c r="S156" s="7">
        <v>241.04000000000019</v>
      </c>
      <c r="T156" s="7" t="s">
        <v>823</v>
      </c>
      <c r="U156" s="7"/>
    </row>
    <row r="157" spans="1:21" x14ac:dyDescent="0.25">
      <c r="A157" s="7" t="s">
        <v>182</v>
      </c>
      <c r="B157" s="7" t="s">
        <v>808</v>
      </c>
      <c r="C157" s="7">
        <v>45218</v>
      </c>
      <c r="D157" s="7">
        <v>45237</v>
      </c>
      <c r="E157" s="7" t="s">
        <v>39</v>
      </c>
      <c r="F157" s="7" t="s">
        <v>18</v>
      </c>
      <c r="G157" s="7">
        <v>250</v>
      </c>
      <c r="H157" s="7">
        <v>45.92</v>
      </c>
      <c r="I157" s="7">
        <v>41.02</v>
      </c>
      <c r="J157" s="7">
        <v>3</v>
      </c>
      <c r="K157" s="7" t="s">
        <v>15</v>
      </c>
      <c r="L157" s="7">
        <v>19</v>
      </c>
      <c r="M157" s="7">
        <v>11</v>
      </c>
      <c r="N157" s="7">
        <v>8</v>
      </c>
      <c r="O157" s="7" t="s">
        <v>824</v>
      </c>
      <c r="P157" s="7">
        <v>0</v>
      </c>
      <c r="Q157" s="7">
        <v>11480</v>
      </c>
      <c r="R157" s="7">
        <v>10255</v>
      </c>
      <c r="S157" s="7">
        <v>1225</v>
      </c>
      <c r="T157" s="7" t="s">
        <v>825</v>
      </c>
      <c r="U157" s="7"/>
    </row>
    <row r="158" spans="1:21" x14ac:dyDescent="0.25">
      <c r="A158" s="7" t="s">
        <v>183</v>
      </c>
      <c r="B158" s="7" t="s">
        <v>808</v>
      </c>
      <c r="C158" s="7">
        <v>44910</v>
      </c>
      <c r="D158" s="7">
        <v>44921</v>
      </c>
      <c r="E158" s="7" t="s">
        <v>24</v>
      </c>
      <c r="F158" s="7" t="s">
        <v>14</v>
      </c>
      <c r="G158" s="7">
        <v>1913</v>
      </c>
      <c r="H158" s="7">
        <v>66.56</v>
      </c>
      <c r="I158" s="7">
        <v>61.34</v>
      </c>
      <c r="J158" s="7">
        <v>61</v>
      </c>
      <c r="K158" s="7" t="s">
        <v>15</v>
      </c>
      <c r="L158" s="7">
        <v>11</v>
      </c>
      <c r="M158" s="7">
        <v>11</v>
      </c>
      <c r="N158" s="7">
        <v>0</v>
      </c>
      <c r="O158" s="7" t="s">
        <v>824</v>
      </c>
      <c r="P158" s="7">
        <v>0</v>
      </c>
      <c r="Q158" s="7">
        <v>127329.28</v>
      </c>
      <c r="R158" s="7">
        <v>117343.42000000001</v>
      </c>
      <c r="S158" s="7">
        <v>9985.859999999986</v>
      </c>
      <c r="T158" s="7" t="s">
        <v>823</v>
      </c>
      <c r="U158" s="7"/>
    </row>
    <row r="159" spans="1:21" x14ac:dyDescent="0.25">
      <c r="A159" s="7" t="s">
        <v>184</v>
      </c>
      <c r="B159" s="7" t="s">
        <v>807</v>
      </c>
      <c r="C159" s="7">
        <v>44676</v>
      </c>
      <c r="D159" s="7">
        <v>44681</v>
      </c>
      <c r="E159" s="7" t="s">
        <v>39</v>
      </c>
      <c r="F159" s="7" t="s">
        <v>18</v>
      </c>
      <c r="G159" s="7">
        <v>829</v>
      </c>
      <c r="H159" s="7">
        <v>45.98</v>
      </c>
      <c r="I159" s="7">
        <v>40.39</v>
      </c>
      <c r="J159" s="7"/>
      <c r="K159" s="7" t="s">
        <v>15</v>
      </c>
      <c r="L159" s="7">
        <v>5</v>
      </c>
      <c r="M159" s="7">
        <v>11</v>
      </c>
      <c r="N159" s="7">
        <v>0</v>
      </c>
      <c r="O159" s="7" t="s">
        <v>822</v>
      </c>
      <c r="P159" s="7">
        <v>1</v>
      </c>
      <c r="Q159" s="7">
        <v>38117.42</v>
      </c>
      <c r="R159" s="7">
        <v>33483.31</v>
      </c>
      <c r="S159" s="7">
        <v>4634.1100000000006</v>
      </c>
      <c r="T159" s="7" t="s">
        <v>823</v>
      </c>
      <c r="U159" s="7"/>
    </row>
    <row r="160" spans="1:21" x14ac:dyDescent="0.25">
      <c r="A160" s="7" t="s">
        <v>185</v>
      </c>
      <c r="B160" s="7" t="s">
        <v>805</v>
      </c>
      <c r="C160" s="7">
        <v>44862</v>
      </c>
      <c r="D160" s="7">
        <v>44878</v>
      </c>
      <c r="E160" s="7" t="s">
        <v>26</v>
      </c>
      <c r="F160" s="7" t="s">
        <v>18</v>
      </c>
      <c r="G160" s="7">
        <v>979</v>
      </c>
      <c r="H160" s="7">
        <v>51.59</v>
      </c>
      <c r="I160" s="7">
        <v>49.69</v>
      </c>
      <c r="J160" s="7">
        <v>148</v>
      </c>
      <c r="K160" s="7" t="s">
        <v>15</v>
      </c>
      <c r="L160" s="7">
        <v>16</v>
      </c>
      <c r="M160" s="7">
        <v>11</v>
      </c>
      <c r="N160" s="7">
        <v>5</v>
      </c>
      <c r="O160" s="7" t="s">
        <v>824</v>
      </c>
      <c r="P160" s="7">
        <v>0</v>
      </c>
      <c r="Q160" s="7">
        <v>50506.61</v>
      </c>
      <c r="R160" s="7">
        <v>48646.509999999995</v>
      </c>
      <c r="S160" s="7">
        <v>1860.1000000000058</v>
      </c>
      <c r="T160" s="7" t="s">
        <v>825</v>
      </c>
      <c r="U160" s="7"/>
    </row>
    <row r="161" spans="1:21" x14ac:dyDescent="0.25">
      <c r="A161" s="7" t="s">
        <v>186</v>
      </c>
      <c r="B161" s="7" t="s">
        <v>808</v>
      </c>
      <c r="C161" s="7">
        <v>45007</v>
      </c>
      <c r="D161" s="7">
        <v>45025</v>
      </c>
      <c r="E161" s="7" t="s">
        <v>39</v>
      </c>
      <c r="F161" s="7" t="s">
        <v>33</v>
      </c>
      <c r="G161" s="7">
        <v>1106</v>
      </c>
      <c r="H161" s="7">
        <v>97.77</v>
      </c>
      <c r="I161" s="7">
        <v>90.45</v>
      </c>
      <c r="J161" s="7">
        <v>31</v>
      </c>
      <c r="K161" s="7" t="s">
        <v>15</v>
      </c>
      <c r="L161" s="7">
        <v>18</v>
      </c>
      <c r="M161" s="7">
        <v>11</v>
      </c>
      <c r="N161" s="7">
        <v>7</v>
      </c>
      <c r="O161" s="7" t="s">
        <v>824</v>
      </c>
      <c r="P161" s="7">
        <v>0</v>
      </c>
      <c r="Q161" s="7">
        <v>108133.62</v>
      </c>
      <c r="R161" s="7">
        <v>100037.7</v>
      </c>
      <c r="S161" s="7">
        <v>8095.9199999999983</v>
      </c>
      <c r="T161" s="7" t="s">
        <v>825</v>
      </c>
      <c r="U161" s="7"/>
    </row>
    <row r="162" spans="1:21" x14ac:dyDescent="0.25">
      <c r="A162" s="7" t="s">
        <v>187</v>
      </c>
      <c r="B162" s="7" t="s">
        <v>805</v>
      </c>
      <c r="C162" s="7">
        <v>44723</v>
      </c>
      <c r="D162" s="7">
        <v>44736</v>
      </c>
      <c r="E162" s="7" t="s">
        <v>13</v>
      </c>
      <c r="F162" s="7" t="s">
        <v>35</v>
      </c>
      <c r="G162" s="7">
        <v>1121</v>
      </c>
      <c r="H162" s="7">
        <v>42.38</v>
      </c>
      <c r="I162" s="7">
        <v>38.340000000000003</v>
      </c>
      <c r="J162" s="7">
        <v>152</v>
      </c>
      <c r="K162" s="7" t="s">
        <v>15</v>
      </c>
      <c r="L162" s="7">
        <v>13</v>
      </c>
      <c r="M162" s="7">
        <v>11</v>
      </c>
      <c r="N162" s="7">
        <v>2</v>
      </c>
      <c r="O162" s="7" t="s">
        <v>824</v>
      </c>
      <c r="P162" s="7">
        <v>0</v>
      </c>
      <c r="Q162" s="7">
        <v>47507.98</v>
      </c>
      <c r="R162" s="7">
        <v>42979.140000000007</v>
      </c>
      <c r="S162" s="7">
        <v>4528.8399999999965</v>
      </c>
      <c r="T162" s="7" t="s">
        <v>826</v>
      </c>
      <c r="U162" s="7"/>
    </row>
    <row r="163" spans="1:21" x14ac:dyDescent="0.25">
      <c r="A163" s="7" t="s">
        <v>188</v>
      </c>
      <c r="B163" s="7" t="s">
        <v>804</v>
      </c>
      <c r="C163" s="7">
        <v>45026</v>
      </c>
      <c r="D163" s="7">
        <v>45037</v>
      </c>
      <c r="E163" s="7" t="s">
        <v>13</v>
      </c>
      <c r="F163" s="7" t="s">
        <v>18</v>
      </c>
      <c r="G163" s="7">
        <v>552</v>
      </c>
      <c r="H163" s="7">
        <v>60.48</v>
      </c>
      <c r="I163" s="7">
        <v>56.78</v>
      </c>
      <c r="J163" s="7">
        <v>10</v>
      </c>
      <c r="K163" s="7" t="s">
        <v>15</v>
      </c>
      <c r="L163" s="7">
        <v>11</v>
      </c>
      <c r="M163" s="7">
        <v>11</v>
      </c>
      <c r="N163" s="7">
        <v>0</v>
      </c>
      <c r="O163" s="7" t="s">
        <v>824</v>
      </c>
      <c r="P163" s="7">
        <v>0</v>
      </c>
      <c r="Q163" s="7">
        <v>33384.959999999999</v>
      </c>
      <c r="R163" s="7">
        <v>31342.560000000001</v>
      </c>
      <c r="S163" s="7">
        <v>2042.3999999999978</v>
      </c>
      <c r="T163" s="7" t="s">
        <v>823</v>
      </c>
      <c r="U163" s="7"/>
    </row>
    <row r="164" spans="1:21" x14ac:dyDescent="0.25">
      <c r="A164" s="7" t="s">
        <v>189</v>
      </c>
      <c r="B164" s="7" t="s">
        <v>806</v>
      </c>
      <c r="C164" s="7">
        <v>44565</v>
      </c>
      <c r="D164" s="7">
        <v>44573</v>
      </c>
      <c r="E164" s="7" t="s">
        <v>24</v>
      </c>
      <c r="F164" s="7" t="s">
        <v>18</v>
      </c>
      <c r="G164" s="7">
        <v>456</v>
      </c>
      <c r="H164" s="7">
        <v>80.53</v>
      </c>
      <c r="I164" s="7">
        <v>77.86</v>
      </c>
      <c r="J164" s="7">
        <v>26</v>
      </c>
      <c r="K164" s="7" t="s">
        <v>15</v>
      </c>
      <c r="L164" s="7">
        <v>8</v>
      </c>
      <c r="M164" s="7">
        <v>11</v>
      </c>
      <c r="N164" s="7">
        <v>0</v>
      </c>
      <c r="O164" s="7" t="s">
        <v>824</v>
      </c>
      <c r="P164" s="7">
        <v>0</v>
      </c>
      <c r="Q164" s="7">
        <v>36721.68</v>
      </c>
      <c r="R164" s="7">
        <v>35504.159999999996</v>
      </c>
      <c r="S164" s="7">
        <v>1217.5200000000041</v>
      </c>
      <c r="T164" s="7" t="s">
        <v>823</v>
      </c>
      <c r="U164" s="7"/>
    </row>
    <row r="165" spans="1:21" x14ac:dyDescent="0.25">
      <c r="A165" s="7" t="s">
        <v>190</v>
      </c>
      <c r="B165" s="7" t="s">
        <v>805</v>
      </c>
      <c r="C165" s="7">
        <v>44831</v>
      </c>
      <c r="D165" s="7">
        <v>44839</v>
      </c>
      <c r="E165" s="7" t="s">
        <v>24</v>
      </c>
      <c r="F165" s="7" t="s">
        <v>18</v>
      </c>
      <c r="G165" s="7">
        <v>1647</v>
      </c>
      <c r="H165" s="7">
        <v>47.52</v>
      </c>
      <c r="I165" s="7">
        <v>44.92</v>
      </c>
      <c r="J165" s="7"/>
      <c r="K165" s="7" t="s">
        <v>15</v>
      </c>
      <c r="L165" s="7">
        <v>8</v>
      </c>
      <c r="M165" s="7">
        <v>11</v>
      </c>
      <c r="N165" s="7">
        <v>0</v>
      </c>
      <c r="O165" s="7" t="s">
        <v>822</v>
      </c>
      <c r="P165" s="7">
        <v>1</v>
      </c>
      <c r="Q165" s="7">
        <v>78265.440000000002</v>
      </c>
      <c r="R165" s="7">
        <v>73983.240000000005</v>
      </c>
      <c r="S165" s="7">
        <v>4282.1999999999971</v>
      </c>
      <c r="T165" s="7" t="s">
        <v>823</v>
      </c>
      <c r="U165" s="7"/>
    </row>
    <row r="166" spans="1:21" x14ac:dyDescent="0.25">
      <c r="A166" s="7" t="s">
        <v>191</v>
      </c>
      <c r="B166" s="7" t="s">
        <v>808</v>
      </c>
      <c r="C166" s="7">
        <v>45074</v>
      </c>
      <c r="D166" s="7">
        <v>45088</v>
      </c>
      <c r="E166" s="7" t="s">
        <v>39</v>
      </c>
      <c r="F166" s="7" t="s">
        <v>35</v>
      </c>
      <c r="G166" s="7">
        <v>1801</v>
      </c>
      <c r="H166" s="7">
        <v>71.27</v>
      </c>
      <c r="I166" s="7">
        <v>61.24</v>
      </c>
      <c r="J166" s="7">
        <v>43</v>
      </c>
      <c r="K166" s="7" t="s">
        <v>15</v>
      </c>
      <c r="L166" s="7">
        <v>14</v>
      </c>
      <c r="M166" s="7">
        <v>11</v>
      </c>
      <c r="N166" s="7">
        <v>3</v>
      </c>
      <c r="O166" s="7" t="s">
        <v>824</v>
      </c>
      <c r="P166" s="7">
        <v>0</v>
      </c>
      <c r="Q166" s="7">
        <v>128357.26999999999</v>
      </c>
      <c r="R166" s="7">
        <v>110293.24</v>
      </c>
      <c r="S166" s="7">
        <v>18064.029999999984</v>
      </c>
      <c r="T166" s="7" t="s">
        <v>826</v>
      </c>
      <c r="U166" s="7"/>
    </row>
    <row r="167" spans="1:21" x14ac:dyDescent="0.25">
      <c r="A167" s="7" t="s">
        <v>192</v>
      </c>
      <c r="B167" s="7" t="s">
        <v>806</v>
      </c>
      <c r="C167" s="7">
        <v>44744</v>
      </c>
      <c r="D167" s="7">
        <v>44760</v>
      </c>
      <c r="E167" s="7" t="s">
        <v>39</v>
      </c>
      <c r="F167" s="7" t="s">
        <v>18</v>
      </c>
      <c r="G167" s="7">
        <v>854</v>
      </c>
      <c r="H167" s="7">
        <v>90.24</v>
      </c>
      <c r="I167" s="7">
        <v>85.53</v>
      </c>
      <c r="J167" s="7"/>
      <c r="K167" s="7" t="s">
        <v>15</v>
      </c>
      <c r="L167" s="7">
        <v>16</v>
      </c>
      <c r="M167" s="7">
        <v>11</v>
      </c>
      <c r="N167" s="7">
        <v>5</v>
      </c>
      <c r="O167" s="7" t="s">
        <v>824</v>
      </c>
      <c r="P167" s="7">
        <v>0</v>
      </c>
      <c r="Q167" s="7">
        <v>77064.959999999992</v>
      </c>
      <c r="R167" s="7">
        <v>73042.62</v>
      </c>
      <c r="S167" s="7">
        <v>4022.3399999999965</v>
      </c>
      <c r="T167" s="7" t="s">
        <v>825</v>
      </c>
      <c r="U167" s="7"/>
    </row>
    <row r="168" spans="1:21" x14ac:dyDescent="0.25">
      <c r="A168" s="7" t="s">
        <v>193</v>
      </c>
      <c r="B168" s="7" t="s">
        <v>805</v>
      </c>
      <c r="C168" s="7">
        <v>45081</v>
      </c>
      <c r="D168" s="7">
        <v>45094</v>
      </c>
      <c r="E168" s="7" t="s">
        <v>39</v>
      </c>
      <c r="F168" s="7" t="s">
        <v>18</v>
      </c>
      <c r="G168" s="7">
        <v>148</v>
      </c>
      <c r="H168" s="7">
        <v>103.57</v>
      </c>
      <c r="I168" s="7">
        <v>98.62</v>
      </c>
      <c r="J168" s="7">
        <v>23</v>
      </c>
      <c r="K168" s="7" t="s">
        <v>27</v>
      </c>
      <c r="L168" s="7">
        <v>13</v>
      </c>
      <c r="M168" s="7">
        <v>11</v>
      </c>
      <c r="N168" s="7">
        <v>2</v>
      </c>
      <c r="O168" s="7" t="s">
        <v>824</v>
      </c>
      <c r="P168" s="7">
        <v>0</v>
      </c>
      <c r="Q168" s="7">
        <v>15328.359999999999</v>
      </c>
      <c r="R168" s="7">
        <v>14595.76</v>
      </c>
      <c r="S168" s="7">
        <v>732.59999999999854</v>
      </c>
      <c r="T168" s="7" t="s">
        <v>826</v>
      </c>
      <c r="U168" s="7"/>
    </row>
    <row r="169" spans="1:21" x14ac:dyDescent="0.25">
      <c r="A169" s="7" t="s">
        <v>194</v>
      </c>
      <c r="B169" s="7" t="s">
        <v>805</v>
      </c>
      <c r="C169" s="7">
        <v>44670</v>
      </c>
      <c r="D169" s="7">
        <v>44675</v>
      </c>
      <c r="E169" s="7" t="s">
        <v>21</v>
      </c>
      <c r="F169" s="7" t="s">
        <v>18</v>
      </c>
      <c r="G169" s="7">
        <v>733</v>
      </c>
      <c r="H169" s="7">
        <v>23.59</v>
      </c>
      <c r="I169" s="7">
        <v>22.85</v>
      </c>
      <c r="J169" s="7">
        <v>92</v>
      </c>
      <c r="K169" s="7" t="s">
        <v>15</v>
      </c>
      <c r="L169" s="7">
        <v>5</v>
      </c>
      <c r="M169" s="7">
        <v>11</v>
      </c>
      <c r="N169" s="7">
        <v>0</v>
      </c>
      <c r="O169" s="7" t="s">
        <v>824</v>
      </c>
      <c r="P169" s="7">
        <v>0</v>
      </c>
      <c r="Q169" s="7">
        <v>17291.47</v>
      </c>
      <c r="R169" s="7">
        <v>16749.05</v>
      </c>
      <c r="S169" s="7">
        <v>542.42000000000189</v>
      </c>
      <c r="T169" s="7" t="s">
        <v>823</v>
      </c>
      <c r="U169" s="7"/>
    </row>
    <row r="170" spans="1:21" x14ac:dyDescent="0.25">
      <c r="A170" s="7" t="s">
        <v>195</v>
      </c>
      <c r="B170" s="7" t="s">
        <v>807</v>
      </c>
      <c r="C170" s="7">
        <v>45202</v>
      </c>
      <c r="D170" s="7">
        <v>45204</v>
      </c>
      <c r="E170" s="7" t="s">
        <v>26</v>
      </c>
      <c r="F170" s="7" t="s">
        <v>18</v>
      </c>
      <c r="G170" s="7">
        <v>1945</v>
      </c>
      <c r="H170" s="7">
        <v>103.2</v>
      </c>
      <c r="I170" s="7">
        <v>88.56</v>
      </c>
      <c r="J170" s="7"/>
      <c r="K170" s="7" t="s">
        <v>15</v>
      </c>
      <c r="L170" s="7">
        <v>2</v>
      </c>
      <c r="M170" s="7">
        <v>11</v>
      </c>
      <c r="N170" s="7">
        <v>0</v>
      </c>
      <c r="O170" s="7" t="s">
        <v>822</v>
      </c>
      <c r="P170" s="7">
        <v>1</v>
      </c>
      <c r="Q170" s="7">
        <v>200724</v>
      </c>
      <c r="R170" s="7">
        <v>172249.2</v>
      </c>
      <c r="S170" s="7">
        <v>28474.799999999988</v>
      </c>
      <c r="T170" s="7" t="s">
        <v>823</v>
      </c>
      <c r="U170" s="7"/>
    </row>
    <row r="171" spans="1:21" x14ac:dyDescent="0.25">
      <c r="A171" s="7" t="s">
        <v>196</v>
      </c>
      <c r="B171" s="7" t="s">
        <v>806</v>
      </c>
      <c r="C171" s="7">
        <v>44867</v>
      </c>
      <c r="D171" s="7">
        <v>44886</v>
      </c>
      <c r="E171" s="7" t="s">
        <v>26</v>
      </c>
      <c r="F171" s="7" t="s">
        <v>18</v>
      </c>
      <c r="G171" s="7">
        <v>775</v>
      </c>
      <c r="H171" s="7">
        <v>57</v>
      </c>
      <c r="I171" s="7">
        <v>49.14</v>
      </c>
      <c r="J171" s="7">
        <v>48</v>
      </c>
      <c r="K171" s="7" t="s">
        <v>15</v>
      </c>
      <c r="L171" s="7">
        <v>19</v>
      </c>
      <c r="M171" s="7">
        <v>11</v>
      </c>
      <c r="N171" s="7">
        <v>8</v>
      </c>
      <c r="O171" s="7" t="s">
        <v>824</v>
      </c>
      <c r="P171" s="7">
        <v>0</v>
      </c>
      <c r="Q171" s="7">
        <v>44175</v>
      </c>
      <c r="R171" s="7">
        <v>38083.5</v>
      </c>
      <c r="S171" s="7">
        <v>6091.5</v>
      </c>
      <c r="T171" s="7" t="s">
        <v>825</v>
      </c>
      <c r="U171" s="7"/>
    </row>
    <row r="172" spans="1:21" x14ac:dyDescent="0.25">
      <c r="A172" s="7" t="s">
        <v>197</v>
      </c>
      <c r="B172" s="7" t="s">
        <v>805</v>
      </c>
      <c r="C172" s="7">
        <v>45216</v>
      </c>
      <c r="D172" s="7">
        <v>45220</v>
      </c>
      <c r="E172" s="7" t="s">
        <v>24</v>
      </c>
      <c r="F172" s="7" t="s">
        <v>18</v>
      </c>
      <c r="G172" s="7">
        <v>1620</v>
      </c>
      <c r="H172" s="7">
        <v>36.729999999999997</v>
      </c>
      <c r="I172" s="7">
        <v>33.450000000000003</v>
      </c>
      <c r="J172" s="7">
        <v>235</v>
      </c>
      <c r="K172" s="7" t="s">
        <v>27</v>
      </c>
      <c r="L172" s="7">
        <v>4</v>
      </c>
      <c r="M172" s="7">
        <v>11</v>
      </c>
      <c r="N172" s="7">
        <v>0</v>
      </c>
      <c r="O172" s="7" t="s">
        <v>824</v>
      </c>
      <c r="P172" s="7">
        <v>0</v>
      </c>
      <c r="Q172" s="7">
        <v>59502.6</v>
      </c>
      <c r="R172" s="7">
        <v>54189.000000000007</v>
      </c>
      <c r="S172" s="7">
        <v>5313.5999999999913</v>
      </c>
      <c r="T172" s="7" t="s">
        <v>823</v>
      </c>
      <c r="U172" s="7"/>
    </row>
    <row r="173" spans="1:21" x14ac:dyDescent="0.25">
      <c r="A173" s="7" t="s">
        <v>198</v>
      </c>
      <c r="B173" s="7" t="s">
        <v>807</v>
      </c>
      <c r="C173" s="7">
        <v>45081</v>
      </c>
      <c r="D173" s="7">
        <v>45096</v>
      </c>
      <c r="E173" s="7" t="s">
        <v>13</v>
      </c>
      <c r="F173" s="7" t="s">
        <v>18</v>
      </c>
      <c r="G173" s="7">
        <v>1010</v>
      </c>
      <c r="H173" s="7">
        <v>55.68</v>
      </c>
      <c r="I173" s="7">
        <v>50.86</v>
      </c>
      <c r="J173" s="7"/>
      <c r="K173" s="7" t="s">
        <v>15</v>
      </c>
      <c r="L173" s="7">
        <v>15</v>
      </c>
      <c r="M173" s="7">
        <v>11</v>
      </c>
      <c r="N173" s="7">
        <v>4</v>
      </c>
      <c r="O173" s="7" t="s">
        <v>824</v>
      </c>
      <c r="P173" s="7">
        <v>0</v>
      </c>
      <c r="Q173" s="7">
        <v>56236.800000000003</v>
      </c>
      <c r="R173" s="7">
        <v>51368.6</v>
      </c>
      <c r="S173" s="7">
        <v>4868.2000000000044</v>
      </c>
      <c r="T173" s="7" t="s">
        <v>826</v>
      </c>
      <c r="U173" s="7"/>
    </row>
    <row r="174" spans="1:21" x14ac:dyDescent="0.25">
      <c r="A174" s="7" t="s">
        <v>199</v>
      </c>
      <c r="B174" s="7" t="s">
        <v>808</v>
      </c>
      <c r="C174" s="7">
        <v>45185</v>
      </c>
      <c r="D174" s="7">
        <v>45200</v>
      </c>
      <c r="E174" s="7" t="s">
        <v>13</v>
      </c>
      <c r="F174" s="7" t="s">
        <v>18</v>
      </c>
      <c r="G174" s="7">
        <v>1812</v>
      </c>
      <c r="H174" s="7">
        <v>108.02</v>
      </c>
      <c r="I174" s="7">
        <v>101.02</v>
      </c>
      <c r="J174" s="7">
        <v>51</v>
      </c>
      <c r="K174" s="7" t="s">
        <v>15</v>
      </c>
      <c r="L174" s="7">
        <v>15</v>
      </c>
      <c r="M174" s="7">
        <v>11</v>
      </c>
      <c r="N174" s="7">
        <v>4</v>
      </c>
      <c r="O174" s="7" t="s">
        <v>824</v>
      </c>
      <c r="P174" s="7">
        <v>0</v>
      </c>
      <c r="Q174" s="7">
        <v>195732.24</v>
      </c>
      <c r="R174" s="7">
        <v>183048.24</v>
      </c>
      <c r="S174" s="7">
        <v>12684</v>
      </c>
      <c r="T174" s="7" t="s">
        <v>826</v>
      </c>
      <c r="U174" s="7"/>
    </row>
    <row r="175" spans="1:21" x14ac:dyDescent="0.25">
      <c r="A175" s="7" t="s">
        <v>200</v>
      </c>
      <c r="B175" s="7" t="s">
        <v>805</v>
      </c>
      <c r="C175" s="7">
        <v>44765</v>
      </c>
      <c r="D175" s="7">
        <v>44770</v>
      </c>
      <c r="E175" s="7" t="s">
        <v>13</v>
      </c>
      <c r="F175" s="7" t="s">
        <v>18</v>
      </c>
      <c r="G175" s="7">
        <v>662</v>
      </c>
      <c r="H175" s="7">
        <v>55.97</v>
      </c>
      <c r="I175" s="7">
        <v>50</v>
      </c>
      <c r="J175" s="7">
        <v>100</v>
      </c>
      <c r="K175" s="7" t="s">
        <v>15</v>
      </c>
      <c r="L175" s="7">
        <v>5</v>
      </c>
      <c r="M175" s="7">
        <v>11</v>
      </c>
      <c r="N175" s="7">
        <v>0</v>
      </c>
      <c r="O175" s="7" t="s">
        <v>824</v>
      </c>
      <c r="P175" s="7">
        <v>0</v>
      </c>
      <c r="Q175" s="7">
        <v>37052.14</v>
      </c>
      <c r="R175" s="7">
        <v>33100</v>
      </c>
      <c r="S175" s="7">
        <v>3952.1399999999994</v>
      </c>
      <c r="T175" s="7" t="s">
        <v>823</v>
      </c>
      <c r="U175" s="7"/>
    </row>
    <row r="176" spans="1:21" x14ac:dyDescent="0.25">
      <c r="A176" s="7" t="s">
        <v>201</v>
      </c>
      <c r="B176" s="7" t="s">
        <v>807</v>
      </c>
      <c r="C176" s="7">
        <v>44718</v>
      </c>
      <c r="D176" s="7">
        <v>44723</v>
      </c>
      <c r="E176" s="7" t="s">
        <v>13</v>
      </c>
      <c r="F176" s="7" t="s">
        <v>35</v>
      </c>
      <c r="G176" s="7">
        <v>1535</v>
      </c>
      <c r="H176" s="7">
        <v>40.58</v>
      </c>
      <c r="I176" s="7">
        <v>38.71</v>
      </c>
      <c r="J176" s="7">
        <v>165</v>
      </c>
      <c r="K176" s="7" t="s">
        <v>15</v>
      </c>
      <c r="L176" s="7">
        <v>5</v>
      </c>
      <c r="M176" s="7">
        <v>11</v>
      </c>
      <c r="N176" s="7">
        <v>0</v>
      </c>
      <c r="O176" s="7" t="s">
        <v>824</v>
      </c>
      <c r="P176" s="7">
        <v>0</v>
      </c>
      <c r="Q176" s="7">
        <v>62290.299999999996</v>
      </c>
      <c r="R176" s="7">
        <v>59419.85</v>
      </c>
      <c r="S176" s="7">
        <v>2870.4499999999971</v>
      </c>
      <c r="T176" s="7" t="s">
        <v>823</v>
      </c>
      <c r="U176" s="7"/>
    </row>
    <row r="177" spans="1:21" x14ac:dyDescent="0.25">
      <c r="A177" s="7" t="s">
        <v>202</v>
      </c>
      <c r="B177" s="7" t="s">
        <v>807</v>
      </c>
      <c r="C177" s="7">
        <v>44944</v>
      </c>
      <c r="D177" s="7">
        <v>44953</v>
      </c>
      <c r="E177" s="7" t="s">
        <v>26</v>
      </c>
      <c r="F177" s="7" t="s">
        <v>18</v>
      </c>
      <c r="G177" s="7">
        <v>692</v>
      </c>
      <c r="H177" s="7">
        <v>71.03</v>
      </c>
      <c r="I177" s="7">
        <v>67.739999999999995</v>
      </c>
      <c r="J177" s="7">
        <v>70</v>
      </c>
      <c r="K177" s="7" t="s">
        <v>15</v>
      </c>
      <c r="L177" s="7">
        <v>9</v>
      </c>
      <c r="M177" s="7">
        <v>11</v>
      </c>
      <c r="N177" s="7">
        <v>0</v>
      </c>
      <c r="O177" s="7" t="s">
        <v>824</v>
      </c>
      <c r="P177" s="7">
        <v>0</v>
      </c>
      <c r="Q177" s="7">
        <v>49152.76</v>
      </c>
      <c r="R177" s="7">
        <v>46876.079999999994</v>
      </c>
      <c r="S177" s="7">
        <v>2276.6800000000076</v>
      </c>
      <c r="T177" s="7" t="s">
        <v>823</v>
      </c>
      <c r="U177" s="7"/>
    </row>
    <row r="178" spans="1:21" x14ac:dyDescent="0.25">
      <c r="A178" s="7" t="s">
        <v>203</v>
      </c>
      <c r="B178" s="7" t="s">
        <v>806</v>
      </c>
      <c r="C178" s="7">
        <v>44727</v>
      </c>
      <c r="D178" s="7">
        <v>44740</v>
      </c>
      <c r="E178" s="7" t="s">
        <v>21</v>
      </c>
      <c r="F178" s="7" t="s">
        <v>18</v>
      </c>
      <c r="G178" s="7">
        <v>1842</v>
      </c>
      <c r="H178" s="7">
        <v>32.4</v>
      </c>
      <c r="I178" s="7">
        <v>28.08</v>
      </c>
      <c r="J178" s="7">
        <v>96</v>
      </c>
      <c r="K178" s="7" t="s">
        <v>15</v>
      </c>
      <c r="L178" s="7">
        <v>13</v>
      </c>
      <c r="M178" s="7">
        <v>11</v>
      </c>
      <c r="N178" s="7">
        <v>2</v>
      </c>
      <c r="O178" s="7" t="s">
        <v>824</v>
      </c>
      <c r="P178" s="7">
        <v>0</v>
      </c>
      <c r="Q178" s="7">
        <v>59680.799999999996</v>
      </c>
      <c r="R178" s="7">
        <v>51723.359999999993</v>
      </c>
      <c r="S178" s="7">
        <v>7957.4400000000023</v>
      </c>
      <c r="T178" s="7" t="s">
        <v>826</v>
      </c>
      <c r="U178" s="7"/>
    </row>
    <row r="179" spans="1:21" x14ac:dyDescent="0.25">
      <c r="A179" s="7" t="s">
        <v>204</v>
      </c>
      <c r="B179" s="7" t="s">
        <v>807</v>
      </c>
      <c r="C179" s="7">
        <v>45114</v>
      </c>
      <c r="D179" s="7">
        <v>45125</v>
      </c>
      <c r="E179" s="7" t="s">
        <v>13</v>
      </c>
      <c r="F179" s="7" t="s">
        <v>14</v>
      </c>
      <c r="G179" s="7">
        <v>1078</v>
      </c>
      <c r="H179" s="7">
        <v>18.34</v>
      </c>
      <c r="I179" s="7">
        <v>17.41</v>
      </c>
      <c r="J179" s="7">
        <v>102</v>
      </c>
      <c r="K179" s="7" t="s">
        <v>15</v>
      </c>
      <c r="L179" s="7">
        <v>11</v>
      </c>
      <c r="M179" s="7">
        <v>11</v>
      </c>
      <c r="N179" s="7">
        <v>0</v>
      </c>
      <c r="O179" s="7" t="s">
        <v>824</v>
      </c>
      <c r="P179" s="7">
        <v>0</v>
      </c>
      <c r="Q179" s="7">
        <v>19770.52</v>
      </c>
      <c r="R179" s="7">
        <v>18767.98</v>
      </c>
      <c r="S179" s="7">
        <v>1002.5400000000009</v>
      </c>
      <c r="T179" s="7" t="s">
        <v>823</v>
      </c>
      <c r="U179" s="7"/>
    </row>
    <row r="180" spans="1:21" x14ac:dyDescent="0.25">
      <c r="A180" s="7" t="s">
        <v>205</v>
      </c>
      <c r="B180" s="7" t="s">
        <v>805</v>
      </c>
      <c r="C180" s="7">
        <v>45105</v>
      </c>
      <c r="D180" s="7">
        <v>45123</v>
      </c>
      <c r="E180" s="7" t="s">
        <v>24</v>
      </c>
      <c r="F180" s="7" t="s">
        <v>18</v>
      </c>
      <c r="G180" s="7">
        <v>1291</v>
      </c>
      <c r="H180" s="7">
        <v>23.44</v>
      </c>
      <c r="I180" s="7">
        <v>22.23</v>
      </c>
      <c r="J180" s="7"/>
      <c r="K180" s="7" t="s">
        <v>15</v>
      </c>
      <c r="L180" s="7">
        <v>18</v>
      </c>
      <c r="M180" s="7">
        <v>11</v>
      </c>
      <c r="N180" s="7">
        <v>7</v>
      </c>
      <c r="O180" s="7" t="s">
        <v>824</v>
      </c>
      <c r="P180" s="7">
        <v>0</v>
      </c>
      <c r="Q180" s="7">
        <v>30261.040000000001</v>
      </c>
      <c r="R180" s="7">
        <v>28698.93</v>
      </c>
      <c r="S180" s="7">
        <v>1562.1100000000006</v>
      </c>
      <c r="T180" s="7" t="s">
        <v>825</v>
      </c>
      <c r="U180" s="7"/>
    </row>
    <row r="181" spans="1:21" x14ac:dyDescent="0.25">
      <c r="A181" s="7" t="s">
        <v>206</v>
      </c>
      <c r="B181" s="7" t="s">
        <v>804</v>
      </c>
      <c r="C181" s="7">
        <v>44562</v>
      </c>
      <c r="D181" s="7">
        <v>44573</v>
      </c>
      <c r="E181" s="7" t="s">
        <v>39</v>
      </c>
      <c r="F181" s="7" t="s">
        <v>18</v>
      </c>
      <c r="G181" s="7">
        <v>552</v>
      </c>
      <c r="H181" s="7">
        <v>21.52</v>
      </c>
      <c r="I181" s="7">
        <v>18.79</v>
      </c>
      <c r="J181" s="7">
        <v>13</v>
      </c>
      <c r="K181" s="7" t="s">
        <v>15</v>
      </c>
      <c r="L181" s="7">
        <v>11</v>
      </c>
      <c r="M181" s="7">
        <v>11</v>
      </c>
      <c r="N181" s="7">
        <v>0</v>
      </c>
      <c r="O181" s="7" t="s">
        <v>824</v>
      </c>
      <c r="P181" s="7">
        <v>0</v>
      </c>
      <c r="Q181" s="7">
        <v>11879.039999999999</v>
      </c>
      <c r="R181" s="7">
        <v>10372.08</v>
      </c>
      <c r="S181" s="7">
        <v>1506.9599999999991</v>
      </c>
      <c r="T181" s="7" t="s">
        <v>823</v>
      </c>
      <c r="U181" s="7"/>
    </row>
    <row r="182" spans="1:21" x14ac:dyDescent="0.25">
      <c r="A182" s="7" t="s">
        <v>207</v>
      </c>
      <c r="B182" s="7" t="s">
        <v>808</v>
      </c>
      <c r="C182" s="7">
        <v>45175</v>
      </c>
      <c r="D182" s="7">
        <v>45191</v>
      </c>
      <c r="E182" s="7" t="s">
        <v>39</v>
      </c>
      <c r="F182" s="7" t="s">
        <v>18</v>
      </c>
      <c r="G182" s="7">
        <v>816</v>
      </c>
      <c r="H182" s="7">
        <v>26.04</v>
      </c>
      <c r="I182" s="7">
        <v>25.61</v>
      </c>
      <c r="J182" s="7">
        <v>28</v>
      </c>
      <c r="K182" s="7" t="s">
        <v>15</v>
      </c>
      <c r="L182" s="7">
        <v>16</v>
      </c>
      <c r="M182" s="7">
        <v>11</v>
      </c>
      <c r="N182" s="7">
        <v>5</v>
      </c>
      <c r="O182" s="7" t="s">
        <v>824</v>
      </c>
      <c r="P182" s="7">
        <v>0</v>
      </c>
      <c r="Q182" s="7">
        <v>21248.639999999999</v>
      </c>
      <c r="R182" s="7">
        <v>20897.759999999998</v>
      </c>
      <c r="S182" s="7">
        <v>350.88000000000102</v>
      </c>
      <c r="T182" s="7" t="s">
        <v>825</v>
      </c>
      <c r="U182" s="7"/>
    </row>
    <row r="183" spans="1:21" x14ac:dyDescent="0.25">
      <c r="A183" s="7" t="s">
        <v>208</v>
      </c>
      <c r="B183" s="7" t="s">
        <v>805</v>
      </c>
      <c r="C183" s="7">
        <v>44893</v>
      </c>
      <c r="D183" s="7">
        <v>44895</v>
      </c>
      <c r="E183" s="7" t="s">
        <v>24</v>
      </c>
      <c r="F183" s="7" t="s">
        <v>18</v>
      </c>
      <c r="G183" s="7">
        <v>447</v>
      </c>
      <c r="H183" s="7">
        <v>23.62</v>
      </c>
      <c r="I183" s="7">
        <v>21.81</v>
      </c>
      <c r="J183" s="7">
        <v>50</v>
      </c>
      <c r="K183" s="7" t="s">
        <v>15</v>
      </c>
      <c r="L183" s="7">
        <v>2</v>
      </c>
      <c r="M183" s="7">
        <v>11</v>
      </c>
      <c r="N183" s="7">
        <v>0</v>
      </c>
      <c r="O183" s="7" t="s">
        <v>824</v>
      </c>
      <c r="P183" s="7">
        <v>0</v>
      </c>
      <c r="Q183" s="7">
        <v>10558.140000000001</v>
      </c>
      <c r="R183" s="7">
        <v>9749.07</v>
      </c>
      <c r="S183" s="7">
        <v>809.07000000000153</v>
      </c>
      <c r="T183" s="7" t="s">
        <v>823</v>
      </c>
      <c r="U183" s="7"/>
    </row>
    <row r="184" spans="1:21" x14ac:dyDescent="0.25">
      <c r="A184" s="7" t="s">
        <v>209</v>
      </c>
      <c r="B184" s="7" t="s">
        <v>805</v>
      </c>
      <c r="C184" s="7">
        <v>45062</v>
      </c>
      <c r="D184" s="7">
        <v>45070</v>
      </c>
      <c r="E184" s="7" t="s">
        <v>24</v>
      </c>
      <c r="F184" s="7" t="s">
        <v>33</v>
      </c>
      <c r="G184" s="7">
        <v>920</v>
      </c>
      <c r="H184" s="7">
        <v>73.09</v>
      </c>
      <c r="I184" s="7">
        <v>70.14</v>
      </c>
      <c r="J184" s="7"/>
      <c r="K184" s="7" t="s">
        <v>15</v>
      </c>
      <c r="L184" s="7">
        <v>8</v>
      </c>
      <c r="M184" s="7">
        <v>11</v>
      </c>
      <c r="N184" s="7">
        <v>0</v>
      </c>
      <c r="O184" s="7" t="s">
        <v>822</v>
      </c>
      <c r="P184" s="7">
        <v>1</v>
      </c>
      <c r="Q184" s="7">
        <v>67242.8</v>
      </c>
      <c r="R184" s="7">
        <v>64528.800000000003</v>
      </c>
      <c r="S184" s="7">
        <v>2714</v>
      </c>
      <c r="T184" s="7" t="s">
        <v>823</v>
      </c>
      <c r="U184" s="7"/>
    </row>
    <row r="185" spans="1:21" x14ac:dyDescent="0.25">
      <c r="A185" s="7" t="s">
        <v>210</v>
      </c>
      <c r="B185" s="7" t="s">
        <v>808</v>
      </c>
      <c r="C185" s="7">
        <v>44581</v>
      </c>
      <c r="D185" s="7">
        <v>44591</v>
      </c>
      <c r="E185" s="7" t="s">
        <v>24</v>
      </c>
      <c r="F185" s="7" t="s">
        <v>33</v>
      </c>
      <c r="G185" s="7">
        <v>844</v>
      </c>
      <c r="H185" s="7">
        <v>26.37</v>
      </c>
      <c r="I185" s="7">
        <v>25.08</v>
      </c>
      <c r="J185" s="7">
        <v>38</v>
      </c>
      <c r="K185" s="7" t="s">
        <v>15</v>
      </c>
      <c r="L185" s="7">
        <v>10</v>
      </c>
      <c r="M185" s="7">
        <v>11</v>
      </c>
      <c r="N185" s="7">
        <v>0</v>
      </c>
      <c r="O185" s="7" t="s">
        <v>824</v>
      </c>
      <c r="P185" s="7">
        <v>0</v>
      </c>
      <c r="Q185" s="7">
        <v>22256.280000000002</v>
      </c>
      <c r="R185" s="7">
        <v>21167.519999999997</v>
      </c>
      <c r="S185" s="7">
        <v>1088.7600000000057</v>
      </c>
      <c r="T185" s="7" t="s">
        <v>823</v>
      </c>
      <c r="U185" s="7"/>
    </row>
    <row r="186" spans="1:21" x14ac:dyDescent="0.25">
      <c r="A186" s="7" t="s">
        <v>211</v>
      </c>
      <c r="B186" s="7" t="s">
        <v>808</v>
      </c>
      <c r="C186" s="7">
        <v>44676</v>
      </c>
      <c r="D186" s="7">
        <v>44687</v>
      </c>
      <c r="E186" s="7" t="s">
        <v>21</v>
      </c>
      <c r="F186" s="7" t="s">
        <v>18</v>
      </c>
      <c r="G186" s="7">
        <v>442</v>
      </c>
      <c r="H186" s="7">
        <v>41.73</v>
      </c>
      <c r="I186" s="7">
        <v>36.450000000000003</v>
      </c>
      <c r="J186" s="7">
        <v>15</v>
      </c>
      <c r="K186" s="7" t="s">
        <v>15</v>
      </c>
      <c r="L186" s="7">
        <v>11</v>
      </c>
      <c r="M186" s="7">
        <v>11</v>
      </c>
      <c r="N186" s="7">
        <v>0</v>
      </c>
      <c r="O186" s="7" t="s">
        <v>824</v>
      </c>
      <c r="P186" s="7">
        <v>0</v>
      </c>
      <c r="Q186" s="7">
        <v>18444.66</v>
      </c>
      <c r="R186" s="7">
        <v>16110.900000000001</v>
      </c>
      <c r="S186" s="7">
        <v>2333.7599999999984</v>
      </c>
      <c r="T186" s="7" t="s">
        <v>823</v>
      </c>
      <c r="U186" s="7"/>
    </row>
    <row r="187" spans="1:21" x14ac:dyDescent="0.25">
      <c r="A187" s="7" t="s">
        <v>212</v>
      </c>
      <c r="B187" s="7" t="s">
        <v>807</v>
      </c>
      <c r="C187" s="7">
        <v>44933</v>
      </c>
      <c r="D187" s="7">
        <v>44947</v>
      </c>
      <c r="E187" s="7" t="s">
        <v>39</v>
      </c>
      <c r="F187" s="7" t="s">
        <v>14</v>
      </c>
      <c r="G187" s="7">
        <v>256</v>
      </c>
      <c r="H187" s="7">
        <v>96.15</v>
      </c>
      <c r="I187" s="7">
        <v>83.44</v>
      </c>
      <c r="J187" s="7">
        <v>26</v>
      </c>
      <c r="K187" s="7" t="s">
        <v>15</v>
      </c>
      <c r="L187" s="7">
        <v>14</v>
      </c>
      <c r="M187" s="7">
        <v>11</v>
      </c>
      <c r="N187" s="7">
        <v>3</v>
      </c>
      <c r="O187" s="7" t="s">
        <v>824</v>
      </c>
      <c r="P187" s="7">
        <v>0</v>
      </c>
      <c r="Q187" s="7">
        <v>24614.400000000001</v>
      </c>
      <c r="R187" s="7">
        <v>21360.639999999999</v>
      </c>
      <c r="S187" s="7">
        <v>3253.760000000002</v>
      </c>
      <c r="T187" s="7" t="s">
        <v>826</v>
      </c>
      <c r="U187" s="7"/>
    </row>
    <row r="188" spans="1:21" x14ac:dyDescent="0.25">
      <c r="A188" s="7" t="s">
        <v>213</v>
      </c>
      <c r="B188" s="7" t="s">
        <v>805</v>
      </c>
      <c r="C188" s="7">
        <v>44876</v>
      </c>
      <c r="D188" s="7">
        <v>44887</v>
      </c>
      <c r="E188" s="7" t="s">
        <v>21</v>
      </c>
      <c r="F188" s="7" t="s">
        <v>33</v>
      </c>
      <c r="G188" s="7">
        <v>1088</v>
      </c>
      <c r="H188" s="7">
        <v>55.29</v>
      </c>
      <c r="I188" s="7">
        <v>53.04</v>
      </c>
      <c r="J188" s="7">
        <v>161</v>
      </c>
      <c r="K188" s="7" t="s">
        <v>27</v>
      </c>
      <c r="L188" s="7">
        <v>11</v>
      </c>
      <c r="M188" s="7">
        <v>11</v>
      </c>
      <c r="N188" s="7">
        <v>0</v>
      </c>
      <c r="O188" s="7" t="s">
        <v>824</v>
      </c>
      <c r="P188" s="7">
        <v>0</v>
      </c>
      <c r="Q188" s="7">
        <v>60155.519999999997</v>
      </c>
      <c r="R188" s="7">
        <v>57707.519999999997</v>
      </c>
      <c r="S188" s="7">
        <v>2448</v>
      </c>
      <c r="T188" s="7" t="s">
        <v>823</v>
      </c>
      <c r="U188" s="7"/>
    </row>
    <row r="189" spans="1:21" x14ac:dyDescent="0.25">
      <c r="A189" s="7" t="s">
        <v>214</v>
      </c>
      <c r="B189" s="7" t="s">
        <v>807</v>
      </c>
      <c r="C189" s="7">
        <v>44807</v>
      </c>
      <c r="D189" s="7">
        <v>44811</v>
      </c>
      <c r="E189" s="7" t="s">
        <v>13</v>
      </c>
      <c r="F189" s="7" t="s">
        <v>18</v>
      </c>
      <c r="G189" s="7">
        <v>1931</v>
      </c>
      <c r="H189" s="7">
        <v>72.88</v>
      </c>
      <c r="I189" s="7">
        <v>64.69</v>
      </c>
      <c r="J189" s="7">
        <v>187</v>
      </c>
      <c r="K189" s="7" t="s">
        <v>15</v>
      </c>
      <c r="L189" s="7">
        <v>4</v>
      </c>
      <c r="M189" s="7">
        <v>11</v>
      </c>
      <c r="N189" s="7">
        <v>0</v>
      </c>
      <c r="O189" s="7" t="s">
        <v>824</v>
      </c>
      <c r="P189" s="7">
        <v>0</v>
      </c>
      <c r="Q189" s="7">
        <v>140731.28</v>
      </c>
      <c r="R189" s="7">
        <v>124916.39</v>
      </c>
      <c r="S189" s="7">
        <v>15814.89</v>
      </c>
      <c r="T189" s="7" t="s">
        <v>823</v>
      </c>
      <c r="U189" s="7"/>
    </row>
    <row r="190" spans="1:21" x14ac:dyDescent="0.25">
      <c r="A190" s="7" t="s">
        <v>215</v>
      </c>
      <c r="B190" s="7" t="s">
        <v>806</v>
      </c>
      <c r="C190" s="7">
        <v>44621</v>
      </c>
      <c r="D190" s="7">
        <v>44631</v>
      </c>
      <c r="E190" s="7" t="s">
        <v>39</v>
      </c>
      <c r="F190" s="7" t="s">
        <v>18</v>
      </c>
      <c r="G190" s="7">
        <v>1627</v>
      </c>
      <c r="H190" s="7">
        <v>25.76</v>
      </c>
      <c r="I190" s="7">
        <v>25.09</v>
      </c>
      <c r="J190" s="7">
        <v>74</v>
      </c>
      <c r="K190" s="7" t="s">
        <v>15</v>
      </c>
      <c r="L190" s="7">
        <v>10</v>
      </c>
      <c r="M190" s="7">
        <v>11</v>
      </c>
      <c r="N190" s="7">
        <v>0</v>
      </c>
      <c r="O190" s="7" t="s">
        <v>824</v>
      </c>
      <c r="P190" s="7">
        <v>0</v>
      </c>
      <c r="Q190" s="7">
        <v>41911.520000000004</v>
      </c>
      <c r="R190" s="7">
        <v>40821.43</v>
      </c>
      <c r="S190" s="7">
        <v>1090.0900000000038</v>
      </c>
      <c r="T190" s="7" t="s">
        <v>823</v>
      </c>
      <c r="U190" s="7"/>
    </row>
    <row r="191" spans="1:21" x14ac:dyDescent="0.25">
      <c r="A191" s="7" t="s">
        <v>216</v>
      </c>
      <c r="B191" s="7" t="s">
        <v>807</v>
      </c>
      <c r="C191" s="7">
        <v>44808</v>
      </c>
      <c r="D191" s="7">
        <v>44819</v>
      </c>
      <c r="E191" s="7" t="s">
        <v>24</v>
      </c>
      <c r="F191" s="7" t="s">
        <v>18</v>
      </c>
      <c r="G191" s="7">
        <v>941</v>
      </c>
      <c r="H191" s="7">
        <v>28.4</v>
      </c>
      <c r="I191" s="7">
        <v>27.21</v>
      </c>
      <c r="J191" s="7"/>
      <c r="K191" s="7" t="s">
        <v>27</v>
      </c>
      <c r="L191" s="7">
        <v>11</v>
      </c>
      <c r="M191" s="7">
        <v>11</v>
      </c>
      <c r="N191" s="7">
        <v>0</v>
      </c>
      <c r="O191" s="7" t="s">
        <v>822</v>
      </c>
      <c r="P191" s="7">
        <v>1</v>
      </c>
      <c r="Q191" s="7">
        <v>26724.399999999998</v>
      </c>
      <c r="R191" s="7">
        <v>25604.61</v>
      </c>
      <c r="S191" s="7">
        <v>1119.7899999999972</v>
      </c>
      <c r="T191" s="7" t="s">
        <v>823</v>
      </c>
      <c r="U191" s="7"/>
    </row>
    <row r="192" spans="1:21" x14ac:dyDescent="0.25">
      <c r="A192" s="7" t="s">
        <v>217</v>
      </c>
      <c r="B192" s="7" t="s">
        <v>806</v>
      </c>
      <c r="C192" s="7">
        <v>45142</v>
      </c>
      <c r="D192" s="7">
        <v>45144</v>
      </c>
      <c r="E192" s="7" t="s">
        <v>21</v>
      </c>
      <c r="F192" s="7" t="s">
        <v>18</v>
      </c>
      <c r="G192" s="7">
        <v>1534</v>
      </c>
      <c r="H192" s="7">
        <v>14.98</v>
      </c>
      <c r="I192" s="7">
        <v>12.79</v>
      </c>
      <c r="J192" s="7"/>
      <c r="K192" s="7" t="s">
        <v>15</v>
      </c>
      <c r="L192" s="7">
        <v>2</v>
      </c>
      <c r="M192" s="7">
        <v>11</v>
      </c>
      <c r="N192" s="7">
        <v>0</v>
      </c>
      <c r="O192" s="7" t="s">
        <v>822</v>
      </c>
      <c r="P192" s="7">
        <v>1</v>
      </c>
      <c r="Q192" s="7">
        <v>22979.32</v>
      </c>
      <c r="R192" s="7">
        <v>19619.859999999997</v>
      </c>
      <c r="S192" s="7">
        <v>3359.4600000000028</v>
      </c>
      <c r="T192" s="7" t="s">
        <v>823</v>
      </c>
      <c r="U192" s="7"/>
    </row>
    <row r="193" spans="1:21" x14ac:dyDescent="0.25">
      <c r="A193" s="7" t="s">
        <v>218</v>
      </c>
      <c r="B193" s="7" t="s">
        <v>804</v>
      </c>
      <c r="C193" s="7">
        <v>44642</v>
      </c>
      <c r="D193" s="7">
        <v>44654</v>
      </c>
      <c r="E193" s="7" t="s">
        <v>26</v>
      </c>
      <c r="F193" s="7" t="s">
        <v>18</v>
      </c>
      <c r="G193" s="7">
        <v>1764</v>
      </c>
      <c r="H193" s="7">
        <v>25.46</v>
      </c>
      <c r="I193" s="7">
        <v>24.52</v>
      </c>
      <c r="J193" s="7">
        <v>46</v>
      </c>
      <c r="K193" s="7" t="s">
        <v>15</v>
      </c>
      <c r="L193" s="7">
        <v>12</v>
      </c>
      <c r="M193" s="7">
        <v>11</v>
      </c>
      <c r="N193" s="7">
        <v>1</v>
      </c>
      <c r="O193" s="7" t="s">
        <v>824</v>
      </c>
      <c r="P193" s="7">
        <v>0</v>
      </c>
      <c r="Q193" s="7">
        <v>44911.44</v>
      </c>
      <c r="R193" s="7">
        <v>43253.279999999999</v>
      </c>
      <c r="S193" s="7">
        <v>1658.1600000000035</v>
      </c>
      <c r="T193" s="7" t="s">
        <v>826</v>
      </c>
      <c r="U193" s="7"/>
    </row>
    <row r="194" spans="1:21" x14ac:dyDescent="0.25">
      <c r="A194" s="7" t="s">
        <v>219</v>
      </c>
      <c r="B194" s="7" t="s">
        <v>805</v>
      </c>
      <c r="C194" s="7">
        <v>44649</v>
      </c>
      <c r="D194" s="7">
        <v>44657</v>
      </c>
      <c r="E194" s="7" t="s">
        <v>39</v>
      </c>
      <c r="F194" s="7" t="s">
        <v>18</v>
      </c>
      <c r="G194" s="7">
        <v>1648</v>
      </c>
      <c r="H194" s="7">
        <v>35.42</v>
      </c>
      <c r="I194" s="7">
        <v>31.46</v>
      </c>
      <c r="J194" s="7"/>
      <c r="K194" s="7" t="s">
        <v>27</v>
      </c>
      <c r="L194" s="7">
        <v>8</v>
      </c>
      <c r="M194" s="7">
        <v>11</v>
      </c>
      <c r="N194" s="7">
        <v>0</v>
      </c>
      <c r="O194" s="7" t="s">
        <v>822</v>
      </c>
      <c r="P194" s="7">
        <v>1</v>
      </c>
      <c r="Q194" s="7">
        <v>58372.160000000003</v>
      </c>
      <c r="R194" s="7">
        <v>51846.080000000002</v>
      </c>
      <c r="S194" s="7">
        <v>6526.0800000000017</v>
      </c>
      <c r="T194" s="7" t="s">
        <v>823</v>
      </c>
      <c r="U194" s="7"/>
    </row>
    <row r="195" spans="1:21" x14ac:dyDescent="0.25">
      <c r="A195" s="7" t="s">
        <v>220</v>
      </c>
      <c r="B195" s="7" t="s">
        <v>806</v>
      </c>
      <c r="C195" s="7">
        <v>45059</v>
      </c>
      <c r="D195" s="7">
        <v>45078</v>
      </c>
      <c r="E195" s="7" t="s">
        <v>24</v>
      </c>
      <c r="F195" s="7" t="s">
        <v>18</v>
      </c>
      <c r="G195" s="7">
        <v>913</v>
      </c>
      <c r="H195" s="7">
        <v>28.01</v>
      </c>
      <c r="I195" s="7">
        <v>24.06</v>
      </c>
      <c r="J195" s="7">
        <v>53</v>
      </c>
      <c r="K195" s="7" t="s">
        <v>15</v>
      </c>
      <c r="L195" s="7">
        <v>19</v>
      </c>
      <c r="M195" s="7">
        <v>11</v>
      </c>
      <c r="N195" s="7">
        <v>8</v>
      </c>
      <c r="O195" s="7" t="s">
        <v>824</v>
      </c>
      <c r="P195" s="7">
        <v>0</v>
      </c>
      <c r="Q195" s="7">
        <v>25573.13</v>
      </c>
      <c r="R195" s="7">
        <v>21966.78</v>
      </c>
      <c r="S195" s="7">
        <v>3606.3500000000022</v>
      </c>
      <c r="T195" s="7" t="s">
        <v>825</v>
      </c>
      <c r="U195" s="7"/>
    </row>
    <row r="196" spans="1:21" x14ac:dyDescent="0.25">
      <c r="A196" s="7" t="s">
        <v>221</v>
      </c>
      <c r="B196" s="7" t="s">
        <v>804</v>
      </c>
      <c r="C196" s="7">
        <v>44632</v>
      </c>
      <c r="D196" s="7">
        <v>44638</v>
      </c>
      <c r="E196" s="7" t="s">
        <v>24</v>
      </c>
      <c r="F196" s="7" t="s">
        <v>14</v>
      </c>
      <c r="G196" s="7">
        <v>792</v>
      </c>
      <c r="H196" s="7">
        <v>18.16</v>
      </c>
      <c r="I196" s="7">
        <v>17.25</v>
      </c>
      <c r="J196" s="7">
        <v>17</v>
      </c>
      <c r="K196" s="7" t="s">
        <v>15</v>
      </c>
      <c r="L196" s="7">
        <v>6</v>
      </c>
      <c r="M196" s="7">
        <v>11</v>
      </c>
      <c r="N196" s="7">
        <v>0</v>
      </c>
      <c r="O196" s="7" t="s">
        <v>824</v>
      </c>
      <c r="P196" s="7">
        <v>0</v>
      </c>
      <c r="Q196" s="7">
        <v>14382.72</v>
      </c>
      <c r="R196" s="7">
        <v>13662</v>
      </c>
      <c r="S196" s="7">
        <v>720.71999999999935</v>
      </c>
      <c r="T196" s="7" t="s">
        <v>823</v>
      </c>
      <c r="U196" s="7"/>
    </row>
    <row r="197" spans="1:21" x14ac:dyDescent="0.25">
      <c r="A197" s="7" t="s">
        <v>222</v>
      </c>
      <c r="B197" s="7" t="s">
        <v>808</v>
      </c>
      <c r="C197" s="7">
        <v>45107</v>
      </c>
      <c r="D197" s="7">
        <v>45110</v>
      </c>
      <c r="E197" s="7" t="s">
        <v>13</v>
      </c>
      <c r="F197" s="7" t="s">
        <v>33</v>
      </c>
      <c r="G197" s="7">
        <v>1314</v>
      </c>
      <c r="H197" s="7">
        <v>22.63</v>
      </c>
      <c r="I197" s="7">
        <v>21.06</v>
      </c>
      <c r="J197" s="7">
        <v>44</v>
      </c>
      <c r="K197" s="7" t="s">
        <v>15</v>
      </c>
      <c r="L197" s="7">
        <v>3</v>
      </c>
      <c r="M197" s="7">
        <v>11</v>
      </c>
      <c r="N197" s="7">
        <v>0</v>
      </c>
      <c r="O197" s="7" t="s">
        <v>824</v>
      </c>
      <c r="P197" s="7">
        <v>0</v>
      </c>
      <c r="Q197" s="7">
        <v>29735.82</v>
      </c>
      <c r="R197" s="7">
        <v>27672.839999999997</v>
      </c>
      <c r="S197" s="7">
        <v>2062.9800000000032</v>
      </c>
      <c r="T197" s="7" t="s">
        <v>823</v>
      </c>
      <c r="U197" s="7"/>
    </row>
    <row r="198" spans="1:21" x14ac:dyDescent="0.25">
      <c r="A198" s="7" t="s">
        <v>223</v>
      </c>
      <c r="B198" s="7" t="s">
        <v>807</v>
      </c>
      <c r="C198" s="7">
        <v>44690</v>
      </c>
      <c r="D198" s="7">
        <v>44703</v>
      </c>
      <c r="E198" s="7" t="s">
        <v>21</v>
      </c>
      <c r="F198" s="7" t="s">
        <v>18</v>
      </c>
      <c r="G198" s="7">
        <v>613</v>
      </c>
      <c r="H198" s="7">
        <v>52.5</v>
      </c>
      <c r="I198" s="7">
        <v>45.19</v>
      </c>
      <c r="J198" s="7">
        <v>70</v>
      </c>
      <c r="K198" s="7" t="s">
        <v>15</v>
      </c>
      <c r="L198" s="7">
        <v>13</v>
      </c>
      <c r="M198" s="7">
        <v>11</v>
      </c>
      <c r="N198" s="7">
        <v>2</v>
      </c>
      <c r="O198" s="7" t="s">
        <v>824</v>
      </c>
      <c r="P198" s="7">
        <v>0</v>
      </c>
      <c r="Q198" s="7">
        <v>32182.5</v>
      </c>
      <c r="R198" s="7">
        <v>27701.469999999998</v>
      </c>
      <c r="S198" s="7">
        <v>4481.0300000000025</v>
      </c>
      <c r="T198" s="7" t="s">
        <v>826</v>
      </c>
      <c r="U198" s="7"/>
    </row>
    <row r="199" spans="1:21" x14ac:dyDescent="0.25">
      <c r="A199" s="7" t="s">
        <v>224</v>
      </c>
      <c r="B199" s="7" t="s">
        <v>804</v>
      </c>
      <c r="C199" s="7">
        <v>44693</v>
      </c>
      <c r="D199" s="7">
        <v>44701</v>
      </c>
      <c r="E199" s="7" t="s">
        <v>13</v>
      </c>
      <c r="F199" s="7" t="s">
        <v>18</v>
      </c>
      <c r="G199" s="7">
        <v>1070</v>
      </c>
      <c r="H199" s="7">
        <v>29.14</v>
      </c>
      <c r="I199" s="7">
        <v>26.63</v>
      </c>
      <c r="J199" s="7">
        <v>24</v>
      </c>
      <c r="K199" s="7" t="s">
        <v>15</v>
      </c>
      <c r="L199" s="7">
        <v>8</v>
      </c>
      <c r="M199" s="7">
        <v>11</v>
      </c>
      <c r="N199" s="7">
        <v>0</v>
      </c>
      <c r="O199" s="7" t="s">
        <v>824</v>
      </c>
      <c r="P199" s="7">
        <v>0</v>
      </c>
      <c r="Q199" s="7">
        <v>31179.8</v>
      </c>
      <c r="R199" s="7">
        <v>28494.1</v>
      </c>
      <c r="S199" s="7">
        <v>2685.7000000000007</v>
      </c>
      <c r="T199" s="7" t="s">
        <v>823</v>
      </c>
      <c r="U199" s="7"/>
    </row>
    <row r="200" spans="1:21" x14ac:dyDescent="0.25">
      <c r="A200" s="7" t="s">
        <v>225</v>
      </c>
      <c r="B200" s="7" t="s">
        <v>806</v>
      </c>
      <c r="C200" s="7">
        <v>45237</v>
      </c>
      <c r="D200" s="7">
        <v>45256</v>
      </c>
      <c r="E200" s="7" t="s">
        <v>26</v>
      </c>
      <c r="F200" s="7" t="s">
        <v>33</v>
      </c>
      <c r="G200" s="7">
        <v>145</v>
      </c>
      <c r="H200" s="7">
        <v>47.49</v>
      </c>
      <c r="I200" s="7">
        <v>42.76</v>
      </c>
      <c r="J200" s="7">
        <v>6</v>
      </c>
      <c r="K200" s="7" t="s">
        <v>15</v>
      </c>
      <c r="L200" s="7">
        <v>19</v>
      </c>
      <c r="M200" s="7">
        <v>11</v>
      </c>
      <c r="N200" s="7">
        <v>8</v>
      </c>
      <c r="O200" s="7" t="s">
        <v>824</v>
      </c>
      <c r="P200" s="7">
        <v>0</v>
      </c>
      <c r="Q200" s="7">
        <v>6886.05</v>
      </c>
      <c r="R200" s="7">
        <v>6200.2</v>
      </c>
      <c r="S200" s="7">
        <v>685.85000000000036</v>
      </c>
      <c r="T200" s="7" t="s">
        <v>825</v>
      </c>
      <c r="U200" s="7"/>
    </row>
    <row r="201" spans="1:21" x14ac:dyDescent="0.25">
      <c r="A201" s="7" t="s">
        <v>226</v>
      </c>
      <c r="B201" s="7" t="s">
        <v>805</v>
      </c>
      <c r="C201" s="7">
        <v>45048</v>
      </c>
      <c r="D201" s="7">
        <v>45063</v>
      </c>
      <c r="E201" s="7" t="s">
        <v>26</v>
      </c>
      <c r="F201" s="7" t="s">
        <v>18</v>
      </c>
      <c r="G201" s="7">
        <v>1973</v>
      </c>
      <c r="H201" s="7">
        <v>59.73</v>
      </c>
      <c r="I201" s="7">
        <v>54.95</v>
      </c>
      <c r="J201" s="7">
        <v>291</v>
      </c>
      <c r="K201" s="7" t="s">
        <v>15</v>
      </c>
      <c r="L201" s="7">
        <v>15</v>
      </c>
      <c r="M201" s="7">
        <v>11</v>
      </c>
      <c r="N201" s="7">
        <v>4</v>
      </c>
      <c r="O201" s="7" t="s">
        <v>824</v>
      </c>
      <c r="P201" s="7">
        <v>0</v>
      </c>
      <c r="Q201" s="7">
        <v>117847.29</v>
      </c>
      <c r="R201" s="7">
        <v>108416.35</v>
      </c>
      <c r="S201" s="7">
        <v>9430.9399999999878</v>
      </c>
      <c r="T201" s="7" t="s">
        <v>826</v>
      </c>
      <c r="U201" s="7"/>
    </row>
    <row r="202" spans="1:21" x14ac:dyDescent="0.25">
      <c r="A202" s="7" t="s">
        <v>227</v>
      </c>
      <c r="B202" s="7" t="s">
        <v>808</v>
      </c>
      <c r="C202" s="7">
        <v>45124</v>
      </c>
      <c r="D202" s="7">
        <v>45139</v>
      </c>
      <c r="E202" s="7" t="s">
        <v>13</v>
      </c>
      <c r="F202" s="7" t="s">
        <v>18</v>
      </c>
      <c r="G202" s="7">
        <v>1807</v>
      </c>
      <c r="H202" s="7">
        <v>78.63</v>
      </c>
      <c r="I202" s="7">
        <v>73.08</v>
      </c>
      <c r="J202" s="7">
        <v>100</v>
      </c>
      <c r="K202" s="7" t="s">
        <v>15</v>
      </c>
      <c r="L202" s="7">
        <v>15</v>
      </c>
      <c r="M202" s="7">
        <v>11</v>
      </c>
      <c r="N202" s="7">
        <v>4</v>
      </c>
      <c r="O202" s="7" t="s">
        <v>824</v>
      </c>
      <c r="P202" s="7">
        <v>0</v>
      </c>
      <c r="Q202" s="7">
        <v>142084.41</v>
      </c>
      <c r="R202" s="7">
        <v>132055.56</v>
      </c>
      <c r="S202" s="7">
        <v>10028.850000000006</v>
      </c>
      <c r="T202" s="7" t="s">
        <v>826</v>
      </c>
      <c r="U202" s="7"/>
    </row>
    <row r="203" spans="1:21" x14ac:dyDescent="0.25">
      <c r="A203" s="7" t="s">
        <v>228</v>
      </c>
      <c r="B203" s="7" t="s">
        <v>808</v>
      </c>
      <c r="C203" s="7">
        <v>44731</v>
      </c>
      <c r="D203" s="7">
        <v>44732</v>
      </c>
      <c r="E203" s="7" t="s">
        <v>39</v>
      </c>
      <c r="F203" s="7" t="s">
        <v>18</v>
      </c>
      <c r="G203" s="7">
        <v>534</v>
      </c>
      <c r="H203" s="7">
        <v>13.88</v>
      </c>
      <c r="I203" s="7">
        <v>12.51</v>
      </c>
      <c r="J203" s="7">
        <v>100</v>
      </c>
      <c r="K203" s="7" t="s">
        <v>15</v>
      </c>
      <c r="L203" s="7">
        <v>1</v>
      </c>
      <c r="M203" s="7">
        <v>11</v>
      </c>
      <c r="N203" s="7">
        <v>0</v>
      </c>
      <c r="O203" s="7" t="s">
        <v>824</v>
      </c>
      <c r="P203" s="7">
        <v>0</v>
      </c>
      <c r="Q203" s="7">
        <v>7411.92</v>
      </c>
      <c r="R203" s="7">
        <v>6680.34</v>
      </c>
      <c r="S203" s="7">
        <v>731.57999999999993</v>
      </c>
      <c r="T203" s="7" t="s">
        <v>823</v>
      </c>
      <c r="U203" s="7"/>
    </row>
    <row r="204" spans="1:21" x14ac:dyDescent="0.25">
      <c r="A204" s="7" t="s">
        <v>229</v>
      </c>
      <c r="B204" s="7" t="s">
        <v>804</v>
      </c>
      <c r="C204" s="7">
        <v>44833</v>
      </c>
      <c r="D204" s="7">
        <v>44848</v>
      </c>
      <c r="E204" s="7" t="s">
        <v>39</v>
      </c>
      <c r="F204" s="7" t="s">
        <v>18</v>
      </c>
      <c r="G204" s="7">
        <v>1480</v>
      </c>
      <c r="H204" s="7">
        <v>85.22</v>
      </c>
      <c r="I204" s="7">
        <v>75.48</v>
      </c>
      <c r="J204" s="7">
        <v>100</v>
      </c>
      <c r="K204" s="7" t="s">
        <v>15</v>
      </c>
      <c r="L204" s="7">
        <v>15</v>
      </c>
      <c r="M204" s="7">
        <v>11</v>
      </c>
      <c r="N204" s="7">
        <v>4</v>
      </c>
      <c r="O204" s="7" t="s">
        <v>824</v>
      </c>
      <c r="P204" s="7">
        <v>0</v>
      </c>
      <c r="Q204" s="7">
        <v>126125.59999999999</v>
      </c>
      <c r="R204" s="7">
        <v>111710.40000000001</v>
      </c>
      <c r="S204" s="7">
        <v>14415.199999999983</v>
      </c>
      <c r="T204" s="7" t="s">
        <v>826</v>
      </c>
      <c r="U204" s="7"/>
    </row>
    <row r="205" spans="1:21" x14ac:dyDescent="0.25">
      <c r="A205" s="7" t="s">
        <v>230</v>
      </c>
      <c r="B205" s="7" t="s">
        <v>804</v>
      </c>
      <c r="C205" s="7">
        <v>45102</v>
      </c>
      <c r="D205" s="7">
        <v>45113</v>
      </c>
      <c r="E205" s="7" t="s">
        <v>13</v>
      </c>
      <c r="F205" s="7" t="s">
        <v>18</v>
      </c>
      <c r="G205" s="7">
        <v>280</v>
      </c>
      <c r="H205" s="7">
        <v>72.16</v>
      </c>
      <c r="I205" s="7">
        <v>62.38</v>
      </c>
      <c r="J205" s="7">
        <v>100</v>
      </c>
      <c r="K205" s="7" t="s">
        <v>15</v>
      </c>
      <c r="L205" s="7">
        <v>11</v>
      </c>
      <c r="M205" s="7">
        <v>11</v>
      </c>
      <c r="N205" s="7">
        <v>0</v>
      </c>
      <c r="O205" s="7" t="s">
        <v>824</v>
      </c>
      <c r="P205" s="7">
        <v>0</v>
      </c>
      <c r="Q205" s="7">
        <v>20204.8</v>
      </c>
      <c r="R205" s="7">
        <v>17466.400000000001</v>
      </c>
      <c r="S205" s="7">
        <v>2738.3999999999978</v>
      </c>
      <c r="T205" s="7" t="s">
        <v>823</v>
      </c>
      <c r="U205" s="7"/>
    </row>
    <row r="206" spans="1:21" x14ac:dyDescent="0.25">
      <c r="A206" s="7" t="s">
        <v>231</v>
      </c>
      <c r="B206" s="7" t="s">
        <v>807</v>
      </c>
      <c r="C206" s="7">
        <v>45183</v>
      </c>
      <c r="D206" s="7">
        <v>45189</v>
      </c>
      <c r="E206" s="7" t="s">
        <v>13</v>
      </c>
      <c r="F206" s="7" t="s">
        <v>14</v>
      </c>
      <c r="G206" s="7">
        <v>798</v>
      </c>
      <c r="H206" s="7">
        <v>19.09</v>
      </c>
      <c r="I206" s="7">
        <v>17.760000000000002</v>
      </c>
      <c r="J206" s="7">
        <v>100</v>
      </c>
      <c r="K206" s="7" t="s">
        <v>15</v>
      </c>
      <c r="L206" s="7">
        <v>6</v>
      </c>
      <c r="M206" s="7">
        <v>11</v>
      </c>
      <c r="N206" s="7">
        <v>0</v>
      </c>
      <c r="O206" s="7" t="s">
        <v>824</v>
      </c>
      <c r="P206" s="7">
        <v>0</v>
      </c>
      <c r="Q206" s="7">
        <v>15233.82</v>
      </c>
      <c r="R206" s="7">
        <v>14172.480000000001</v>
      </c>
      <c r="S206" s="7">
        <v>1061.3399999999983</v>
      </c>
      <c r="T206" s="7" t="s">
        <v>823</v>
      </c>
      <c r="U206" s="7"/>
    </row>
    <row r="207" spans="1:21" x14ac:dyDescent="0.25">
      <c r="A207" s="7" t="s">
        <v>232</v>
      </c>
      <c r="B207" s="7" t="s">
        <v>808</v>
      </c>
      <c r="C207" s="7">
        <v>44995</v>
      </c>
      <c r="D207" s="7">
        <v>45007</v>
      </c>
      <c r="E207" s="7" t="s">
        <v>39</v>
      </c>
      <c r="F207" s="7" t="s">
        <v>18</v>
      </c>
      <c r="G207" s="7">
        <v>1728</v>
      </c>
      <c r="H207" s="7">
        <v>94.83</v>
      </c>
      <c r="I207" s="7">
        <v>90.2</v>
      </c>
      <c r="J207" s="7">
        <v>100</v>
      </c>
      <c r="K207" s="7" t="s">
        <v>15</v>
      </c>
      <c r="L207" s="7">
        <v>12</v>
      </c>
      <c r="M207" s="7">
        <v>11</v>
      </c>
      <c r="N207" s="7">
        <v>1</v>
      </c>
      <c r="O207" s="7" t="s">
        <v>824</v>
      </c>
      <c r="P207" s="7">
        <v>0</v>
      </c>
      <c r="Q207" s="7">
        <v>163866.23999999999</v>
      </c>
      <c r="R207" s="7">
        <v>155865.60000000001</v>
      </c>
      <c r="S207" s="7">
        <v>8000.6399999999849</v>
      </c>
      <c r="T207" s="7" t="s">
        <v>826</v>
      </c>
      <c r="U207" s="7"/>
    </row>
    <row r="208" spans="1:21" x14ac:dyDescent="0.25">
      <c r="A208" s="7" t="s">
        <v>233</v>
      </c>
      <c r="B208" s="7" t="s">
        <v>808</v>
      </c>
      <c r="C208" s="7">
        <v>44778</v>
      </c>
      <c r="D208" s="7">
        <v>44789</v>
      </c>
      <c r="E208" s="7" t="s">
        <v>21</v>
      </c>
      <c r="F208" s="7" t="s">
        <v>18</v>
      </c>
      <c r="G208" s="7">
        <v>1244</v>
      </c>
      <c r="H208" s="7">
        <v>96.13</v>
      </c>
      <c r="I208" s="7">
        <v>84.78</v>
      </c>
      <c r="J208" s="7">
        <v>43</v>
      </c>
      <c r="K208" s="7" t="s">
        <v>15</v>
      </c>
      <c r="L208" s="7">
        <v>11</v>
      </c>
      <c r="M208" s="7">
        <v>11</v>
      </c>
      <c r="N208" s="7">
        <v>0</v>
      </c>
      <c r="O208" s="7" t="s">
        <v>824</v>
      </c>
      <c r="P208" s="7">
        <v>0</v>
      </c>
      <c r="Q208" s="7">
        <v>119585.72</v>
      </c>
      <c r="R208" s="7">
        <v>105466.32</v>
      </c>
      <c r="S208" s="7">
        <v>14119.399999999994</v>
      </c>
      <c r="T208" s="7" t="s">
        <v>823</v>
      </c>
      <c r="U208" s="7"/>
    </row>
    <row r="209" spans="1:21" x14ac:dyDescent="0.25">
      <c r="A209" s="7" t="s">
        <v>234</v>
      </c>
      <c r="B209" s="7" t="s">
        <v>807</v>
      </c>
      <c r="C209" s="7">
        <v>45114</v>
      </c>
      <c r="D209" s="7">
        <v>45128</v>
      </c>
      <c r="E209" s="7" t="s">
        <v>13</v>
      </c>
      <c r="F209" s="7" t="s">
        <v>18</v>
      </c>
      <c r="G209" s="7">
        <v>590</v>
      </c>
      <c r="H209" s="7">
        <v>16.89</v>
      </c>
      <c r="I209" s="7">
        <v>15.56</v>
      </c>
      <c r="J209" s="7">
        <v>46</v>
      </c>
      <c r="K209" s="7" t="s">
        <v>27</v>
      </c>
      <c r="L209" s="7">
        <v>14</v>
      </c>
      <c r="M209" s="7">
        <v>11</v>
      </c>
      <c r="N209" s="7">
        <v>3</v>
      </c>
      <c r="O209" s="7" t="s">
        <v>824</v>
      </c>
      <c r="P209" s="7">
        <v>0</v>
      </c>
      <c r="Q209" s="7">
        <v>9965.1</v>
      </c>
      <c r="R209" s="7">
        <v>9180.4</v>
      </c>
      <c r="S209" s="7">
        <v>784.70000000000073</v>
      </c>
      <c r="T209" s="7" t="s">
        <v>826</v>
      </c>
      <c r="U209" s="7"/>
    </row>
    <row r="210" spans="1:21" x14ac:dyDescent="0.25">
      <c r="A210" s="7" t="s">
        <v>235</v>
      </c>
      <c r="B210" s="7" t="s">
        <v>805</v>
      </c>
      <c r="C210" s="7">
        <v>45268</v>
      </c>
      <c r="D210" s="7">
        <v>45283</v>
      </c>
      <c r="E210" s="7" t="s">
        <v>24</v>
      </c>
      <c r="F210" s="7" t="s">
        <v>18</v>
      </c>
      <c r="G210" s="7">
        <v>1109</v>
      </c>
      <c r="H210" s="7">
        <v>38.93</v>
      </c>
      <c r="I210" s="7">
        <v>33.33</v>
      </c>
      <c r="J210" s="7">
        <v>152</v>
      </c>
      <c r="K210" s="7" t="s">
        <v>15</v>
      </c>
      <c r="L210" s="7">
        <v>15</v>
      </c>
      <c r="M210" s="7">
        <v>11</v>
      </c>
      <c r="N210" s="7">
        <v>4</v>
      </c>
      <c r="O210" s="7" t="s">
        <v>824</v>
      </c>
      <c r="P210" s="7">
        <v>0</v>
      </c>
      <c r="Q210" s="7">
        <v>43173.37</v>
      </c>
      <c r="R210" s="7">
        <v>36962.97</v>
      </c>
      <c r="S210" s="7">
        <v>6210.4000000000015</v>
      </c>
      <c r="T210" s="7" t="s">
        <v>826</v>
      </c>
      <c r="U210" s="7"/>
    </row>
    <row r="211" spans="1:21" x14ac:dyDescent="0.25">
      <c r="A211" s="7" t="s">
        <v>236</v>
      </c>
      <c r="B211" s="7" t="s">
        <v>807</v>
      </c>
      <c r="C211" s="7">
        <v>44767</v>
      </c>
      <c r="D211" s="7">
        <v>44774</v>
      </c>
      <c r="E211" s="7" t="s">
        <v>21</v>
      </c>
      <c r="F211" s="7" t="s">
        <v>18</v>
      </c>
      <c r="G211" s="7">
        <v>574</v>
      </c>
      <c r="H211" s="7">
        <v>85.03</v>
      </c>
      <c r="I211" s="7">
        <v>82.55</v>
      </c>
      <c r="J211" s="7">
        <v>54</v>
      </c>
      <c r="K211" s="7" t="s">
        <v>15</v>
      </c>
      <c r="L211" s="7">
        <v>7</v>
      </c>
      <c r="M211" s="7">
        <v>11</v>
      </c>
      <c r="N211" s="7">
        <v>0</v>
      </c>
      <c r="O211" s="7" t="s">
        <v>824</v>
      </c>
      <c r="P211" s="7">
        <v>0</v>
      </c>
      <c r="Q211" s="7">
        <v>48807.22</v>
      </c>
      <c r="R211" s="7">
        <v>47383.7</v>
      </c>
      <c r="S211" s="7">
        <v>1423.5200000000041</v>
      </c>
      <c r="T211" s="7" t="s">
        <v>823</v>
      </c>
      <c r="U211" s="7"/>
    </row>
    <row r="212" spans="1:21" x14ac:dyDescent="0.25">
      <c r="A212" s="7" t="s">
        <v>237</v>
      </c>
      <c r="B212" s="7" t="s">
        <v>806</v>
      </c>
      <c r="C212" s="7">
        <v>45292</v>
      </c>
      <c r="D212" s="7">
        <v>45302</v>
      </c>
      <c r="E212" s="7" t="s">
        <v>13</v>
      </c>
      <c r="F212" s="7" t="s">
        <v>18</v>
      </c>
      <c r="G212" s="7">
        <v>1233</v>
      </c>
      <c r="H212" s="7">
        <v>86.62</v>
      </c>
      <c r="I212" s="7">
        <v>76.59</v>
      </c>
      <c r="J212" s="7">
        <v>65</v>
      </c>
      <c r="K212" s="7" t="s">
        <v>15</v>
      </c>
      <c r="L212" s="7">
        <v>10</v>
      </c>
      <c r="M212" s="7">
        <v>11</v>
      </c>
      <c r="N212" s="7">
        <v>0</v>
      </c>
      <c r="O212" s="7" t="s">
        <v>824</v>
      </c>
      <c r="P212" s="7">
        <v>0</v>
      </c>
      <c r="Q212" s="7">
        <v>106802.46</v>
      </c>
      <c r="R212" s="7">
        <v>94435.47</v>
      </c>
      <c r="S212" s="7">
        <v>12366.990000000005</v>
      </c>
      <c r="T212" s="7" t="s">
        <v>823</v>
      </c>
      <c r="U212" s="7"/>
    </row>
    <row r="213" spans="1:21" x14ac:dyDescent="0.25">
      <c r="A213" s="7" t="s">
        <v>238</v>
      </c>
      <c r="B213" s="7" t="s">
        <v>806</v>
      </c>
      <c r="C213" s="7">
        <v>44881</v>
      </c>
      <c r="D213" s="7">
        <v>44885</v>
      </c>
      <c r="E213" s="7" t="s">
        <v>24</v>
      </c>
      <c r="F213" s="7" t="s">
        <v>18</v>
      </c>
      <c r="G213" s="7">
        <v>1912</v>
      </c>
      <c r="H213" s="7">
        <v>27.94</v>
      </c>
      <c r="I213" s="7">
        <v>25.59</v>
      </c>
      <c r="J213" s="7">
        <v>83</v>
      </c>
      <c r="K213" s="7" t="s">
        <v>27</v>
      </c>
      <c r="L213" s="7">
        <v>4</v>
      </c>
      <c r="M213" s="7">
        <v>11</v>
      </c>
      <c r="N213" s="7">
        <v>0</v>
      </c>
      <c r="O213" s="7" t="s">
        <v>824</v>
      </c>
      <c r="P213" s="7">
        <v>0</v>
      </c>
      <c r="Q213" s="7">
        <v>53421.279999999999</v>
      </c>
      <c r="R213" s="7">
        <v>48928.08</v>
      </c>
      <c r="S213" s="7">
        <v>4493.1999999999971</v>
      </c>
      <c r="T213" s="7" t="s">
        <v>823</v>
      </c>
      <c r="U213" s="7"/>
    </row>
    <row r="214" spans="1:21" x14ac:dyDescent="0.25">
      <c r="A214" s="7" t="s">
        <v>239</v>
      </c>
      <c r="B214" s="7" t="s">
        <v>804</v>
      </c>
      <c r="C214" s="7">
        <v>44970</v>
      </c>
      <c r="D214" s="7">
        <v>44989</v>
      </c>
      <c r="E214" s="7" t="s">
        <v>24</v>
      </c>
      <c r="F214" s="7" t="s">
        <v>18</v>
      </c>
      <c r="G214" s="7">
        <v>1772</v>
      </c>
      <c r="H214" s="7">
        <v>30.72</v>
      </c>
      <c r="I214" s="7">
        <v>27.76</v>
      </c>
      <c r="J214" s="7">
        <v>46</v>
      </c>
      <c r="K214" s="7" t="s">
        <v>27</v>
      </c>
      <c r="L214" s="7">
        <v>19</v>
      </c>
      <c r="M214" s="7">
        <v>11</v>
      </c>
      <c r="N214" s="7">
        <v>8</v>
      </c>
      <c r="O214" s="7" t="s">
        <v>824</v>
      </c>
      <c r="P214" s="7">
        <v>0</v>
      </c>
      <c r="Q214" s="7">
        <v>54435.839999999997</v>
      </c>
      <c r="R214" s="7">
        <v>49190.720000000001</v>
      </c>
      <c r="S214" s="7">
        <v>5245.1199999999953</v>
      </c>
      <c r="T214" s="7" t="s">
        <v>825</v>
      </c>
      <c r="U214" s="7"/>
    </row>
    <row r="215" spans="1:21" x14ac:dyDescent="0.25">
      <c r="A215" s="7" t="s">
        <v>240</v>
      </c>
      <c r="B215" s="7" t="s">
        <v>807</v>
      </c>
      <c r="C215" s="7">
        <v>45249</v>
      </c>
      <c r="D215" s="7">
        <v>45259</v>
      </c>
      <c r="E215" s="7" t="s">
        <v>13</v>
      </c>
      <c r="F215" s="7" t="s">
        <v>18</v>
      </c>
      <c r="G215" s="7">
        <v>1316</v>
      </c>
      <c r="H215" s="7">
        <v>48.11</v>
      </c>
      <c r="I215" s="7">
        <v>41.9</v>
      </c>
      <c r="J215" s="7">
        <v>135</v>
      </c>
      <c r="K215" s="7" t="s">
        <v>15</v>
      </c>
      <c r="L215" s="7">
        <v>10</v>
      </c>
      <c r="M215" s="7">
        <v>11</v>
      </c>
      <c r="N215" s="7">
        <v>0</v>
      </c>
      <c r="O215" s="7" t="s">
        <v>824</v>
      </c>
      <c r="P215" s="7">
        <v>0</v>
      </c>
      <c r="Q215" s="7">
        <v>63312.76</v>
      </c>
      <c r="R215" s="7">
        <v>55140.4</v>
      </c>
      <c r="S215" s="7">
        <v>8172.3600000000006</v>
      </c>
      <c r="T215" s="7" t="s">
        <v>823</v>
      </c>
      <c r="U215" s="7"/>
    </row>
    <row r="216" spans="1:21" x14ac:dyDescent="0.25">
      <c r="A216" s="7" t="s">
        <v>241</v>
      </c>
      <c r="B216" s="7" t="s">
        <v>807</v>
      </c>
      <c r="C216" s="7">
        <v>45227</v>
      </c>
      <c r="D216" s="7">
        <v>45238</v>
      </c>
      <c r="E216" s="7" t="s">
        <v>13</v>
      </c>
      <c r="F216" s="7" t="s">
        <v>18</v>
      </c>
      <c r="G216" s="7">
        <v>1159</v>
      </c>
      <c r="H216" s="7">
        <v>59.24</v>
      </c>
      <c r="I216" s="7">
        <v>58.08</v>
      </c>
      <c r="J216" s="7"/>
      <c r="K216" s="7" t="s">
        <v>15</v>
      </c>
      <c r="L216" s="7">
        <v>11</v>
      </c>
      <c r="M216" s="7">
        <v>11</v>
      </c>
      <c r="N216" s="7">
        <v>0</v>
      </c>
      <c r="O216" s="7" t="s">
        <v>822</v>
      </c>
      <c r="P216" s="7">
        <v>1</v>
      </c>
      <c r="Q216" s="7">
        <v>68659.16</v>
      </c>
      <c r="R216" s="7">
        <v>67314.720000000001</v>
      </c>
      <c r="S216" s="7">
        <v>1344.4400000000023</v>
      </c>
      <c r="T216" s="7" t="s">
        <v>823</v>
      </c>
      <c r="U216" s="7"/>
    </row>
    <row r="217" spans="1:21" x14ac:dyDescent="0.25">
      <c r="A217" s="7" t="s">
        <v>242</v>
      </c>
      <c r="B217" s="7" t="s">
        <v>804</v>
      </c>
      <c r="C217" s="7">
        <v>44944</v>
      </c>
      <c r="D217" s="7">
        <v>44957</v>
      </c>
      <c r="E217" s="7" t="s">
        <v>13</v>
      </c>
      <c r="F217" s="7" t="s">
        <v>18</v>
      </c>
      <c r="G217" s="7">
        <v>1869</v>
      </c>
      <c r="H217" s="7">
        <v>69.58</v>
      </c>
      <c r="I217" s="7">
        <v>67.5</v>
      </c>
      <c r="J217" s="7">
        <v>31</v>
      </c>
      <c r="K217" s="7" t="s">
        <v>15</v>
      </c>
      <c r="L217" s="7">
        <v>13</v>
      </c>
      <c r="M217" s="7">
        <v>11</v>
      </c>
      <c r="N217" s="7">
        <v>2</v>
      </c>
      <c r="O217" s="7" t="s">
        <v>824</v>
      </c>
      <c r="P217" s="7">
        <v>0</v>
      </c>
      <c r="Q217" s="7">
        <v>130045.02</v>
      </c>
      <c r="R217" s="7">
        <v>126157.5</v>
      </c>
      <c r="S217" s="7">
        <v>3887.5200000000041</v>
      </c>
      <c r="T217" s="7" t="s">
        <v>826</v>
      </c>
      <c r="U217" s="7"/>
    </row>
    <row r="218" spans="1:21" x14ac:dyDescent="0.25">
      <c r="A218" s="7" t="s">
        <v>243</v>
      </c>
      <c r="B218" s="7" t="s">
        <v>805</v>
      </c>
      <c r="C218" s="7">
        <v>45010</v>
      </c>
      <c r="D218" s="7">
        <v>45029</v>
      </c>
      <c r="E218" s="7" t="s">
        <v>24</v>
      </c>
      <c r="F218" s="7" t="s">
        <v>18</v>
      </c>
      <c r="G218" s="7">
        <v>627</v>
      </c>
      <c r="H218" s="7">
        <v>46.23</v>
      </c>
      <c r="I218" s="7">
        <v>42.87</v>
      </c>
      <c r="J218" s="7"/>
      <c r="K218" s="7" t="s">
        <v>15</v>
      </c>
      <c r="L218" s="7">
        <v>19</v>
      </c>
      <c r="M218" s="7">
        <v>11</v>
      </c>
      <c r="N218" s="7">
        <v>8</v>
      </c>
      <c r="O218" s="7" t="s">
        <v>824</v>
      </c>
      <c r="P218" s="7">
        <v>0</v>
      </c>
      <c r="Q218" s="7">
        <v>28986.21</v>
      </c>
      <c r="R218" s="7">
        <v>26879.489999999998</v>
      </c>
      <c r="S218" s="7">
        <v>2106.7200000000012</v>
      </c>
      <c r="T218" s="7" t="s">
        <v>825</v>
      </c>
      <c r="U218" s="7"/>
    </row>
    <row r="219" spans="1:21" x14ac:dyDescent="0.25">
      <c r="A219" s="7" t="s">
        <v>244</v>
      </c>
      <c r="B219" s="7" t="s">
        <v>807</v>
      </c>
      <c r="C219" s="7">
        <v>45091</v>
      </c>
      <c r="D219" s="7">
        <v>45093</v>
      </c>
      <c r="E219" s="7" t="s">
        <v>26</v>
      </c>
      <c r="F219" s="7" t="s">
        <v>35</v>
      </c>
      <c r="G219" s="7">
        <v>731</v>
      </c>
      <c r="H219" s="7">
        <v>56.02</v>
      </c>
      <c r="I219" s="7">
        <v>54.78</v>
      </c>
      <c r="J219" s="7">
        <v>70</v>
      </c>
      <c r="K219" s="7" t="s">
        <v>27</v>
      </c>
      <c r="L219" s="7">
        <v>2</v>
      </c>
      <c r="M219" s="7">
        <v>11</v>
      </c>
      <c r="N219" s="7">
        <v>0</v>
      </c>
      <c r="O219" s="7" t="s">
        <v>824</v>
      </c>
      <c r="P219" s="7">
        <v>0</v>
      </c>
      <c r="Q219" s="7">
        <v>40950.620000000003</v>
      </c>
      <c r="R219" s="7">
        <v>40044.18</v>
      </c>
      <c r="S219" s="7">
        <v>906.44000000000233</v>
      </c>
      <c r="T219" s="7" t="s">
        <v>823</v>
      </c>
      <c r="U219" s="7"/>
    </row>
    <row r="220" spans="1:21" x14ac:dyDescent="0.25">
      <c r="A220" s="7" t="s">
        <v>245</v>
      </c>
      <c r="B220" s="7" t="s">
        <v>808</v>
      </c>
      <c r="C220" s="7">
        <v>45024</v>
      </c>
      <c r="D220" s="7">
        <v>45035</v>
      </c>
      <c r="E220" s="7" t="s">
        <v>13</v>
      </c>
      <c r="F220" s="7" t="s">
        <v>14</v>
      </c>
      <c r="G220" s="7">
        <v>606</v>
      </c>
      <c r="H220" s="7">
        <v>83.07</v>
      </c>
      <c r="I220" s="7">
        <v>79.22</v>
      </c>
      <c r="J220" s="7">
        <v>16</v>
      </c>
      <c r="K220" s="7" t="s">
        <v>15</v>
      </c>
      <c r="L220" s="7">
        <v>11</v>
      </c>
      <c r="M220" s="7">
        <v>11</v>
      </c>
      <c r="N220" s="7">
        <v>0</v>
      </c>
      <c r="O220" s="7" t="s">
        <v>824</v>
      </c>
      <c r="P220" s="7">
        <v>0</v>
      </c>
      <c r="Q220" s="7">
        <v>50340.42</v>
      </c>
      <c r="R220" s="7">
        <v>48007.32</v>
      </c>
      <c r="S220" s="7">
        <v>2333.0999999999985</v>
      </c>
      <c r="T220" s="7" t="s">
        <v>823</v>
      </c>
      <c r="U220" s="7"/>
    </row>
    <row r="221" spans="1:21" x14ac:dyDescent="0.25">
      <c r="A221" s="7" t="s">
        <v>246</v>
      </c>
      <c r="B221" s="7" t="s">
        <v>807</v>
      </c>
      <c r="C221" s="7">
        <v>44685</v>
      </c>
      <c r="D221" s="7">
        <v>44695</v>
      </c>
      <c r="E221" s="7" t="s">
        <v>13</v>
      </c>
      <c r="F221" s="7" t="s">
        <v>18</v>
      </c>
      <c r="G221" s="7">
        <v>1647</v>
      </c>
      <c r="H221" s="7">
        <v>13.57</v>
      </c>
      <c r="I221" s="7">
        <v>12.33</v>
      </c>
      <c r="J221" s="7">
        <v>157</v>
      </c>
      <c r="K221" s="7" t="s">
        <v>15</v>
      </c>
      <c r="L221" s="7">
        <v>10</v>
      </c>
      <c r="M221" s="7">
        <v>11</v>
      </c>
      <c r="N221" s="7">
        <v>0</v>
      </c>
      <c r="O221" s="7" t="s">
        <v>824</v>
      </c>
      <c r="P221" s="7">
        <v>0</v>
      </c>
      <c r="Q221" s="7">
        <v>22349.79</v>
      </c>
      <c r="R221" s="7">
        <v>20307.509999999998</v>
      </c>
      <c r="S221" s="7">
        <v>2042.2800000000025</v>
      </c>
      <c r="T221" s="7" t="s">
        <v>823</v>
      </c>
      <c r="U221" s="7"/>
    </row>
    <row r="222" spans="1:21" x14ac:dyDescent="0.25">
      <c r="A222" s="7" t="s">
        <v>247</v>
      </c>
      <c r="B222" s="7" t="s">
        <v>805</v>
      </c>
      <c r="C222" s="7">
        <v>44815</v>
      </c>
      <c r="D222" s="7">
        <v>44823</v>
      </c>
      <c r="E222" s="7" t="s">
        <v>21</v>
      </c>
      <c r="F222" s="7" t="s">
        <v>18</v>
      </c>
      <c r="G222" s="7">
        <v>1062</v>
      </c>
      <c r="H222" s="7">
        <v>34.03</v>
      </c>
      <c r="I222" s="7">
        <v>30.46</v>
      </c>
      <c r="J222" s="7"/>
      <c r="K222" s="7" t="s">
        <v>15</v>
      </c>
      <c r="L222" s="7">
        <v>8</v>
      </c>
      <c r="M222" s="7">
        <v>11</v>
      </c>
      <c r="N222" s="7">
        <v>0</v>
      </c>
      <c r="O222" s="7" t="s">
        <v>822</v>
      </c>
      <c r="P222" s="7">
        <v>1</v>
      </c>
      <c r="Q222" s="7">
        <v>36139.86</v>
      </c>
      <c r="R222" s="7">
        <v>32348.52</v>
      </c>
      <c r="S222" s="7">
        <v>3791.34</v>
      </c>
      <c r="T222" s="7" t="s">
        <v>823</v>
      </c>
      <c r="U222" s="7"/>
    </row>
    <row r="223" spans="1:21" x14ac:dyDescent="0.25">
      <c r="A223" s="7" t="s">
        <v>248</v>
      </c>
      <c r="B223" s="7" t="s">
        <v>807</v>
      </c>
      <c r="C223" s="7">
        <v>44792</v>
      </c>
      <c r="D223" s="7">
        <v>44804</v>
      </c>
      <c r="E223" s="7" t="s">
        <v>13</v>
      </c>
      <c r="F223" s="7" t="s">
        <v>18</v>
      </c>
      <c r="G223" s="7">
        <v>695</v>
      </c>
      <c r="H223" s="7">
        <v>76.8</v>
      </c>
      <c r="I223" s="7">
        <v>69.760000000000005</v>
      </c>
      <c r="J223" s="7"/>
      <c r="K223" s="7" t="s">
        <v>27</v>
      </c>
      <c r="L223" s="7">
        <v>12</v>
      </c>
      <c r="M223" s="7">
        <v>11</v>
      </c>
      <c r="N223" s="7">
        <v>1</v>
      </c>
      <c r="O223" s="7" t="s">
        <v>824</v>
      </c>
      <c r="P223" s="7">
        <v>0</v>
      </c>
      <c r="Q223" s="7">
        <v>53376</v>
      </c>
      <c r="R223" s="7">
        <v>48483.200000000004</v>
      </c>
      <c r="S223" s="7">
        <v>4892.7999999999956</v>
      </c>
      <c r="T223" s="7" t="s">
        <v>826</v>
      </c>
      <c r="U223" s="7"/>
    </row>
    <row r="224" spans="1:21" x14ac:dyDescent="0.25">
      <c r="A224" s="7" t="s">
        <v>249</v>
      </c>
      <c r="B224" s="7" t="s">
        <v>808</v>
      </c>
      <c r="C224" s="7">
        <v>44627</v>
      </c>
      <c r="D224" s="7">
        <v>44634</v>
      </c>
      <c r="E224" s="7" t="s">
        <v>21</v>
      </c>
      <c r="F224" s="7" t="s">
        <v>18</v>
      </c>
      <c r="G224" s="7">
        <v>845</v>
      </c>
      <c r="H224" s="7">
        <v>91.47</v>
      </c>
      <c r="I224" s="7">
        <v>86.97</v>
      </c>
      <c r="J224" s="7"/>
      <c r="K224" s="7" t="s">
        <v>15</v>
      </c>
      <c r="L224" s="7">
        <v>7</v>
      </c>
      <c r="M224" s="7">
        <v>11</v>
      </c>
      <c r="N224" s="7">
        <v>0</v>
      </c>
      <c r="O224" s="7" t="s">
        <v>822</v>
      </c>
      <c r="P224" s="7">
        <v>1</v>
      </c>
      <c r="Q224" s="7">
        <v>77292.149999999994</v>
      </c>
      <c r="R224" s="7">
        <v>73489.649999999994</v>
      </c>
      <c r="S224" s="7">
        <v>3802.5</v>
      </c>
      <c r="T224" s="7" t="s">
        <v>823</v>
      </c>
      <c r="U224" s="7"/>
    </row>
    <row r="225" spans="1:21" x14ac:dyDescent="0.25">
      <c r="A225" s="7" t="s">
        <v>250</v>
      </c>
      <c r="B225" s="7" t="s">
        <v>806</v>
      </c>
      <c r="C225" s="7">
        <v>44908</v>
      </c>
      <c r="D225" s="7">
        <v>44913</v>
      </c>
      <c r="E225" s="7" t="s">
        <v>21</v>
      </c>
      <c r="F225" s="7" t="s">
        <v>18</v>
      </c>
      <c r="G225" s="7">
        <v>1101</v>
      </c>
      <c r="H225" s="7">
        <v>59.13</v>
      </c>
      <c r="I225" s="7">
        <v>52.51</v>
      </c>
      <c r="J225" s="7">
        <v>54</v>
      </c>
      <c r="K225" s="7" t="s">
        <v>15</v>
      </c>
      <c r="L225" s="7">
        <v>5</v>
      </c>
      <c r="M225" s="7">
        <v>11</v>
      </c>
      <c r="N225" s="7">
        <v>0</v>
      </c>
      <c r="O225" s="7" t="s">
        <v>824</v>
      </c>
      <c r="P225" s="7">
        <v>0</v>
      </c>
      <c r="Q225" s="7">
        <v>65102.130000000005</v>
      </c>
      <c r="R225" s="7">
        <v>57813.509999999995</v>
      </c>
      <c r="S225" s="7">
        <v>7288.6200000000099</v>
      </c>
      <c r="T225" s="7" t="s">
        <v>823</v>
      </c>
      <c r="U225" s="7"/>
    </row>
    <row r="226" spans="1:21" x14ac:dyDescent="0.25">
      <c r="A226" s="7" t="s">
        <v>251</v>
      </c>
      <c r="B226" s="7" t="s">
        <v>806</v>
      </c>
      <c r="C226" s="7">
        <v>44583</v>
      </c>
      <c r="D226" s="7">
        <v>44585</v>
      </c>
      <c r="E226" s="7" t="s">
        <v>26</v>
      </c>
      <c r="F226" s="7" t="s">
        <v>18</v>
      </c>
      <c r="G226" s="7">
        <v>1693</v>
      </c>
      <c r="H226" s="7">
        <v>57.89</v>
      </c>
      <c r="I226" s="7">
        <v>49.84</v>
      </c>
      <c r="J226" s="7">
        <v>88</v>
      </c>
      <c r="K226" s="7" t="s">
        <v>15</v>
      </c>
      <c r="L226" s="7">
        <v>2</v>
      </c>
      <c r="M226" s="7">
        <v>11</v>
      </c>
      <c r="N226" s="7">
        <v>0</v>
      </c>
      <c r="O226" s="7" t="s">
        <v>824</v>
      </c>
      <c r="P226" s="7">
        <v>0</v>
      </c>
      <c r="Q226" s="7">
        <v>98007.77</v>
      </c>
      <c r="R226" s="7">
        <v>84379.12000000001</v>
      </c>
      <c r="S226" s="7">
        <v>13628.649999999994</v>
      </c>
      <c r="T226" s="7" t="s">
        <v>823</v>
      </c>
      <c r="U226" s="7"/>
    </row>
    <row r="227" spans="1:21" x14ac:dyDescent="0.25">
      <c r="A227" s="7" t="s">
        <v>252</v>
      </c>
      <c r="B227" s="7" t="s">
        <v>805</v>
      </c>
      <c r="C227" s="7">
        <v>45164</v>
      </c>
      <c r="D227" s="7">
        <v>45179</v>
      </c>
      <c r="E227" s="7" t="s">
        <v>13</v>
      </c>
      <c r="F227" s="7" t="s">
        <v>14</v>
      </c>
      <c r="G227" s="7">
        <v>1629</v>
      </c>
      <c r="H227" s="7">
        <v>21.51</v>
      </c>
      <c r="I227" s="7">
        <v>19.41</v>
      </c>
      <c r="J227" s="7">
        <v>250</v>
      </c>
      <c r="K227" s="7" t="s">
        <v>27</v>
      </c>
      <c r="L227" s="7">
        <v>15</v>
      </c>
      <c r="M227" s="7">
        <v>11</v>
      </c>
      <c r="N227" s="7">
        <v>4</v>
      </c>
      <c r="O227" s="7" t="s">
        <v>824</v>
      </c>
      <c r="P227" s="7">
        <v>0</v>
      </c>
      <c r="Q227" s="7">
        <v>35039.79</v>
      </c>
      <c r="R227" s="7">
        <v>31618.89</v>
      </c>
      <c r="S227" s="7">
        <v>3420.9000000000015</v>
      </c>
      <c r="T227" s="7" t="s">
        <v>826</v>
      </c>
      <c r="U227" s="7"/>
    </row>
    <row r="228" spans="1:21" x14ac:dyDescent="0.25">
      <c r="A228" s="7" t="s">
        <v>253</v>
      </c>
      <c r="B228" s="7" t="s">
        <v>805</v>
      </c>
      <c r="C228" s="7">
        <v>45129</v>
      </c>
      <c r="D228" s="7">
        <v>45141</v>
      </c>
      <c r="E228" s="7" t="s">
        <v>26</v>
      </c>
      <c r="F228" s="7" t="s">
        <v>18</v>
      </c>
      <c r="G228" s="7">
        <v>1413</v>
      </c>
      <c r="H228" s="7">
        <v>54.79</v>
      </c>
      <c r="I228" s="7">
        <v>50.42</v>
      </c>
      <c r="J228" s="7"/>
      <c r="K228" s="7" t="s">
        <v>15</v>
      </c>
      <c r="L228" s="7">
        <v>12</v>
      </c>
      <c r="M228" s="7">
        <v>11</v>
      </c>
      <c r="N228" s="7">
        <v>1</v>
      </c>
      <c r="O228" s="7" t="s">
        <v>824</v>
      </c>
      <c r="P228" s="7">
        <v>0</v>
      </c>
      <c r="Q228" s="7">
        <v>77418.27</v>
      </c>
      <c r="R228" s="7">
        <v>71243.460000000006</v>
      </c>
      <c r="S228" s="7">
        <v>6174.8099999999977</v>
      </c>
      <c r="T228" s="7" t="s">
        <v>826</v>
      </c>
      <c r="U228" s="7"/>
    </row>
    <row r="229" spans="1:21" x14ac:dyDescent="0.25">
      <c r="A229" s="7" t="s">
        <v>254</v>
      </c>
      <c r="B229" s="7" t="s">
        <v>808</v>
      </c>
      <c r="C229" s="7">
        <v>44797</v>
      </c>
      <c r="D229" s="7">
        <v>44800</v>
      </c>
      <c r="E229" s="7" t="s">
        <v>24</v>
      </c>
      <c r="F229" s="7" t="s">
        <v>18</v>
      </c>
      <c r="G229" s="7">
        <v>1871</v>
      </c>
      <c r="H229" s="7">
        <v>59.96</v>
      </c>
      <c r="I229" s="7">
        <v>58.54</v>
      </c>
      <c r="J229" s="7">
        <v>47</v>
      </c>
      <c r="K229" s="7" t="s">
        <v>15</v>
      </c>
      <c r="L229" s="7">
        <v>3</v>
      </c>
      <c r="M229" s="7">
        <v>11</v>
      </c>
      <c r="N229" s="7">
        <v>0</v>
      </c>
      <c r="O229" s="7" t="s">
        <v>824</v>
      </c>
      <c r="P229" s="7">
        <v>0</v>
      </c>
      <c r="Q229" s="7">
        <v>112185.16</v>
      </c>
      <c r="R229" s="7">
        <v>109528.34</v>
      </c>
      <c r="S229" s="7">
        <v>2656.820000000007</v>
      </c>
      <c r="T229" s="7" t="s">
        <v>823</v>
      </c>
      <c r="U229" s="7"/>
    </row>
    <row r="230" spans="1:21" x14ac:dyDescent="0.25">
      <c r="A230" s="7" t="s">
        <v>255</v>
      </c>
      <c r="B230" s="7" t="s">
        <v>806</v>
      </c>
      <c r="C230" s="7">
        <v>45164</v>
      </c>
      <c r="D230" s="7">
        <v>45174</v>
      </c>
      <c r="E230" s="7" t="s">
        <v>26</v>
      </c>
      <c r="F230" s="7" t="s">
        <v>18</v>
      </c>
      <c r="G230" s="7">
        <v>1404</v>
      </c>
      <c r="H230" s="7">
        <v>34.85</v>
      </c>
      <c r="I230" s="7">
        <v>30.5</v>
      </c>
      <c r="J230" s="7">
        <v>78</v>
      </c>
      <c r="K230" s="7" t="s">
        <v>15</v>
      </c>
      <c r="L230" s="7">
        <v>10</v>
      </c>
      <c r="M230" s="7">
        <v>11</v>
      </c>
      <c r="N230" s="7">
        <v>0</v>
      </c>
      <c r="O230" s="7" t="s">
        <v>824</v>
      </c>
      <c r="P230" s="7">
        <v>0</v>
      </c>
      <c r="Q230" s="7">
        <v>48929.4</v>
      </c>
      <c r="R230" s="7">
        <v>42822</v>
      </c>
      <c r="S230" s="7">
        <v>6107.4000000000015</v>
      </c>
      <c r="T230" s="7" t="s">
        <v>823</v>
      </c>
      <c r="U230" s="7"/>
    </row>
    <row r="231" spans="1:21" x14ac:dyDescent="0.25">
      <c r="A231" s="7" t="s">
        <v>256</v>
      </c>
      <c r="B231" s="7" t="s">
        <v>806</v>
      </c>
      <c r="C231" s="7">
        <v>44787</v>
      </c>
      <c r="D231" s="7">
        <v>44801</v>
      </c>
      <c r="E231" s="7" t="s">
        <v>39</v>
      </c>
      <c r="F231" s="7" t="s">
        <v>18</v>
      </c>
      <c r="G231" s="7">
        <v>1713</v>
      </c>
      <c r="H231" s="7">
        <v>35.43</v>
      </c>
      <c r="I231" s="7">
        <v>34.11</v>
      </c>
      <c r="J231" s="7">
        <v>74</v>
      </c>
      <c r="K231" s="7" t="s">
        <v>15</v>
      </c>
      <c r="L231" s="7">
        <v>14</v>
      </c>
      <c r="M231" s="7">
        <v>11</v>
      </c>
      <c r="N231" s="7">
        <v>3</v>
      </c>
      <c r="O231" s="7" t="s">
        <v>824</v>
      </c>
      <c r="P231" s="7">
        <v>0</v>
      </c>
      <c r="Q231" s="7">
        <v>60691.59</v>
      </c>
      <c r="R231" s="7">
        <v>58430.43</v>
      </c>
      <c r="S231" s="7">
        <v>2261.1599999999962</v>
      </c>
      <c r="T231" s="7" t="s">
        <v>826</v>
      </c>
      <c r="U231" s="7"/>
    </row>
    <row r="232" spans="1:21" x14ac:dyDescent="0.25">
      <c r="A232" s="7" t="s">
        <v>257</v>
      </c>
      <c r="B232" s="7" t="s">
        <v>806</v>
      </c>
      <c r="C232" s="7">
        <v>44569</v>
      </c>
      <c r="D232" s="7">
        <v>44574</v>
      </c>
      <c r="E232" s="7" t="s">
        <v>39</v>
      </c>
      <c r="F232" s="7" t="s">
        <v>18</v>
      </c>
      <c r="G232" s="7">
        <v>1579</v>
      </c>
      <c r="H232" s="7">
        <v>43.96</v>
      </c>
      <c r="I232" s="7">
        <v>43.41</v>
      </c>
      <c r="J232" s="7">
        <v>74</v>
      </c>
      <c r="K232" s="7" t="s">
        <v>15</v>
      </c>
      <c r="L232" s="7">
        <v>5</v>
      </c>
      <c r="M232" s="7">
        <v>11</v>
      </c>
      <c r="N232" s="7">
        <v>0</v>
      </c>
      <c r="O232" s="7" t="s">
        <v>824</v>
      </c>
      <c r="P232" s="7">
        <v>0</v>
      </c>
      <c r="Q232" s="7">
        <v>69412.84</v>
      </c>
      <c r="R232" s="7">
        <v>68544.39</v>
      </c>
      <c r="S232" s="7">
        <v>868.44999999999709</v>
      </c>
      <c r="T232" s="7" t="s">
        <v>823</v>
      </c>
      <c r="U232" s="7"/>
    </row>
    <row r="233" spans="1:21" x14ac:dyDescent="0.25">
      <c r="A233" s="7" t="s">
        <v>258</v>
      </c>
      <c r="B233" s="7" t="s">
        <v>806</v>
      </c>
      <c r="C233" s="7">
        <v>44634</v>
      </c>
      <c r="D233" s="7">
        <v>44646</v>
      </c>
      <c r="E233" s="7" t="s">
        <v>39</v>
      </c>
      <c r="F233" s="7" t="s">
        <v>18</v>
      </c>
      <c r="G233" s="7">
        <v>1421</v>
      </c>
      <c r="H233" s="7">
        <v>11.92</v>
      </c>
      <c r="I233" s="7">
        <v>11.72</v>
      </c>
      <c r="J233" s="7">
        <v>76</v>
      </c>
      <c r="K233" s="7" t="s">
        <v>15</v>
      </c>
      <c r="L233" s="7">
        <v>12</v>
      </c>
      <c r="M233" s="7">
        <v>11</v>
      </c>
      <c r="N233" s="7">
        <v>1</v>
      </c>
      <c r="O233" s="7" t="s">
        <v>824</v>
      </c>
      <c r="P233" s="7">
        <v>0</v>
      </c>
      <c r="Q233" s="7">
        <v>16938.32</v>
      </c>
      <c r="R233" s="7">
        <v>16654.120000000003</v>
      </c>
      <c r="S233" s="7">
        <v>284.19999999999709</v>
      </c>
      <c r="T233" s="7" t="s">
        <v>826</v>
      </c>
      <c r="U233" s="7"/>
    </row>
    <row r="234" spans="1:21" x14ac:dyDescent="0.25">
      <c r="A234" s="7" t="s">
        <v>259</v>
      </c>
      <c r="B234" s="7" t="s">
        <v>808</v>
      </c>
      <c r="C234" s="7">
        <v>45286</v>
      </c>
      <c r="D234" s="7">
        <v>45295</v>
      </c>
      <c r="E234" s="7" t="s">
        <v>21</v>
      </c>
      <c r="F234" s="7" t="s">
        <v>18</v>
      </c>
      <c r="G234" s="7">
        <v>1546</v>
      </c>
      <c r="H234" s="7">
        <v>43.47</v>
      </c>
      <c r="I234" s="7">
        <v>37.369999999999997</v>
      </c>
      <c r="J234" s="7">
        <v>53</v>
      </c>
      <c r="K234" s="7" t="s">
        <v>15</v>
      </c>
      <c r="L234" s="7">
        <v>9</v>
      </c>
      <c r="M234" s="7">
        <v>11</v>
      </c>
      <c r="N234" s="7">
        <v>0</v>
      </c>
      <c r="O234" s="7" t="s">
        <v>824</v>
      </c>
      <c r="P234" s="7">
        <v>0</v>
      </c>
      <c r="Q234" s="7">
        <v>67204.62</v>
      </c>
      <c r="R234" s="7">
        <v>57774.02</v>
      </c>
      <c r="S234" s="7">
        <v>9430.5999999999985</v>
      </c>
      <c r="T234" s="7" t="s">
        <v>823</v>
      </c>
      <c r="U234" s="7"/>
    </row>
    <row r="235" spans="1:21" x14ac:dyDescent="0.25">
      <c r="A235" s="7" t="s">
        <v>260</v>
      </c>
      <c r="B235" s="7" t="s">
        <v>805</v>
      </c>
      <c r="C235" s="7">
        <v>45208</v>
      </c>
      <c r="D235" s="7">
        <v>45217</v>
      </c>
      <c r="E235" s="7" t="s">
        <v>39</v>
      </c>
      <c r="F235" s="7" t="s">
        <v>18</v>
      </c>
      <c r="G235" s="7">
        <v>1304</v>
      </c>
      <c r="H235" s="7">
        <v>32.08</v>
      </c>
      <c r="I235" s="7">
        <v>29.36</v>
      </c>
      <c r="J235" s="7"/>
      <c r="K235" s="7" t="s">
        <v>15</v>
      </c>
      <c r="L235" s="7">
        <v>9</v>
      </c>
      <c r="M235" s="7">
        <v>11</v>
      </c>
      <c r="N235" s="7">
        <v>0</v>
      </c>
      <c r="O235" s="7" t="s">
        <v>822</v>
      </c>
      <c r="P235" s="7">
        <v>1</v>
      </c>
      <c r="Q235" s="7">
        <v>41832.32</v>
      </c>
      <c r="R235" s="7">
        <v>38285.440000000002</v>
      </c>
      <c r="S235" s="7">
        <v>3546.8799999999974</v>
      </c>
      <c r="T235" s="7" t="s">
        <v>823</v>
      </c>
      <c r="U235" s="7"/>
    </row>
    <row r="236" spans="1:21" x14ac:dyDescent="0.25">
      <c r="A236" s="7" t="s">
        <v>261</v>
      </c>
      <c r="B236" s="7" t="s">
        <v>805</v>
      </c>
      <c r="C236" s="7">
        <v>44622</v>
      </c>
      <c r="D236" s="7">
        <v>44633</v>
      </c>
      <c r="E236" s="7" t="s">
        <v>26</v>
      </c>
      <c r="F236" s="7" t="s">
        <v>18</v>
      </c>
      <c r="G236" s="7">
        <v>239</v>
      </c>
      <c r="H236" s="7">
        <v>39.869999999999997</v>
      </c>
      <c r="I236" s="7">
        <v>35.47</v>
      </c>
      <c r="J236" s="7">
        <v>32</v>
      </c>
      <c r="K236" s="7" t="s">
        <v>15</v>
      </c>
      <c r="L236" s="7">
        <v>11</v>
      </c>
      <c r="M236" s="7">
        <v>11</v>
      </c>
      <c r="N236" s="7">
        <v>0</v>
      </c>
      <c r="O236" s="7" t="s">
        <v>824</v>
      </c>
      <c r="P236" s="7">
        <v>0</v>
      </c>
      <c r="Q236" s="7">
        <v>9528.93</v>
      </c>
      <c r="R236" s="7">
        <v>8477.33</v>
      </c>
      <c r="S236" s="7">
        <v>1051.6000000000004</v>
      </c>
      <c r="T236" s="7" t="s">
        <v>823</v>
      </c>
      <c r="U236" s="7"/>
    </row>
    <row r="237" spans="1:21" x14ac:dyDescent="0.25">
      <c r="A237" s="7" t="s">
        <v>262</v>
      </c>
      <c r="B237" s="7" t="s">
        <v>804</v>
      </c>
      <c r="C237" s="7">
        <v>44796</v>
      </c>
      <c r="D237" s="7">
        <v>44807</v>
      </c>
      <c r="E237" s="7" t="s">
        <v>13</v>
      </c>
      <c r="F237" s="7" t="s">
        <v>18</v>
      </c>
      <c r="G237" s="7">
        <v>1298</v>
      </c>
      <c r="H237" s="7">
        <v>21.51</v>
      </c>
      <c r="I237" s="7">
        <v>20.83</v>
      </c>
      <c r="J237" s="7"/>
      <c r="K237" s="7" t="s">
        <v>15</v>
      </c>
      <c r="L237" s="7">
        <v>11</v>
      </c>
      <c r="M237" s="7">
        <v>11</v>
      </c>
      <c r="N237" s="7">
        <v>0</v>
      </c>
      <c r="O237" s="7" t="s">
        <v>822</v>
      </c>
      <c r="P237" s="7">
        <v>1</v>
      </c>
      <c r="Q237" s="7">
        <v>27919.980000000003</v>
      </c>
      <c r="R237" s="7">
        <v>27037.339999999997</v>
      </c>
      <c r="S237" s="7">
        <v>882.64000000000669</v>
      </c>
      <c r="T237" s="7" t="s">
        <v>823</v>
      </c>
      <c r="U237" s="7"/>
    </row>
    <row r="238" spans="1:21" x14ac:dyDescent="0.25">
      <c r="A238" s="7" t="s">
        <v>263</v>
      </c>
      <c r="B238" s="7" t="s">
        <v>805</v>
      </c>
      <c r="C238" s="7">
        <v>44631</v>
      </c>
      <c r="D238" s="7">
        <v>44642</v>
      </c>
      <c r="E238" s="7" t="s">
        <v>21</v>
      </c>
      <c r="F238" s="7" t="s">
        <v>18</v>
      </c>
      <c r="G238" s="7">
        <v>1458</v>
      </c>
      <c r="H238" s="7">
        <v>91.05</v>
      </c>
      <c r="I238" s="7">
        <v>81.56</v>
      </c>
      <c r="J238" s="7">
        <v>220</v>
      </c>
      <c r="K238" s="7" t="s">
        <v>15</v>
      </c>
      <c r="L238" s="7">
        <v>11</v>
      </c>
      <c r="M238" s="7">
        <v>11</v>
      </c>
      <c r="N238" s="7">
        <v>0</v>
      </c>
      <c r="O238" s="7" t="s">
        <v>824</v>
      </c>
      <c r="P238" s="7">
        <v>0</v>
      </c>
      <c r="Q238" s="7">
        <v>132750.9</v>
      </c>
      <c r="R238" s="7">
        <v>118914.48000000001</v>
      </c>
      <c r="S238" s="7">
        <v>13836.419999999984</v>
      </c>
      <c r="T238" s="7" t="s">
        <v>823</v>
      </c>
      <c r="U238" s="7"/>
    </row>
    <row r="239" spans="1:21" x14ac:dyDescent="0.25">
      <c r="A239" s="7" t="s">
        <v>264</v>
      </c>
      <c r="B239" s="7" t="s">
        <v>806</v>
      </c>
      <c r="C239" s="7">
        <v>44594</v>
      </c>
      <c r="D239" s="7">
        <v>44605</v>
      </c>
      <c r="E239" s="7" t="s">
        <v>21</v>
      </c>
      <c r="F239" s="7" t="s">
        <v>18</v>
      </c>
      <c r="G239" s="7">
        <v>1450</v>
      </c>
      <c r="H239" s="7">
        <v>63.74</v>
      </c>
      <c r="I239" s="7">
        <v>59.11</v>
      </c>
      <c r="J239" s="7">
        <v>71</v>
      </c>
      <c r="K239" s="7" t="s">
        <v>15</v>
      </c>
      <c r="L239" s="7">
        <v>11</v>
      </c>
      <c r="M239" s="7">
        <v>11</v>
      </c>
      <c r="N239" s="7">
        <v>0</v>
      </c>
      <c r="O239" s="7" t="s">
        <v>824</v>
      </c>
      <c r="P239" s="7">
        <v>0</v>
      </c>
      <c r="Q239" s="7">
        <v>92423</v>
      </c>
      <c r="R239" s="7">
        <v>85709.5</v>
      </c>
      <c r="S239" s="7">
        <v>6713.5</v>
      </c>
      <c r="T239" s="7" t="s">
        <v>823</v>
      </c>
      <c r="U239" s="7"/>
    </row>
    <row r="240" spans="1:21" x14ac:dyDescent="0.25">
      <c r="A240" s="7" t="s">
        <v>265</v>
      </c>
      <c r="B240" s="7" t="s">
        <v>807</v>
      </c>
      <c r="C240" s="7">
        <v>44900</v>
      </c>
      <c r="D240" s="7">
        <v>44915</v>
      </c>
      <c r="E240" s="7" t="s">
        <v>39</v>
      </c>
      <c r="F240" s="7" t="s">
        <v>18</v>
      </c>
      <c r="G240" s="7">
        <v>1356</v>
      </c>
      <c r="H240" s="7">
        <v>75.03</v>
      </c>
      <c r="I240" s="7">
        <v>63.86</v>
      </c>
      <c r="J240" s="7">
        <v>131</v>
      </c>
      <c r="K240" s="7" t="s">
        <v>15</v>
      </c>
      <c r="L240" s="7">
        <v>15</v>
      </c>
      <c r="M240" s="7">
        <v>11</v>
      </c>
      <c r="N240" s="7">
        <v>4</v>
      </c>
      <c r="O240" s="7" t="s">
        <v>824</v>
      </c>
      <c r="P240" s="7">
        <v>0</v>
      </c>
      <c r="Q240" s="7">
        <v>101740.68000000001</v>
      </c>
      <c r="R240" s="7">
        <v>86594.16</v>
      </c>
      <c r="S240" s="7">
        <v>15146.520000000004</v>
      </c>
      <c r="T240" s="7" t="s">
        <v>826</v>
      </c>
      <c r="U240" s="7"/>
    </row>
    <row r="241" spans="1:21" x14ac:dyDescent="0.25">
      <c r="A241" s="7" t="s">
        <v>266</v>
      </c>
      <c r="B241" s="7" t="s">
        <v>806</v>
      </c>
      <c r="C241" s="7">
        <v>44634</v>
      </c>
      <c r="D241" s="7">
        <v>44644</v>
      </c>
      <c r="E241" s="7" t="s">
        <v>24</v>
      </c>
      <c r="F241" s="7" t="s">
        <v>18</v>
      </c>
      <c r="G241" s="7">
        <v>682</v>
      </c>
      <c r="H241" s="7">
        <v>81.84</v>
      </c>
      <c r="I241" s="7">
        <v>71.86</v>
      </c>
      <c r="J241" s="7">
        <v>40</v>
      </c>
      <c r="K241" s="7" t="s">
        <v>15</v>
      </c>
      <c r="L241" s="7">
        <v>10</v>
      </c>
      <c r="M241" s="7">
        <v>11</v>
      </c>
      <c r="N241" s="7">
        <v>0</v>
      </c>
      <c r="O241" s="7" t="s">
        <v>824</v>
      </c>
      <c r="P241" s="7">
        <v>0</v>
      </c>
      <c r="Q241" s="7">
        <v>55814.880000000005</v>
      </c>
      <c r="R241" s="7">
        <v>49008.52</v>
      </c>
      <c r="S241" s="7">
        <v>6806.3600000000079</v>
      </c>
      <c r="T241" s="7" t="s">
        <v>823</v>
      </c>
      <c r="U241" s="7"/>
    </row>
    <row r="242" spans="1:21" x14ac:dyDescent="0.25">
      <c r="A242" s="7" t="s">
        <v>267</v>
      </c>
      <c r="B242" s="7" t="s">
        <v>806</v>
      </c>
      <c r="C242" s="7">
        <v>45088</v>
      </c>
      <c r="D242" s="7">
        <v>45096</v>
      </c>
      <c r="E242" s="7" t="s">
        <v>24</v>
      </c>
      <c r="F242" s="7" t="s">
        <v>18</v>
      </c>
      <c r="G242" s="7">
        <v>677</v>
      </c>
      <c r="H242" s="7">
        <v>59.52</v>
      </c>
      <c r="I242" s="7">
        <v>55.29</v>
      </c>
      <c r="J242" s="7">
        <v>39</v>
      </c>
      <c r="K242" s="7" t="s">
        <v>15</v>
      </c>
      <c r="L242" s="7">
        <v>8</v>
      </c>
      <c r="M242" s="7">
        <v>11</v>
      </c>
      <c r="N242" s="7">
        <v>0</v>
      </c>
      <c r="O242" s="7" t="s">
        <v>824</v>
      </c>
      <c r="P242" s="7">
        <v>0</v>
      </c>
      <c r="Q242" s="7">
        <v>40295.040000000001</v>
      </c>
      <c r="R242" s="7">
        <v>37431.33</v>
      </c>
      <c r="S242" s="7">
        <v>2863.7099999999991</v>
      </c>
      <c r="T242" s="7" t="s">
        <v>823</v>
      </c>
      <c r="U242" s="7"/>
    </row>
    <row r="243" spans="1:21" x14ac:dyDescent="0.25">
      <c r="A243" s="7" t="s">
        <v>268</v>
      </c>
      <c r="B243" s="7" t="s">
        <v>805</v>
      </c>
      <c r="C243" s="7">
        <v>44805</v>
      </c>
      <c r="D243" s="7">
        <v>44818</v>
      </c>
      <c r="E243" s="7" t="s">
        <v>13</v>
      </c>
      <c r="F243" s="7" t="s">
        <v>18</v>
      </c>
      <c r="G243" s="7">
        <v>1022</v>
      </c>
      <c r="H243" s="7">
        <v>18.54</v>
      </c>
      <c r="I243" s="7">
        <v>16.55</v>
      </c>
      <c r="J243" s="7">
        <v>150</v>
      </c>
      <c r="K243" s="7" t="s">
        <v>15</v>
      </c>
      <c r="L243" s="7">
        <v>13</v>
      </c>
      <c r="M243" s="7">
        <v>11</v>
      </c>
      <c r="N243" s="7">
        <v>2</v>
      </c>
      <c r="O243" s="7" t="s">
        <v>824</v>
      </c>
      <c r="P243" s="7">
        <v>0</v>
      </c>
      <c r="Q243" s="7">
        <v>18947.879999999997</v>
      </c>
      <c r="R243" s="7">
        <v>16914.100000000002</v>
      </c>
      <c r="S243" s="7">
        <v>2033.7799999999952</v>
      </c>
      <c r="T243" s="7" t="s">
        <v>826</v>
      </c>
      <c r="U243" s="7"/>
    </row>
    <row r="244" spans="1:21" x14ac:dyDescent="0.25">
      <c r="A244" s="7" t="s">
        <v>269</v>
      </c>
      <c r="B244" s="7" t="s">
        <v>804</v>
      </c>
      <c r="C244" s="7">
        <v>44847</v>
      </c>
      <c r="D244" s="7">
        <v>44858</v>
      </c>
      <c r="E244" s="7" t="s">
        <v>26</v>
      </c>
      <c r="F244" s="7" t="s">
        <v>18</v>
      </c>
      <c r="G244" s="7">
        <v>1818</v>
      </c>
      <c r="H244" s="7">
        <v>60.96</v>
      </c>
      <c r="I244" s="7">
        <v>57.13</v>
      </c>
      <c r="J244" s="7">
        <v>41</v>
      </c>
      <c r="K244" s="7" t="s">
        <v>15</v>
      </c>
      <c r="L244" s="7">
        <v>11</v>
      </c>
      <c r="M244" s="7">
        <v>11</v>
      </c>
      <c r="N244" s="7">
        <v>0</v>
      </c>
      <c r="O244" s="7" t="s">
        <v>824</v>
      </c>
      <c r="P244" s="7">
        <v>0</v>
      </c>
      <c r="Q244" s="7">
        <v>110825.28</v>
      </c>
      <c r="R244" s="7">
        <v>103862.34000000001</v>
      </c>
      <c r="S244" s="7">
        <v>6962.9399999999878</v>
      </c>
      <c r="T244" s="7" t="s">
        <v>823</v>
      </c>
      <c r="U244" s="7"/>
    </row>
    <row r="245" spans="1:21" x14ac:dyDescent="0.25">
      <c r="A245" s="7" t="s">
        <v>270</v>
      </c>
      <c r="B245" s="7" t="s">
        <v>808</v>
      </c>
      <c r="C245" s="7">
        <v>45247</v>
      </c>
      <c r="D245" s="7">
        <v>45259</v>
      </c>
      <c r="E245" s="7" t="s">
        <v>39</v>
      </c>
      <c r="F245" s="7" t="s">
        <v>18</v>
      </c>
      <c r="G245" s="7">
        <v>1332</v>
      </c>
      <c r="H245" s="7">
        <v>69.73</v>
      </c>
      <c r="I245" s="7">
        <v>63.8</v>
      </c>
      <c r="J245" s="7">
        <v>41</v>
      </c>
      <c r="K245" s="7" t="s">
        <v>15</v>
      </c>
      <c r="L245" s="7">
        <v>12</v>
      </c>
      <c r="M245" s="7">
        <v>11</v>
      </c>
      <c r="N245" s="7">
        <v>1</v>
      </c>
      <c r="O245" s="7" t="s">
        <v>824</v>
      </c>
      <c r="P245" s="7">
        <v>0</v>
      </c>
      <c r="Q245" s="7">
        <v>92880.36</v>
      </c>
      <c r="R245" s="7">
        <v>84981.599999999991</v>
      </c>
      <c r="S245" s="7">
        <v>7898.7600000000093</v>
      </c>
      <c r="T245" s="7" t="s">
        <v>826</v>
      </c>
      <c r="U245" s="7"/>
    </row>
    <row r="246" spans="1:21" x14ac:dyDescent="0.25">
      <c r="A246" s="7" t="s">
        <v>271</v>
      </c>
      <c r="B246" s="7" t="s">
        <v>807</v>
      </c>
      <c r="C246" s="7">
        <v>45059</v>
      </c>
      <c r="D246" s="7">
        <v>45072</v>
      </c>
      <c r="E246" s="7" t="s">
        <v>26</v>
      </c>
      <c r="F246" s="7" t="s">
        <v>18</v>
      </c>
      <c r="G246" s="7">
        <v>1432</v>
      </c>
      <c r="H246" s="7">
        <v>83.26</v>
      </c>
      <c r="I246" s="7">
        <v>77.67</v>
      </c>
      <c r="J246" s="7">
        <v>174</v>
      </c>
      <c r="K246" s="7" t="s">
        <v>15</v>
      </c>
      <c r="L246" s="7">
        <v>13</v>
      </c>
      <c r="M246" s="7">
        <v>11</v>
      </c>
      <c r="N246" s="7">
        <v>2</v>
      </c>
      <c r="O246" s="7" t="s">
        <v>824</v>
      </c>
      <c r="P246" s="7">
        <v>0</v>
      </c>
      <c r="Q246" s="7">
        <v>119228.32</v>
      </c>
      <c r="R246" s="7">
        <v>111223.44</v>
      </c>
      <c r="S246" s="7">
        <v>8004.8800000000047</v>
      </c>
      <c r="T246" s="7" t="s">
        <v>826</v>
      </c>
      <c r="U246" s="7"/>
    </row>
    <row r="247" spans="1:21" x14ac:dyDescent="0.25">
      <c r="A247" s="7" t="s">
        <v>272</v>
      </c>
      <c r="B247" s="7" t="s">
        <v>807</v>
      </c>
      <c r="C247" s="7">
        <v>44781</v>
      </c>
      <c r="D247" s="7">
        <v>44799</v>
      </c>
      <c r="E247" s="7" t="s">
        <v>24</v>
      </c>
      <c r="F247" s="7" t="s">
        <v>35</v>
      </c>
      <c r="G247" s="7">
        <v>759</v>
      </c>
      <c r="H247" s="7">
        <v>50.56</v>
      </c>
      <c r="I247" s="7">
        <v>46.47</v>
      </c>
      <c r="J247" s="7">
        <v>63</v>
      </c>
      <c r="K247" s="7" t="s">
        <v>27</v>
      </c>
      <c r="L247" s="7">
        <v>18</v>
      </c>
      <c r="M247" s="7">
        <v>11</v>
      </c>
      <c r="N247" s="7">
        <v>7</v>
      </c>
      <c r="O247" s="7" t="s">
        <v>824</v>
      </c>
      <c r="P247" s="7">
        <v>0</v>
      </c>
      <c r="Q247" s="7">
        <v>38375.040000000001</v>
      </c>
      <c r="R247" s="7">
        <v>35270.729999999996</v>
      </c>
      <c r="S247" s="7">
        <v>3104.3100000000049</v>
      </c>
      <c r="T247" s="7" t="s">
        <v>825</v>
      </c>
      <c r="U247" s="7"/>
    </row>
    <row r="248" spans="1:21" x14ac:dyDescent="0.25">
      <c r="A248" s="7" t="s">
        <v>273</v>
      </c>
      <c r="B248" s="7" t="s">
        <v>804</v>
      </c>
      <c r="C248" s="7">
        <v>45114</v>
      </c>
      <c r="D248" s="7">
        <v>45126</v>
      </c>
      <c r="E248" s="7" t="s">
        <v>24</v>
      </c>
      <c r="F248" s="7" t="s">
        <v>18</v>
      </c>
      <c r="G248" s="7">
        <v>1529</v>
      </c>
      <c r="H248" s="7">
        <v>23.42</v>
      </c>
      <c r="I248" s="7">
        <v>22.44</v>
      </c>
      <c r="J248" s="7">
        <v>30</v>
      </c>
      <c r="K248" s="7" t="s">
        <v>15</v>
      </c>
      <c r="L248" s="7">
        <v>12</v>
      </c>
      <c r="M248" s="7">
        <v>11</v>
      </c>
      <c r="N248" s="7">
        <v>1</v>
      </c>
      <c r="O248" s="7" t="s">
        <v>824</v>
      </c>
      <c r="P248" s="7">
        <v>0</v>
      </c>
      <c r="Q248" s="7">
        <v>35809.18</v>
      </c>
      <c r="R248" s="7">
        <v>34310.76</v>
      </c>
      <c r="S248" s="7">
        <v>1498.4199999999983</v>
      </c>
      <c r="T248" s="7" t="s">
        <v>826</v>
      </c>
      <c r="U248" s="7"/>
    </row>
    <row r="249" spans="1:21" x14ac:dyDescent="0.25">
      <c r="A249" s="7" t="s">
        <v>274</v>
      </c>
      <c r="B249" s="7" t="s">
        <v>806</v>
      </c>
      <c r="C249" s="7">
        <v>44697</v>
      </c>
      <c r="D249" s="7">
        <v>44706</v>
      </c>
      <c r="E249" s="7" t="s">
        <v>39</v>
      </c>
      <c r="F249" s="7" t="s">
        <v>18</v>
      </c>
      <c r="G249" s="7">
        <v>1484</v>
      </c>
      <c r="H249" s="7">
        <v>36.25</v>
      </c>
      <c r="I249" s="7">
        <v>31.8</v>
      </c>
      <c r="J249" s="7">
        <v>61</v>
      </c>
      <c r="K249" s="7" t="s">
        <v>15</v>
      </c>
      <c r="L249" s="7">
        <v>9</v>
      </c>
      <c r="M249" s="7">
        <v>11</v>
      </c>
      <c r="N249" s="7">
        <v>0</v>
      </c>
      <c r="O249" s="7" t="s">
        <v>824</v>
      </c>
      <c r="P249" s="7">
        <v>0</v>
      </c>
      <c r="Q249" s="7">
        <v>53795</v>
      </c>
      <c r="R249" s="7">
        <v>47191.200000000004</v>
      </c>
      <c r="S249" s="7">
        <v>6603.7999999999956</v>
      </c>
      <c r="T249" s="7" t="s">
        <v>823</v>
      </c>
      <c r="U249" s="7"/>
    </row>
    <row r="250" spans="1:21" x14ac:dyDescent="0.25">
      <c r="A250" s="7" t="s">
        <v>275</v>
      </c>
      <c r="B250" s="7" t="s">
        <v>808</v>
      </c>
      <c r="C250" s="7">
        <v>45146</v>
      </c>
      <c r="D250" s="7">
        <v>45158</v>
      </c>
      <c r="E250" s="7" t="s">
        <v>24</v>
      </c>
      <c r="F250" s="7" t="s">
        <v>18</v>
      </c>
      <c r="G250" s="7">
        <v>698</v>
      </c>
      <c r="H250" s="7">
        <v>46.73</v>
      </c>
      <c r="I250" s="7">
        <v>45.61</v>
      </c>
      <c r="J250" s="7">
        <v>15</v>
      </c>
      <c r="K250" s="7" t="s">
        <v>15</v>
      </c>
      <c r="L250" s="7">
        <v>12</v>
      </c>
      <c r="M250" s="7">
        <v>11</v>
      </c>
      <c r="N250" s="7">
        <v>1</v>
      </c>
      <c r="O250" s="7" t="s">
        <v>824</v>
      </c>
      <c r="P250" s="7">
        <v>0</v>
      </c>
      <c r="Q250" s="7">
        <v>32617.539999999997</v>
      </c>
      <c r="R250" s="7">
        <v>31835.78</v>
      </c>
      <c r="S250" s="7">
        <v>781.7599999999984</v>
      </c>
      <c r="T250" s="7" t="s">
        <v>826</v>
      </c>
      <c r="U250" s="7"/>
    </row>
    <row r="251" spans="1:21" x14ac:dyDescent="0.25">
      <c r="A251" s="7" t="s">
        <v>276</v>
      </c>
      <c r="B251" s="7" t="s">
        <v>808</v>
      </c>
      <c r="C251" s="7">
        <v>45152</v>
      </c>
      <c r="D251" s="7">
        <v>45160</v>
      </c>
      <c r="E251" s="7" t="s">
        <v>24</v>
      </c>
      <c r="F251" s="7" t="s">
        <v>35</v>
      </c>
      <c r="G251" s="7">
        <v>367</v>
      </c>
      <c r="H251" s="7">
        <v>74.61</v>
      </c>
      <c r="I251" s="7">
        <v>71.36</v>
      </c>
      <c r="J251" s="7">
        <v>13</v>
      </c>
      <c r="K251" s="7" t="s">
        <v>15</v>
      </c>
      <c r="L251" s="7">
        <v>8</v>
      </c>
      <c r="M251" s="7">
        <v>11</v>
      </c>
      <c r="N251" s="7">
        <v>0</v>
      </c>
      <c r="O251" s="7" t="s">
        <v>824</v>
      </c>
      <c r="P251" s="7">
        <v>0</v>
      </c>
      <c r="Q251" s="7">
        <v>27381.87</v>
      </c>
      <c r="R251" s="7">
        <v>26189.119999999999</v>
      </c>
      <c r="S251" s="7">
        <v>1192.75</v>
      </c>
      <c r="T251" s="7" t="s">
        <v>823</v>
      </c>
      <c r="U251" s="7"/>
    </row>
    <row r="252" spans="1:21" x14ac:dyDescent="0.25">
      <c r="A252" s="7" t="s">
        <v>277</v>
      </c>
      <c r="B252" s="7" t="s">
        <v>808</v>
      </c>
      <c r="C252" s="7">
        <v>45046</v>
      </c>
      <c r="D252" s="7">
        <v>45066</v>
      </c>
      <c r="E252" s="7" t="s">
        <v>13</v>
      </c>
      <c r="F252" s="7" t="s">
        <v>33</v>
      </c>
      <c r="G252" s="7">
        <v>1750</v>
      </c>
      <c r="H252" s="7">
        <v>65.97</v>
      </c>
      <c r="I252" s="7">
        <v>58.34</v>
      </c>
      <c r="J252" s="7">
        <v>50</v>
      </c>
      <c r="K252" s="7" t="s">
        <v>15</v>
      </c>
      <c r="L252" s="7">
        <v>20</v>
      </c>
      <c r="M252" s="7">
        <v>11</v>
      </c>
      <c r="N252" s="7">
        <v>9</v>
      </c>
      <c r="O252" s="7" t="s">
        <v>824</v>
      </c>
      <c r="P252" s="7">
        <v>0</v>
      </c>
      <c r="Q252" s="7">
        <v>115447.5</v>
      </c>
      <c r="R252" s="7">
        <v>102095</v>
      </c>
      <c r="S252" s="7">
        <v>13352.5</v>
      </c>
      <c r="T252" s="7" t="s">
        <v>825</v>
      </c>
      <c r="U252" s="7"/>
    </row>
    <row r="253" spans="1:21" x14ac:dyDescent="0.25">
      <c r="A253" s="7" t="s">
        <v>278</v>
      </c>
      <c r="B253" s="7" t="s">
        <v>805</v>
      </c>
      <c r="C253" s="7">
        <v>44810</v>
      </c>
      <c r="D253" s="7">
        <v>44828</v>
      </c>
      <c r="E253" s="7" t="s">
        <v>13</v>
      </c>
      <c r="F253" s="7" t="s">
        <v>33</v>
      </c>
      <c r="G253" s="7">
        <v>1298</v>
      </c>
      <c r="H253" s="7">
        <v>43.73</v>
      </c>
      <c r="I253" s="7">
        <v>37.21</v>
      </c>
      <c r="J253" s="7"/>
      <c r="K253" s="7" t="s">
        <v>27</v>
      </c>
      <c r="L253" s="7">
        <v>18</v>
      </c>
      <c r="M253" s="7">
        <v>11</v>
      </c>
      <c r="N253" s="7">
        <v>7</v>
      </c>
      <c r="O253" s="7" t="s">
        <v>824</v>
      </c>
      <c r="P253" s="7">
        <v>0</v>
      </c>
      <c r="Q253" s="7">
        <v>56761.539999999994</v>
      </c>
      <c r="R253" s="7">
        <v>48298.58</v>
      </c>
      <c r="S253" s="7">
        <v>8462.9599999999919</v>
      </c>
      <c r="T253" s="7" t="s">
        <v>825</v>
      </c>
      <c r="U253" s="7"/>
    </row>
    <row r="254" spans="1:21" x14ac:dyDescent="0.25">
      <c r="A254" s="7" t="s">
        <v>279</v>
      </c>
      <c r="B254" s="7" t="s">
        <v>806</v>
      </c>
      <c r="C254" s="7">
        <v>45046</v>
      </c>
      <c r="D254" s="7">
        <v>45066</v>
      </c>
      <c r="E254" s="7" t="s">
        <v>24</v>
      </c>
      <c r="F254" s="7" t="s">
        <v>18</v>
      </c>
      <c r="G254" s="7">
        <v>1892</v>
      </c>
      <c r="H254" s="7">
        <v>106.2</v>
      </c>
      <c r="I254" s="7">
        <v>96.37</v>
      </c>
      <c r="J254" s="7">
        <v>93</v>
      </c>
      <c r="K254" s="7" t="s">
        <v>15</v>
      </c>
      <c r="L254" s="7">
        <v>20</v>
      </c>
      <c r="M254" s="7">
        <v>11</v>
      </c>
      <c r="N254" s="7">
        <v>9</v>
      </c>
      <c r="O254" s="7" t="s">
        <v>824</v>
      </c>
      <c r="P254" s="7">
        <v>0</v>
      </c>
      <c r="Q254" s="7">
        <v>200930.4</v>
      </c>
      <c r="R254" s="7">
        <v>182332.04</v>
      </c>
      <c r="S254" s="7">
        <v>18598.359999999986</v>
      </c>
      <c r="T254" s="7" t="s">
        <v>825</v>
      </c>
      <c r="U254" s="7"/>
    </row>
    <row r="255" spans="1:21" x14ac:dyDescent="0.25">
      <c r="A255" s="7" t="s">
        <v>280</v>
      </c>
      <c r="B255" s="7" t="s">
        <v>807</v>
      </c>
      <c r="C255" s="7">
        <v>44978</v>
      </c>
      <c r="D255" s="7">
        <v>44981</v>
      </c>
      <c r="E255" s="7" t="s">
        <v>39</v>
      </c>
      <c r="F255" s="7" t="s">
        <v>18</v>
      </c>
      <c r="G255" s="7">
        <v>1307</v>
      </c>
      <c r="H255" s="7">
        <v>68.709999999999994</v>
      </c>
      <c r="I255" s="7">
        <v>60.64</v>
      </c>
      <c r="J255" s="7">
        <v>141</v>
      </c>
      <c r="K255" s="7" t="s">
        <v>15</v>
      </c>
      <c r="L255" s="7">
        <v>3</v>
      </c>
      <c r="M255" s="7">
        <v>11</v>
      </c>
      <c r="N255" s="7">
        <v>0</v>
      </c>
      <c r="O255" s="7" t="s">
        <v>824</v>
      </c>
      <c r="P255" s="7">
        <v>0</v>
      </c>
      <c r="Q255" s="7">
        <v>89803.969999999987</v>
      </c>
      <c r="R255" s="7">
        <v>79256.479999999996</v>
      </c>
      <c r="S255" s="7">
        <v>10547.489999999991</v>
      </c>
      <c r="T255" s="7" t="s">
        <v>823</v>
      </c>
      <c r="U255" s="7"/>
    </row>
    <row r="256" spans="1:21" x14ac:dyDescent="0.25">
      <c r="A256" s="7" t="s">
        <v>281</v>
      </c>
      <c r="B256" s="7" t="s">
        <v>807</v>
      </c>
      <c r="C256" s="7">
        <v>44756</v>
      </c>
      <c r="D256" s="7">
        <v>44771</v>
      </c>
      <c r="E256" s="7" t="s">
        <v>39</v>
      </c>
      <c r="F256" s="7" t="s">
        <v>18</v>
      </c>
      <c r="G256" s="7">
        <v>733</v>
      </c>
      <c r="H256" s="7">
        <v>32.29</v>
      </c>
      <c r="I256" s="7">
        <v>29.01</v>
      </c>
      <c r="J256" s="7">
        <v>78</v>
      </c>
      <c r="K256" s="7" t="s">
        <v>15</v>
      </c>
      <c r="L256" s="7">
        <v>15</v>
      </c>
      <c r="M256" s="7">
        <v>11</v>
      </c>
      <c r="N256" s="7">
        <v>4</v>
      </c>
      <c r="O256" s="7" t="s">
        <v>824</v>
      </c>
      <c r="P256" s="7">
        <v>0</v>
      </c>
      <c r="Q256" s="7">
        <v>23668.57</v>
      </c>
      <c r="R256" s="7">
        <v>21264.33</v>
      </c>
      <c r="S256" s="7">
        <v>2404.239999999998</v>
      </c>
      <c r="T256" s="7" t="s">
        <v>826</v>
      </c>
      <c r="U256" s="7"/>
    </row>
    <row r="257" spans="1:21" x14ac:dyDescent="0.25">
      <c r="A257" s="7" t="s">
        <v>282</v>
      </c>
      <c r="B257" s="7" t="s">
        <v>806</v>
      </c>
      <c r="C257" s="7">
        <v>44658</v>
      </c>
      <c r="D257" s="7">
        <v>44668</v>
      </c>
      <c r="E257" s="7" t="s">
        <v>24</v>
      </c>
      <c r="F257" s="7" t="s">
        <v>18</v>
      </c>
      <c r="G257" s="7">
        <v>713</v>
      </c>
      <c r="H257" s="7">
        <v>19.45</v>
      </c>
      <c r="I257" s="7">
        <v>18.82</v>
      </c>
      <c r="J257" s="7">
        <v>31</v>
      </c>
      <c r="K257" s="7" t="s">
        <v>15</v>
      </c>
      <c r="L257" s="7">
        <v>10</v>
      </c>
      <c r="M257" s="7">
        <v>11</v>
      </c>
      <c r="N257" s="7">
        <v>0</v>
      </c>
      <c r="O257" s="7" t="s">
        <v>824</v>
      </c>
      <c r="P257" s="7">
        <v>0</v>
      </c>
      <c r="Q257" s="7">
        <v>13867.85</v>
      </c>
      <c r="R257" s="7">
        <v>13418.66</v>
      </c>
      <c r="S257" s="7">
        <v>449.19000000000051</v>
      </c>
      <c r="T257" s="7" t="s">
        <v>823</v>
      </c>
      <c r="U257" s="7"/>
    </row>
    <row r="258" spans="1:21" x14ac:dyDescent="0.25">
      <c r="A258" s="7" t="s">
        <v>283</v>
      </c>
      <c r="B258" s="7" t="s">
        <v>807</v>
      </c>
      <c r="C258" s="7">
        <v>44661</v>
      </c>
      <c r="D258" s="7">
        <v>44675</v>
      </c>
      <c r="E258" s="7" t="s">
        <v>24</v>
      </c>
      <c r="F258" s="7" t="s">
        <v>18</v>
      </c>
      <c r="G258" s="7">
        <v>1900</v>
      </c>
      <c r="H258" s="7">
        <v>24.11</v>
      </c>
      <c r="I258" s="7">
        <v>23.45</v>
      </c>
      <c r="J258" s="7">
        <v>188</v>
      </c>
      <c r="K258" s="7" t="s">
        <v>15</v>
      </c>
      <c r="L258" s="7">
        <v>14</v>
      </c>
      <c r="M258" s="7">
        <v>11</v>
      </c>
      <c r="N258" s="7">
        <v>3</v>
      </c>
      <c r="O258" s="7" t="s">
        <v>824</v>
      </c>
      <c r="P258" s="7">
        <v>0</v>
      </c>
      <c r="Q258" s="7">
        <v>45809</v>
      </c>
      <c r="R258" s="7">
        <v>44555</v>
      </c>
      <c r="S258" s="7">
        <v>1254</v>
      </c>
      <c r="T258" s="7" t="s">
        <v>826</v>
      </c>
      <c r="U258" s="7"/>
    </row>
    <row r="259" spans="1:21" x14ac:dyDescent="0.25">
      <c r="A259" s="7" t="s">
        <v>284</v>
      </c>
      <c r="B259" s="7" t="s">
        <v>805</v>
      </c>
      <c r="C259" s="7">
        <v>45236</v>
      </c>
      <c r="D259" s="7">
        <v>45238</v>
      </c>
      <c r="E259" s="7" t="s">
        <v>21</v>
      </c>
      <c r="F259" s="7" t="s">
        <v>14</v>
      </c>
      <c r="G259" s="7">
        <v>1447</v>
      </c>
      <c r="H259" s="7">
        <v>35.67</v>
      </c>
      <c r="I259" s="7">
        <v>35.07</v>
      </c>
      <c r="J259" s="7">
        <v>224</v>
      </c>
      <c r="K259" s="7" t="s">
        <v>27</v>
      </c>
      <c r="L259" s="7">
        <v>2</v>
      </c>
      <c r="M259" s="7">
        <v>11</v>
      </c>
      <c r="N259" s="7">
        <v>0</v>
      </c>
      <c r="O259" s="7" t="s">
        <v>824</v>
      </c>
      <c r="P259" s="7">
        <v>0</v>
      </c>
      <c r="Q259" s="7">
        <v>51614.490000000005</v>
      </c>
      <c r="R259" s="7">
        <v>50746.29</v>
      </c>
      <c r="S259" s="7">
        <v>868.20000000000437</v>
      </c>
      <c r="T259" s="7" t="s">
        <v>823</v>
      </c>
      <c r="U259" s="7"/>
    </row>
    <row r="260" spans="1:21" x14ac:dyDescent="0.25">
      <c r="A260" s="7" t="s">
        <v>285</v>
      </c>
      <c r="B260" s="7" t="s">
        <v>808</v>
      </c>
      <c r="C260" s="7">
        <v>45003</v>
      </c>
      <c r="D260" s="7">
        <v>45014</v>
      </c>
      <c r="E260" s="7" t="s">
        <v>13</v>
      </c>
      <c r="F260" s="7" t="s">
        <v>18</v>
      </c>
      <c r="G260" s="7">
        <v>1745</v>
      </c>
      <c r="H260" s="7">
        <v>26.17</v>
      </c>
      <c r="I260" s="7">
        <v>22.25</v>
      </c>
      <c r="J260" s="7">
        <v>55</v>
      </c>
      <c r="K260" s="7" t="s">
        <v>15</v>
      </c>
      <c r="L260" s="7">
        <v>11</v>
      </c>
      <c r="M260" s="7">
        <v>11</v>
      </c>
      <c r="N260" s="7">
        <v>0</v>
      </c>
      <c r="O260" s="7" t="s">
        <v>824</v>
      </c>
      <c r="P260" s="7">
        <v>0</v>
      </c>
      <c r="Q260" s="7">
        <v>45666.65</v>
      </c>
      <c r="R260" s="7">
        <v>38826.25</v>
      </c>
      <c r="S260" s="7">
        <v>6840.4000000000015</v>
      </c>
      <c r="T260" s="7" t="s">
        <v>823</v>
      </c>
      <c r="U260" s="7"/>
    </row>
    <row r="261" spans="1:21" x14ac:dyDescent="0.25">
      <c r="A261" s="7" t="s">
        <v>286</v>
      </c>
      <c r="B261" s="7" t="s">
        <v>807</v>
      </c>
      <c r="C261" s="7">
        <v>44924</v>
      </c>
      <c r="D261" s="7">
        <v>44940</v>
      </c>
      <c r="E261" s="7" t="s">
        <v>13</v>
      </c>
      <c r="F261" s="7" t="s">
        <v>18</v>
      </c>
      <c r="G261" s="7">
        <v>1681</v>
      </c>
      <c r="H261" s="7">
        <v>28.26</v>
      </c>
      <c r="I261" s="7">
        <v>26.62</v>
      </c>
      <c r="J261" s="7">
        <v>143</v>
      </c>
      <c r="K261" s="7" t="s">
        <v>15</v>
      </c>
      <c r="L261" s="7">
        <v>16</v>
      </c>
      <c r="M261" s="7">
        <v>11</v>
      </c>
      <c r="N261" s="7">
        <v>5</v>
      </c>
      <c r="O261" s="7" t="s">
        <v>824</v>
      </c>
      <c r="P261" s="7">
        <v>0</v>
      </c>
      <c r="Q261" s="7">
        <v>47505.060000000005</v>
      </c>
      <c r="R261" s="7">
        <v>44748.22</v>
      </c>
      <c r="S261" s="7">
        <v>2756.8400000000038</v>
      </c>
      <c r="T261" s="7" t="s">
        <v>825</v>
      </c>
      <c r="U261" s="7"/>
    </row>
    <row r="262" spans="1:21" x14ac:dyDescent="0.25">
      <c r="A262" s="7" t="s">
        <v>287</v>
      </c>
      <c r="B262" s="7" t="s">
        <v>805</v>
      </c>
      <c r="C262" s="7">
        <v>44995</v>
      </c>
      <c r="D262" s="7">
        <v>45003</v>
      </c>
      <c r="E262" s="7" t="s">
        <v>39</v>
      </c>
      <c r="F262" s="7" t="s">
        <v>18</v>
      </c>
      <c r="G262" s="7">
        <v>1545</v>
      </c>
      <c r="H262" s="7">
        <v>38.15</v>
      </c>
      <c r="I262" s="7">
        <v>36.96</v>
      </c>
      <c r="J262" s="7">
        <v>214</v>
      </c>
      <c r="K262" s="7" t="s">
        <v>15</v>
      </c>
      <c r="L262" s="7">
        <v>8</v>
      </c>
      <c r="M262" s="7">
        <v>11</v>
      </c>
      <c r="N262" s="7">
        <v>0</v>
      </c>
      <c r="O262" s="7" t="s">
        <v>824</v>
      </c>
      <c r="P262" s="7">
        <v>0</v>
      </c>
      <c r="Q262" s="7">
        <v>58941.75</v>
      </c>
      <c r="R262" s="7">
        <v>57103.200000000004</v>
      </c>
      <c r="S262" s="7">
        <v>1838.5499999999956</v>
      </c>
      <c r="T262" s="7" t="s">
        <v>823</v>
      </c>
      <c r="U262" s="7"/>
    </row>
    <row r="263" spans="1:21" x14ac:dyDescent="0.25">
      <c r="A263" s="7" t="s">
        <v>288</v>
      </c>
      <c r="B263" s="7" t="s">
        <v>808</v>
      </c>
      <c r="C263" s="7">
        <v>44982</v>
      </c>
      <c r="D263" s="7">
        <v>44987</v>
      </c>
      <c r="E263" s="7" t="s">
        <v>26</v>
      </c>
      <c r="F263" s="7" t="s">
        <v>18</v>
      </c>
      <c r="G263" s="7">
        <v>1306</v>
      </c>
      <c r="H263" s="7">
        <v>27.27</v>
      </c>
      <c r="I263" s="7">
        <v>25.96</v>
      </c>
      <c r="J263" s="7">
        <v>39</v>
      </c>
      <c r="K263" s="7" t="s">
        <v>15</v>
      </c>
      <c r="L263" s="7">
        <v>5</v>
      </c>
      <c r="M263" s="7">
        <v>11</v>
      </c>
      <c r="N263" s="7">
        <v>0</v>
      </c>
      <c r="O263" s="7" t="s">
        <v>824</v>
      </c>
      <c r="P263" s="7">
        <v>0</v>
      </c>
      <c r="Q263" s="7">
        <v>35614.620000000003</v>
      </c>
      <c r="R263" s="7">
        <v>33903.760000000002</v>
      </c>
      <c r="S263" s="7">
        <v>1710.8600000000006</v>
      </c>
      <c r="T263" s="7" t="s">
        <v>823</v>
      </c>
      <c r="U263" s="7"/>
    </row>
    <row r="264" spans="1:21" x14ac:dyDescent="0.25">
      <c r="A264" s="7" t="s">
        <v>289</v>
      </c>
      <c r="B264" s="7" t="s">
        <v>806</v>
      </c>
      <c r="C264" s="7">
        <v>45040</v>
      </c>
      <c r="D264" s="7">
        <v>45052</v>
      </c>
      <c r="E264" s="7" t="s">
        <v>26</v>
      </c>
      <c r="F264" s="7" t="s">
        <v>18</v>
      </c>
      <c r="G264" s="7">
        <v>1765</v>
      </c>
      <c r="H264" s="7">
        <v>97.51</v>
      </c>
      <c r="I264" s="7">
        <v>84.3</v>
      </c>
      <c r="J264" s="7">
        <v>65</v>
      </c>
      <c r="K264" s="7" t="s">
        <v>15</v>
      </c>
      <c r="L264" s="7">
        <v>12</v>
      </c>
      <c r="M264" s="7">
        <v>11</v>
      </c>
      <c r="N264" s="7">
        <v>1</v>
      </c>
      <c r="O264" s="7" t="s">
        <v>824</v>
      </c>
      <c r="P264" s="7">
        <v>0</v>
      </c>
      <c r="Q264" s="7">
        <v>172105.15000000002</v>
      </c>
      <c r="R264" s="7">
        <v>148789.5</v>
      </c>
      <c r="S264" s="7">
        <v>23315.650000000023</v>
      </c>
      <c r="T264" s="7" t="s">
        <v>826</v>
      </c>
      <c r="U264" s="7"/>
    </row>
    <row r="265" spans="1:21" x14ac:dyDescent="0.25">
      <c r="A265" s="7" t="s">
        <v>290</v>
      </c>
      <c r="B265" s="7" t="s">
        <v>806</v>
      </c>
      <c r="C265" s="7">
        <v>44617</v>
      </c>
      <c r="D265" s="7">
        <v>44635</v>
      </c>
      <c r="E265" s="7" t="s">
        <v>24</v>
      </c>
      <c r="F265" s="7" t="s">
        <v>14</v>
      </c>
      <c r="G265" s="7">
        <v>1186</v>
      </c>
      <c r="H265" s="7">
        <v>17.309999999999999</v>
      </c>
      <c r="I265" s="7">
        <v>16</v>
      </c>
      <c r="J265" s="7">
        <v>64</v>
      </c>
      <c r="K265" s="7" t="s">
        <v>15</v>
      </c>
      <c r="L265" s="7">
        <v>18</v>
      </c>
      <c r="M265" s="7">
        <v>11</v>
      </c>
      <c r="N265" s="7">
        <v>7</v>
      </c>
      <c r="O265" s="7" t="s">
        <v>824</v>
      </c>
      <c r="P265" s="7">
        <v>0</v>
      </c>
      <c r="Q265" s="7">
        <v>20529.66</v>
      </c>
      <c r="R265" s="7">
        <v>18976</v>
      </c>
      <c r="S265" s="7">
        <v>1553.6599999999999</v>
      </c>
      <c r="T265" s="7" t="s">
        <v>825</v>
      </c>
      <c r="U265" s="7"/>
    </row>
    <row r="266" spans="1:21" x14ac:dyDescent="0.25">
      <c r="A266" s="7" t="s">
        <v>291</v>
      </c>
      <c r="B266" s="7" t="s">
        <v>805</v>
      </c>
      <c r="C266" s="7">
        <v>45251</v>
      </c>
      <c r="D266" s="7">
        <v>45256</v>
      </c>
      <c r="E266" s="7" t="s">
        <v>24</v>
      </c>
      <c r="F266" s="7" t="s">
        <v>18</v>
      </c>
      <c r="G266" s="7">
        <v>1903</v>
      </c>
      <c r="H266" s="7">
        <v>63.5</v>
      </c>
      <c r="I266" s="7">
        <v>56.09</v>
      </c>
      <c r="J266" s="7">
        <v>254</v>
      </c>
      <c r="K266" s="7" t="s">
        <v>15</v>
      </c>
      <c r="L266" s="7">
        <v>5</v>
      </c>
      <c r="M266" s="7">
        <v>11</v>
      </c>
      <c r="N266" s="7">
        <v>0</v>
      </c>
      <c r="O266" s="7" t="s">
        <v>824</v>
      </c>
      <c r="P266" s="7">
        <v>0</v>
      </c>
      <c r="Q266" s="7">
        <v>120840.5</v>
      </c>
      <c r="R266" s="7">
        <v>106739.27</v>
      </c>
      <c r="S266" s="7">
        <v>14101.229999999996</v>
      </c>
      <c r="T266" s="7" t="s">
        <v>823</v>
      </c>
      <c r="U266" s="7"/>
    </row>
    <row r="267" spans="1:21" x14ac:dyDescent="0.25">
      <c r="A267" s="7" t="s">
        <v>292</v>
      </c>
      <c r="B267" s="7" t="s">
        <v>805</v>
      </c>
      <c r="C267" s="7">
        <v>45231</v>
      </c>
      <c r="D267" s="7">
        <v>45235</v>
      </c>
      <c r="E267" s="7" t="s">
        <v>21</v>
      </c>
      <c r="F267" s="7" t="s">
        <v>18</v>
      </c>
      <c r="G267" s="7">
        <v>1570</v>
      </c>
      <c r="H267" s="7">
        <v>52.1</v>
      </c>
      <c r="I267" s="7">
        <v>47.87</v>
      </c>
      <c r="J267" s="7"/>
      <c r="K267" s="7" t="s">
        <v>27</v>
      </c>
      <c r="L267" s="7">
        <v>4</v>
      </c>
      <c r="M267" s="7">
        <v>11</v>
      </c>
      <c r="N267" s="7">
        <v>0</v>
      </c>
      <c r="O267" s="7" t="s">
        <v>822</v>
      </c>
      <c r="P267" s="7">
        <v>1</v>
      </c>
      <c r="Q267" s="7">
        <v>81797</v>
      </c>
      <c r="R267" s="7">
        <v>75155.899999999994</v>
      </c>
      <c r="S267" s="7">
        <v>6641.1000000000058</v>
      </c>
      <c r="T267" s="7" t="s">
        <v>823</v>
      </c>
      <c r="U267" s="7"/>
    </row>
    <row r="268" spans="1:21" x14ac:dyDescent="0.25">
      <c r="A268" s="7" t="s">
        <v>293</v>
      </c>
      <c r="B268" s="7" t="s">
        <v>805</v>
      </c>
      <c r="C268" s="7">
        <v>45223</v>
      </c>
      <c r="D268" s="7">
        <v>45243</v>
      </c>
      <c r="E268" s="7" t="s">
        <v>21</v>
      </c>
      <c r="F268" s="7" t="s">
        <v>18</v>
      </c>
      <c r="G268" s="7">
        <v>491</v>
      </c>
      <c r="H268" s="7">
        <v>108.75</v>
      </c>
      <c r="I268" s="7">
        <v>93.35</v>
      </c>
      <c r="J268" s="7"/>
      <c r="K268" s="7" t="s">
        <v>27</v>
      </c>
      <c r="L268" s="7">
        <v>20</v>
      </c>
      <c r="M268" s="7">
        <v>11</v>
      </c>
      <c r="N268" s="7">
        <v>9</v>
      </c>
      <c r="O268" s="7" t="s">
        <v>824</v>
      </c>
      <c r="P268" s="7">
        <v>0</v>
      </c>
      <c r="Q268" s="7">
        <v>53396.25</v>
      </c>
      <c r="R268" s="7">
        <v>45834.85</v>
      </c>
      <c r="S268" s="7">
        <v>7561.4000000000015</v>
      </c>
      <c r="T268" s="7" t="s">
        <v>825</v>
      </c>
      <c r="U268" s="7"/>
    </row>
    <row r="269" spans="1:21" x14ac:dyDescent="0.25">
      <c r="A269" s="7" t="s">
        <v>294</v>
      </c>
      <c r="B269" s="7" t="s">
        <v>807</v>
      </c>
      <c r="C269" s="7">
        <v>44662</v>
      </c>
      <c r="D269" s="7">
        <v>44671</v>
      </c>
      <c r="E269" s="7" t="s">
        <v>39</v>
      </c>
      <c r="F269" s="7" t="s">
        <v>33</v>
      </c>
      <c r="G269" s="7">
        <v>613</v>
      </c>
      <c r="H269" s="7">
        <v>20.38</v>
      </c>
      <c r="I269" s="7">
        <v>20.170000000000002</v>
      </c>
      <c r="J269" s="7">
        <v>58</v>
      </c>
      <c r="K269" s="7" t="s">
        <v>15</v>
      </c>
      <c r="L269" s="7">
        <v>9</v>
      </c>
      <c r="M269" s="7">
        <v>11</v>
      </c>
      <c r="N269" s="7">
        <v>0</v>
      </c>
      <c r="O269" s="7" t="s">
        <v>824</v>
      </c>
      <c r="P269" s="7">
        <v>0</v>
      </c>
      <c r="Q269" s="7">
        <v>12492.939999999999</v>
      </c>
      <c r="R269" s="7">
        <v>12364.210000000001</v>
      </c>
      <c r="S269" s="7">
        <v>128.72999999999774</v>
      </c>
      <c r="T269" s="7" t="s">
        <v>823</v>
      </c>
      <c r="U269" s="7"/>
    </row>
    <row r="270" spans="1:21" x14ac:dyDescent="0.25">
      <c r="A270" s="7" t="s">
        <v>295</v>
      </c>
      <c r="B270" s="7" t="s">
        <v>806</v>
      </c>
      <c r="C270" s="7">
        <v>44624</v>
      </c>
      <c r="D270" s="7">
        <v>44636</v>
      </c>
      <c r="E270" s="7" t="s">
        <v>26</v>
      </c>
      <c r="F270" s="7" t="s">
        <v>33</v>
      </c>
      <c r="G270" s="7">
        <v>1341</v>
      </c>
      <c r="H270" s="7">
        <v>46.27</v>
      </c>
      <c r="I270" s="7">
        <v>43.94</v>
      </c>
      <c r="J270" s="7">
        <v>63</v>
      </c>
      <c r="K270" s="7" t="s">
        <v>15</v>
      </c>
      <c r="L270" s="7">
        <v>12</v>
      </c>
      <c r="M270" s="7">
        <v>11</v>
      </c>
      <c r="N270" s="7">
        <v>1</v>
      </c>
      <c r="O270" s="7" t="s">
        <v>824</v>
      </c>
      <c r="P270" s="7">
        <v>0</v>
      </c>
      <c r="Q270" s="7">
        <v>62048.070000000007</v>
      </c>
      <c r="R270" s="7">
        <v>58923.539999999994</v>
      </c>
      <c r="S270" s="7">
        <v>3124.5300000000134</v>
      </c>
      <c r="T270" s="7" t="s">
        <v>826</v>
      </c>
      <c r="U270" s="7"/>
    </row>
    <row r="271" spans="1:21" x14ac:dyDescent="0.25">
      <c r="A271" s="7" t="s">
        <v>296</v>
      </c>
      <c r="B271" s="7" t="s">
        <v>807</v>
      </c>
      <c r="C271" s="7">
        <v>44974</v>
      </c>
      <c r="D271" s="7">
        <v>44989</v>
      </c>
      <c r="E271" s="7" t="s">
        <v>21</v>
      </c>
      <c r="F271" s="7" t="s">
        <v>33</v>
      </c>
      <c r="G271" s="7">
        <v>1583</v>
      </c>
      <c r="H271" s="7">
        <v>103.57</v>
      </c>
      <c r="I271" s="7">
        <v>89.38</v>
      </c>
      <c r="J271" s="7">
        <v>164</v>
      </c>
      <c r="K271" s="7" t="s">
        <v>15</v>
      </c>
      <c r="L271" s="7">
        <v>15</v>
      </c>
      <c r="M271" s="7">
        <v>11</v>
      </c>
      <c r="N271" s="7">
        <v>4</v>
      </c>
      <c r="O271" s="7" t="s">
        <v>824</v>
      </c>
      <c r="P271" s="7">
        <v>0</v>
      </c>
      <c r="Q271" s="7">
        <v>163951.31</v>
      </c>
      <c r="R271" s="7">
        <v>141488.53999999998</v>
      </c>
      <c r="S271" s="7">
        <v>22462.770000000019</v>
      </c>
      <c r="T271" s="7" t="s">
        <v>826</v>
      </c>
      <c r="U271" s="7"/>
    </row>
    <row r="272" spans="1:21" x14ac:dyDescent="0.25">
      <c r="A272" s="7" t="s">
        <v>297</v>
      </c>
      <c r="B272" s="7" t="s">
        <v>807</v>
      </c>
      <c r="C272" s="7">
        <v>44909</v>
      </c>
      <c r="D272" s="7">
        <v>44920</v>
      </c>
      <c r="E272" s="7" t="s">
        <v>26</v>
      </c>
      <c r="F272" s="7" t="s">
        <v>14</v>
      </c>
      <c r="G272" s="7">
        <v>1880</v>
      </c>
      <c r="H272" s="7">
        <v>92.73</v>
      </c>
      <c r="I272" s="7">
        <v>90.78</v>
      </c>
      <c r="J272" s="7">
        <v>173</v>
      </c>
      <c r="K272" s="7" t="s">
        <v>15</v>
      </c>
      <c r="L272" s="7">
        <v>11</v>
      </c>
      <c r="M272" s="7">
        <v>11</v>
      </c>
      <c r="N272" s="7">
        <v>0</v>
      </c>
      <c r="O272" s="7" t="s">
        <v>824</v>
      </c>
      <c r="P272" s="7">
        <v>0</v>
      </c>
      <c r="Q272" s="7">
        <v>174332.4</v>
      </c>
      <c r="R272" s="7">
        <v>170666.4</v>
      </c>
      <c r="S272" s="7">
        <v>3666</v>
      </c>
      <c r="T272" s="7" t="s">
        <v>823</v>
      </c>
      <c r="U272" s="7"/>
    </row>
    <row r="273" spans="1:21" x14ac:dyDescent="0.25">
      <c r="A273" s="7" t="s">
        <v>298</v>
      </c>
      <c r="B273" s="7" t="s">
        <v>808</v>
      </c>
      <c r="C273" s="7">
        <v>44673</v>
      </c>
      <c r="D273" s="7">
        <v>44677</v>
      </c>
      <c r="E273" s="7" t="s">
        <v>21</v>
      </c>
      <c r="F273" s="7" t="s">
        <v>18</v>
      </c>
      <c r="G273" s="7">
        <v>1459</v>
      </c>
      <c r="H273" s="7">
        <v>84.79</v>
      </c>
      <c r="I273" s="7">
        <v>82.72</v>
      </c>
      <c r="J273" s="7">
        <v>47</v>
      </c>
      <c r="K273" s="7" t="s">
        <v>15</v>
      </c>
      <c r="L273" s="7">
        <v>4</v>
      </c>
      <c r="M273" s="7">
        <v>11</v>
      </c>
      <c r="N273" s="7">
        <v>0</v>
      </c>
      <c r="O273" s="7" t="s">
        <v>824</v>
      </c>
      <c r="P273" s="7">
        <v>0</v>
      </c>
      <c r="Q273" s="7">
        <v>123708.61000000002</v>
      </c>
      <c r="R273" s="7">
        <v>120688.48</v>
      </c>
      <c r="S273" s="7">
        <v>3020.1300000000192</v>
      </c>
      <c r="T273" s="7" t="s">
        <v>823</v>
      </c>
      <c r="U273" s="7"/>
    </row>
    <row r="274" spans="1:21" x14ac:dyDescent="0.25">
      <c r="A274" s="7" t="s">
        <v>299</v>
      </c>
      <c r="B274" s="7" t="s">
        <v>805</v>
      </c>
      <c r="C274" s="7">
        <v>44816</v>
      </c>
      <c r="D274" s="7">
        <v>44827</v>
      </c>
      <c r="E274" s="7" t="s">
        <v>13</v>
      </c>
      <c r="F274" s="7" t="s">
        <v>18</v>
      </c>
      <c r="G274" s="7">
        <v>1460</v>
      </c>
      <c r="H274" s="7">
        <v>34.54</v>
      </c>
      <c r="I274" s="7">
        <v>31.87</v>
      </c>
      <c r="J274" s="7">
        <v>208</v>
      </c>
      <c r="K274" s="7" t="s">
        <v>27</v>
      </c>
      <c r="L274" s="7">
        <v>11</v>
      </c>
      <c r="M274" s="7">
        <v>11</v>
      </c>
      <c r="N274" s="7">
        <v>0</v>
      </c>
      <c r="O274" s="7" t="s">
        <v>824</v>
      </c>
      <c r="P274" s="7">
        <v>0</v>
      </c>
      <c r="Q274" s="7">
        <v>50428.4</v>
      </c>
      <c r="R274" s="7">
        <v>46530.200000000004</v>
      </c>
      <c r="S274" s="7">
        <v>3898.1999999999971</v>
      </c>
      <c r="T274" s="7" t="s">
        <v>823</v>
      </c>
      <c r="U274" s="7"/>
    </row>
    <row r="275" spans="1:21" x14ac:dyDescent="0.25">
      <c r="A275" s="7" t="s">
        <v>300</v>
      </c>
      <c r="B275" s="7" t="s">
        <v>807</v>
      </c>
      <c r="C275" s="7">
        <v>44758</v>
      </c>
      <c r="D275" s="7">
        <v>44770</v>
      </c>
      <c r="E275" s="7" t="s">
        <v>24</v>
      </c>
      <c r="F275" s="7" t="s">
        <v>33</v>
      </c>
      <c r="G275" s="7">
        <v>1186</v>
      </c>
      <c r="H275" s="7">
        <v>26.14</v>
      </c>
      <c r="I275" s="7">
        <v>24.78</v>
      </c>
      <c r="J275" s="7">
        <v>112</v>
      </c>
      <c r="K275" s="7" t="s">
        <v>15</v>
      </c>
      <c r="L275" s="7">
        <v>12</v>
      </c>
      <c r="M275" s="7">
        <v>11</v>
      </c>
      <c r="N275" s="7">
        <v>1</v>
      </c>
      <c r="O275" s="7" t="s">
        <v>824</v>
      </c>
      <c r="P275" s="7">
        <v>0</v>
      </c>
      <c r="Q275" s="7">
        <v>31002.04</v>
      </c>
      <c r="R275" s="7">
        <v>29389.08</v>
      </c>
      <c r="S275" s="7">
        <v>1612.9599999999991</v>
      </c>
      <c r="T275" s="7" t="s">
        <v>826</v>
      </c>
      <c r="U275" s="7"/>
    </row>
    <row r="276" spans="1:21" x14ac:dyDescent="0.25">
      <c r="A276" s="7" t="s">
        <v>301</v>
      </c>
      <c r="B276" s="7" t="s">
        <v>808</v>
      </c>
      <c r="C276" s="7">
        <v>44756</v>
      </c>
      <c r="D276" s="7">
        <v>44765</v>
      </c>
      <c r="E276" s="7" t="s">
        <v>21</v>
      </c>
      <c r="F276" s="7" t="s">
        <v>35</v>
      </c>
      <c r="G276" s="7">
        <v>1686</v>
      </c>
      <c r="H276" s="7">
        <v>72.28</v>
      </c>
      <c r="I276" s="7">
        <v>65.209999999999994</v>
      </c>
      <c r="J276" s="7">
        <v>53</v>
      </c>
      <c r="K276" s="7" t="s">
        <v>15</v>
      </c>
      <c r="L276" s="7">
        <v>9</v>
      </c>
      <c r="M276" s="7">
        <v>11</v>
      </c>
      <c r="N276" s="7">
        <v>0</v>
      </c>
      <c r="O276" s="7" t="s">
        <v>824</v>
      </c>
      <c r="P276" s="7">
        <v>0</v>
      </c>
      <c r="Q276" s="7">
        <v>121864.08</v>
      </c>
      <c r="R276" s="7">
        <v>109944.05999999998</v>
      </c>
      <c r="S276" s="7">
        <v>11920.020000000019</v>
      </c>
      <c r="T276" s="7" t="s">
        <v>823</v>
      </c>
      <c r="U276" s="7"/>
    </row>
    <row r="277" spans="1:21" x14ac:dyDescent="0.25">
      <c r="A277" s="7" t="s">
        <v>302</v>
      </c>
      <c r="B277" s="7" t="s">
        <v>804</v>
      </c>
      <c r="C277" s="7">
        <v>45111</v>
      </c>
      <c r="D277" s="7">
        <v>45115</v>
      </c>
      <c r="E277" s="7" t="s">
        <v>21</v>
      </c>
      <c r="F277" s="7" t="s">
        <v>18</v>
      </c>
      <c r="G277" s="7">
        <v>1698</v>
      </c>
      <c r="H277" s="7">
        <v>102.07</v>
      </c>
      <c r="I277" s="7">
        <v>100.69</v>
      </c>
      <c r="J277" s="7">
        <v>28</v>
      </c>
      <c r="K277" s="7" t="s">
        <v>15</v>
      </c>
      <c r="L277" s="7">
        <v>4</v>
      </c>
      <c r="M277" s="7">
        <v>11</v>
      </c>
      <c r="N277" s="7">
        <v>0</v>
      </c>
      <c r="O277" s="7" t="s">
        <v>824</v>
      </c>
      <c r="P277" s="7">
        <v>0</v>
      </c>
      <c r="Q277" s="7">
        <v>173314.86</v>
      </c>
      <c r="R277" s="7">
        <v>170971.62</v>
      </c>
      <c r="S277" s="7">
        <v>2343.2399999999907</v>
      </c>
      <c r="T277" s="7" t="s">
        <v>823</v>
      </c>
      <c r="U277" s="7"/>
    </row>
    <row r="278" spans="1:21" x14ac:dyDescent="0.25">
      <c r="A278" s="7" t="s">
        <v>303</v>
      </c>
      <c r="B278" s="7" t="s">
        <v>808</v>
      </c>
      <c r="C278" s="7">
        <v>45021</v>
      </c>
      <c r="D278" s="7">
        <v>45032</v>
      </c>
      <c r="E278" s="7" t="s">
        <v>39</v>
      </c>
      <c r="F278" s="7" t="s">
        <v>18</v>
      </c>
      <c r="G278" s="7">
        <v>1001</v>
      </c>
      <c r="H278" s="7">
        <v>64.62</v>
      </c>
      <c r="I278" s="7">
        <v>55.7</v>
      </c>
      <c r="J278" s="7">
        <v>32</v>
      </c>
      <c r="K278" s="7" t="s">
        <v>15</v>
      </c>
      <c r="L278" s="7">
        <v>11</v>
      </c>
      <c r="M278" s="7">
        <v>11</v>
      </c>
      <c r="N278" s="7">
        <v>0</v>
      </c>
      <c r="O278" s="7" t="s">
        <v>824</v>
      </c>
      <c r="P278" s="7">
        <v>0</v>
      </c>
      <c r="Q278" s="7">
        <v>64684.62</v>
      </c>
      <c r="R278" s="7">
        <v>55755.700000000004</v>
      </c>
      <c r="S278" s="7">
        <v>8928.9199999999983</v>
      </c>
      <c r="T278" s="7" t="s">
        <v>823</v>
      </c>
      <c r="U278" s="7"/>
    </row>
    <row r="279" spans="1:21" x14ac:dyDescent="0.25">
      <c r="A279" s="7" t="s">
        <v>304</v>
      </c>
      <c r="B279" s="7" t="s">
        <v>804</v>
      </c>
      <c r="C279" s="7">
        <v>44705</v>
      </c>
      <c r="D279" s="7">
        <v>44708</v>
      </c>
      <c r="E279" s="7" t="s">
        <v>13</v>
      </c>
      <c r="F279" s="7" t="s">
        <v>18</v>
      </c>
      <c r="G279" s="7">
        <v>1154</v>
      </c>
      <c r="H279" s="7">
        <v>62.67</v>
      </c>
      <c r="I279" s="7">
        <v>54.11</v>
      </c>
      <c r="J279" s="7">
        <v>25</v>
      </c>
      <c r="K279" s="7" t="s">
        <v>15</v>
      </c>
      <c r="L279" s="7">
        <v>3</v>
      </c>
      <c r="M279" s="7">
        <v>11</v>
      </c>
      <c r="N279" s="7">
        <v>0</v>
      </c>
      <c r="O279" s="7" t="s">
        <v>824</v>
      </c>
      <c r="P279" s="7">
        <v>0</v>
      </c>
      <c r="Q279" s="7">
        <v>72321.180000000008</v>
      </c>
      <c r="R279" s="7">
        <v>62442.94</v>
      </c>
      <c r="S279" s="7">
        <v>9878.2400000000052</v>
      </c>
      <c r="T279" s="7" t="s">
        <v>823</v>
      </c>
      <c r="U279" s="7"/>
    </row>
    <row r="280" spans="1:21" x14ac:dyDescent="0.25">
      <c r="A280" s="7" t="s">
        <v>305</v>
      </c>
      <c r="B280" s="7" t="s">
        <v>804</v>
      </c>
      <c r="C280" s="7">
        <v>44994</v>
      </c>
      <c r="D280" s="7">
        <v>45014</v>
      </c>
      <c r="E280" s="7" t="s">
        <v>24</v>
      </c>
      <c r="F280" s="7" t="s">
        <v>14</v>
      </c>
      <c r="G280" s="7">
        <v>748</v>
      </c>
      <c r="H280" s="7">
        <v>37.659999999999997</v>
      </c>
      <c r="I280" s="7">
        <v>32.71</v>
      </c>
      <c r="J280" s="7"/>
      <c r="K280" s="7" t="s">
        <v>27</v>
      </c>
      <c r="L280" s="7">
        <v>20</v>
      </c>
      <c r="M280" s="7">
        <v>11</v>
      </c>
      <c r="N280" s="7">
        <v>9</v>
      </c>
      <c r="O280" s="7" t="s">
        <v>824</v>
      </c>
      <c r="P280" s="7">
        <v>0</v>
      </c>
      <c r="Q280" s="7">
        <v>28169.679999999997</v>
      </c>
      <c r="R280" s="7">
        <v>24467.08</v>
      </c>
      <c r="S280" s="7">
        <v>3702.5999999999949</v>
      </c>
      <c r="T280" s="7" t="s">
        <v>825</v>
      </c>
      <c r="U280" s="7"/>
    </row>
    <row r="281" spans="1:21" x14ac:dyDescent="0.25">
      <c r="A281" s="7" t="s">
        <v>306</v>
      </c>
      <c r="B281" s="7" t="s">
        <v>804</v>
      </c>
      <c r="C281" s="7">
        <v>44749</v>
      </c>
      <c r="D281" s="7">
        <v>44760</v>
      </c>
      <c r="E281" s="7" t="s">
        <v>13</v>
      </c>
      <c r="F281" s="7" t="s">
        <v>18</v>
      </c>
      <c r="G281" s="7">
        <v>162</v>
      </c>
      <c r="H281" s="7">
        <v>81.63</v>
      </c>
      <c r="I281" s="7">
        <v>78.760000000000005</v>
      </c>
      <c r="J281" s="7">
        <v>2</v>
      </c>
      <c r="K281" s="7" t="s">
        <v>15</v>
      </c>
      <c r="L281" s="7">
        <v>11</v>
      </c>
      <c r="M281" s="7">
        <v>11</v>
      </c>
      <c r="N281" s="7">
        <v>0</v>
      </c>
      <c r="O281" s="7" t="s">
        <v>824</v>
      </c>
      <c r="P281" s="7">
        <v>0</v>
      </c>
      <c r="Q281" s="7">
        <v>13224.06</v>
      </c>
      <c r="R281" s="7">
        <v>12759.12</v>
      </c>
      <c r="S281" s="7">
        <v>464.93999999999869</v>
      </c>
      <c r="T281" s="7" t="s">
        <v>823</v>
      </c>
      <c r="U281" s="7"/>
    </row>
    <row r="282" spans="1:21" x14ac:dyDescent="0.25">
      <c r="A282" s="7" t="s">
        <v>307</v>
      </c>
      <c r="B282" s="7" t="s">
        <v>804</v>
      </c>
      <c r="C282" s="7">
        <v>44847</v>
      </c>
      <c r="D282" s="7">
        <v>44858</v>
      </c>
      <c r="E282" s="7" t="s">
        <v>24</v>
      </c>
      <c r="F282" s="7" t="s">
        <v>18</v>
      </c>
      <c r="G282" s="7">
        <v>51</v>
      </c>
      <c r="H282" s="7">
        <v>28.04</v>
      </c>
      <c r="I282" s="7">
        <v>24.13</v>
      </c>
      <c r="J282" s="7">
        <v>0</v>
      </c>
      <c r="K282" s="7" t="s">
        <v>15</v>
      </c>
      <c r="L282" s="7">
        <v>11</v>
      </c>
      <c r="M282" s="7">
        <v>11</v>
      </c>
      <c r="N282" s="7">
        <v>0</v>
      </c>
      <c r="O282" s="7" t="s">
        <v>822</v>
      </c>
      <c r="P282" s="7">
        <v>1</v>
      </c>
      <c r="Q282" s="7">
        <v>1430.04</v>
      </c>
      <c r="R282" s="7">
        <v>1230.6299999999999</v>
      </c>
      <c r="S282" s="7">
        <v>199.41000000000008</v>
      </c>
      <c r="T282" s="7" t="s">
        <v>823</v>
      </c>
      <c r="U282" s="7"/>
    </row>
    <row r="283" spans="1:21" x14ac:dyDescent="0.25">
      <c r="A283" s="7" t="s">
        <v>308</v>
      </c>
      <c r="B283" s="7" t="s">
        <v>805</v>
      </c>
      <c r="C283" s="7">
        <v>45035</v>
      </c>
      <c r="D283" s="7">
        <v>45040</v>
      </c>
      <c r="E283" s="7" t="s">
        <v>13</v>
      </c>
      <c r="F283" s="7" t="s">
        <v>18</v>
      </c>
      <c r="G283" s="7">
        <v>691</v>
      </c>
      <c r="H283" s="7">
        <v>42.07</v>
      </c>
      <c r="I283" s="7">
        <v>39.1</v>
      </c>
      <c r="J283" s="7">
        <v>106</v>
      </c>
      <c r="K283" s="7" t="s">
        <v>15</v>
      </c>
      <c r="L283" s="7">
        <v>5</v>
      </c>
      <c r="M283" s="7">
        <v>11</v>
      </c>
      <c r="N283" s="7">
        <v>0</v>
      </c>
      <c r="O283" s="7" t="s">
        <v>824</v>
      </c>
      <c r="P283" s="7">
        <v>0</v>
      </c>
      <c r="Q283" s="7">
        <v>29070.37</v>
      </c>
      <c r="R283" s="7">
        <v>27018.100000000002</v>
      </c>
      <c r="S283" s="7">
        <v>2052.2699999999968</v>
      </c>
      <c r="T283" s="7" t="s">
        <v>823</v>
      </c>
      <c r="U283" s="7"/>
    </row>
    <row r="284" spans="1:21" x14ac:dyDescent="0.25">
      <c r="A284" s="7" t="s">
        <v>309</v>
      </c>
      <c r="B284" s="7" t="s">
        <v>807</v>
      </c>
      <c r="C284" s="7">
        <v>44817</v>
      </c>
      <c r="D284" s="7">
        <v>44824</v>
      </c>
      <c r="E284" s="7" t="s">
        <v>13</v>
      </c>
      <c r="F284" s="7" t="s">
        <v>18</v>
      </c>
      <c r="G284" s="7">
        <v>269</v>
      </c>
      <c r="H284" s="7">
        <v>50.22</v>
      </c>
      <c r="I284" s="7">
        <v>45.75</v>
      </c>
      <c r="J284" s="7">
        <v>32</v>
      </c>
      <c r="K284" s="7" t="s">
        <v>27</v>
      </c>
      <c r="L284" s="7">
        <v>7</v>
      </c>
      <c r="M284" s="7">
        <v>11</v>
      </c>
      <c r="N284" s="7">
        <v>0</v>
      </c>
      <c r="O284" s="7" t="s">
        <v>824</v>
      </c>
      <c r="P284" s="7">
        <v>0</v>
      </c>
      <c r="Q284" s="7">
        <v>13509.18</v>
      </c>
      <c r="R284" s="7">
        <v>12306.75</v>
      </c>
      <c r="S284" s="7">
        <v>1202.4300000000003</v>
      </c>
      <c r="T284" s="7" t="s">
        <v>823</v>
      </c>
      <c r="U284" s="7"/>
    </row>
    <row r="285" spans="1:21" x14ac:dyDescent="0.25">
      <c r="A285" s="7" t="s">
        <v>310</v>
      </c>
      <c r="B285" s="7" t="s">
        <v>807</v>
      </c>
      <c r="C285" s="7">
        <v>44639</v>
      </c>
      <c r="D285" s="7">
        <v>44657</v>
      </c>
      <c r="E285" s="7" t="s">
        <v>39</v>
      </c>
      <c r="F285" s="7" t="s">
        <v>35</v>
      </c>
      <c r="G285" s="7">
        <v>1639</v>
      </c>
      <c r="H285" s="7">
        <v>56.24</v>
      </c>
      <c r="I285" s="7">
        <v>55.4</v>
      </c>
      <c r="J285" s="7">
        <v>147</v>
      </c>
      <c r="K285" s="7" t="s">
        <v>15</v>
      </c>
      <c r="L285" s="7">
        <v>18</v>
      </c>
      <c r="M285" s="7">
        <v>11</v>
      </c>
      <c r="N285" s="7">
        <v>7</v>
      </c>
      <c r="O285" s="7" t="s">
        <v>824</v>
      </c>
      <c r="P285" s="7">
        <v>0</v>
      </c>
      <c r="Q285" s="7">
        <v>92177.36</v>
      </c>
      <c r="R285" s="7">
        <v>90800.599999999991</v>
      </c>
      <c r="S285" s="7">
        <v>1376.7600000000093</v>
      </c>
      <c r="T285" s="7" t="s">
        <v>825</v>
      </c>
      <c r="U285" s="7"/>
    </row>
    <row r="286" spans="1:21" x14ac:dyDescent="0.25">
      <c r="A286" s="7" t="s">
        <v>311</v>
      </c>
      <c r="B286" s="7" t="s">
        <v>804</v>
      </c>
      <c r="C286" s="7">
        <v>45015</v>
      </c>
      <c r="D286" s="7">
        <v>45022</v>
      </c>
      <c r="E286" s="7" t="s">
        <v>26</v>
      </c>
      <c r="F286" s="7" t="s">
        <v>18</v>
      </c>
      <c r="G286" s="7">
        <v>904</v>
      </c>
      <c r="H286" s="7">
        <v>34.04</v>
      </c>
      <c r="I286" s="7">
        <v>30.06</v>
      </c>
      <c r="J286" s="7">
        <v>26</v>
      </c>
      <c r="K286" s="7" t="s">
        <v>15</v>
      </c>
      <c r="L286" s="7">
        <v>7</v>
      </c>
      <c r="M286" s="7">
        <v>11</v>
      </c>
      <c r="N286" s="7">
        <v>0</v>
      </c>
      <c r="O286" s="7" t="s">
        <v>824</v>
      </c>
      <c r="P286" s="7">
        <v>0</v>
      </c>
      <c r="Q286" s="7">
        <v>30772.16</v>
      </c>
      <c r="R286" s="7">
        <v>27174.239999999998</v>
      </c>
      <c r="S286" s="7">
        <v>3597.9200000000019</v>
      </c>
      <c r="T286" s="7" t="s">
        <v>823</v>
      </c>
      <c r="U286" s="7"/>
    </row>
    <row r="287" spans="1:21" x14ac:dyDescent="0.25">
      <c r="A287" s="7" t="s">
        <v>312</v>
      </c>
      <c r="B287" s="7" t="s">
        <v>807</v>
      </c>
      <c r="C287" s="7">
        <v>45125</v>
      </c>
      <c r="D287" s="7">
        <v>45133</v>
      </c>
      <c r="E287" s="7" t="s">
        <v>13</v>
      </c>
      <c r="F287" s="7" t="s">
        <v>18</v>
      </c>
      <c r="G287" s="7">
        <v>1809</v>
      </c>
      <c r="H287" s="7">
        <v>22.17</v>
      </c>
      <c r="I287" s="7">
        <v>19.649999999999999</v>
      </c>
      <c r="J287" s="7"/>
      <c r="K287" s="7" t="s">
        <v>15</v>
      </c>
      <c r="L287" s="7">
        <v>8</v>
      </c>
      <c r="M287" s="7">
        <v>11</v>
      </c>
      <c r="N287" s="7">
        <v>0</v>
      </c>
      <c r="O287" s="7" t="s">
        <v>822</v>
      </c>
      <c r="P287" s="7">
        <v>1</v>
      </c>
      <c r="Q287" s="7">
        <v>40105.530000000006</v>
      </c>
      <c r="R287" s="7">
        <v>35546.85</v>
      </c>
      <c r="S287" s="7">
        <v>4558.6800000000076</v>
      </c>
      <c r="T287" s="7" t="s">
        <v>823</v>
      </c>
      <c r="U287" s="7"/>
    </row>
    <row r="288" spans="1:21" x14ac:dyDescent="0.25">
      <c r="A288" s="7" t="s">
        <v>313</v>
      </c>
      <c r="B288" s="7" t="s">
        <v>804</v>
      </c>
      <c r="C288" s="7">
        <v>44662</v>
      </c>
      <c r="D288" s="7">
        <v>44667</v>
      </c>
      <c r="E288" s="7" t="s">
        <v>24</v>
      </c>
      <c r="F288" s="7" t="s">
        <v>18</v>
      </c>
      <c r="G288" s="7">
        <v>1298</v>
      </c>
      <c r="H288" s="7">
        <v>65.930000000000007</v>
      </c>
      <c r="I288" s="7">
        <v>58.95</v>
      </c>
      <c r="J288" s="7"/>
      <c r="K288" s="7" t="s">
        <v>15</v>
      </c>
      <c r="L288" s="7">
        <v>5</v>
      </c>
      <c r="M288" s="7">
        <v>11</v>
      </c>
      <c r="N288" s="7">
        <v>0</v>
      </c>
      <c r="O288" s="7" t="s">
        <v>822</v>
      </c>
      <c r="P288" s="7">
        <v>1</v>
      </c>
      <c r="Q288" s="7">
        <v>85577.140000000014</v>
      </c>
      <c r="R288" s="7">
        <v>76517.100000000006</v>
      </c>
      <c r="S288" s="7">
        <v>9060.0400000000081</v>
      </c>
      <c r="T288" s="7" t="s">
        <v>823</v>
      </c>
      <c r="U288" s="7"/>
    </row>
    <row r="289" spans="1:21" x14ac:dyDescent="0.25">
      <c r="A289" s="7" t="s">
        <v>314</v>
      </c>
      <c r="B289" s="7" t="s">
        <v>807</v>
      </c>
      <c r="C289" s="7">
        <v>44613</v>
      </c>
      <c r="D289" s="7">
        <v>44633</v>
      </c>
      <c r="E289" s="7" t="s">
        <v>24</v>
      </c>
      <c r="F289" s="7" t="s">
        <v>18</v>
      </c>
      <c r="G289" s="7">
        <v>434</v>
      </c>
      <c r="H289" s="7">
        <v>36.159999999999997</v>
      </c>
      <c r="I289" s="7">
        <v>34.79</v>
      </c>
      <c r="J289" s="7">
        <v>41</v>
      </c>
      <c r="K289" s="7" t="s">
        <v>15</v>
      </c>
      <c r="L289" s="7">
        <v>20</v>
      </c>
      <c r="M289" s="7">
        <v>11</v>
      </c>
      <c r="N289" s="7">
        <v>9</v>
      </c>
      <c r="O289" s="7" t="s">
        <v>824</v>
      </c>
      <c r="P289" s="7">
        <v>0</v>
      </c>
      <c r="Q289" s="7">
        <v>15693.439999999999</v>
      </c>
      <c r="R289" s="7">
        <v>15098.859999999999</v>
      </c>
      <c r="S289" s="7">
        <v>594.57999999999993</v>
      </c>
      <c r="T289" s="7" t="s">
        <v>825</v>
      </c>
      <c r="U289" s="7"/>
    </row>
    <row r="290" spans="1:21" x14ac:dyDescent="0.25">
      <c r="A290" s="7" t="s">
        <v>315</v>
      </c>
      <c r="B290" s="7" t="s">
        <v>808</v>
      </c>
      <c r="C290" s="7">
        <v>45229</v>
      </c>
      <c r="D290" s="7">
        <v>45234</v>
      </c>
      <c r="E290" s="7" t="s">
        <v>39</v>
      </c>
      <c r="F290" s="7" t="s">
        <v>18</v>
      </c>
      <c r="G290" s="7">
        <v>1476</v>
      </c>
      <c r="H290" s="7">
        <v>68.849999999999994</v>
      </c>
      <c r="I290" s="7">
        <v>65.28</v>
      </c>
      <c r="J290" s="7">
        <v>43</v>
      </c>
      <c r="K290" s="7" t="s">
        <v>15</v>
      </c>
      <c r="L290" s="7">
        <v>5</v>
      </c>
      <c r="M290" s="7">
        <v>11</v>
      </c>
      <c r="N290" s="7">
        <v>0</v>
      </c>
      <c r="O290" s="7" t="s">
        <v>824</v>
      </c>
      <c r="P290" s="7">
        <v>0</v>
      </c>
      <c r="Q290" s="7">
        <v>101622.59999999999</v>
      </c>
      <c r="R290" s="7">
        <v>96353.279999999999</v>
      </c>
      <c r="S290" s="7">
        <v>5269.3199999999924</v>
      </c>
      <c r="T290" s="7" t="s">
        <v>823</v>
      </c>
      <c r="U290" s="7"/>
    </row>
    <row r="291" spans="1:21" x14ac:dyDescent="0.25">
      <c r="A291" s="7" t="s">
        <v>316</v>
      </c>
      <c r="B291" s="7" t="s">
        <v>805</v>
      </c>
      <c r="C291" s="7">
        <v>45115</v>
      </c>
      <c r="D291" s="7">
        <v>45126</v>
      </c>
      <c r="E291" s="7" t="s">
        <v>26</v>
      </c>
      <c r="F291" s="7" t="s">
        <v>33</v>
      </c>
      <c r="G291" s="7">
        <v>1711</v>
      </c>
      <c r="H291" s="7">
        <v>26.04</v>
      </c>
      <c r="I291" s="7">
        <v>24.81</v>
      </c>
      <c r="J291" s="7">
        <v>290</v>
      </c>
      <c r="K291" s="7" t="s">
        <v>15</v>
      </c>
      <c r="L291" s="7">
        <v>11</v>
      </c>
      <c r="M291" s="7">
        <v>11</v>
      </c>
      <c r="N291" s="7">
        <v>0</v>
      </c>
      <c r="O291" s="7" t="s">
        <v>824</v>
      </c>
      <c r="P291" s="7">
        <v>0</v>
      </c>
      <c r="Q291" s="7">
        <v>44554.439999999995</v>
      </c>
      <c r="R291" s="7">
        <v>42449.909999999996</v>
      </c>
      <c r="S291" s="7">
        <v>2104.5299999999988</v>
      </c>
      <c r="T291" s="7" t="s">
        <v>823</v>
      </c>
      <c r="U291" s="7"/>
    </row>
    <row r="292" spans="1:21" x14ac:dyDescent="0.25">
      <c r="A292" s="7" t="s">
        <v>317</v>
      </c>
      <c r="B292" s="7" t="s">
        <v>806</v>
      </c>
      <c r="C292" s="7">
        <v>44577</v>
      </c>
      <c r="D292" s="7">
        <v>44583</v>
      </c>
      <c r="E292" s="7" t="s">
        <v>24</v>
      </c>
      <c r="F292" s="7" t="s">
        <v>18</v>
      </c>
      <c r="G292" s="7">
        <v>1203</v>
      </c>
      <c r="H292" s="7">
        <v>53.3</v>
      </c>
      <c r="I292" s="7">
        <v>47.68</v>
      </c>
      <c r="J292" s="7">
        <v>49</v>
      </c>
      <c r="K292" s="7" t="s">
        <v>15</v>
      </c>
      <c r="L292" s="7">
        <v>6</v>
      </c>
      <c r="M292" s="7">
        <v>11</v>
      </c>
      <c r="N292" s="7">
        <v>0</v>
      </c>
      <c r="O292" s="7" t="s">
        <v>824</v>
      </c>
      <c r="P292" s="7">
        <v>0</v>
      </c>
      <c r="Q292" s="7">
        <v>64119.899999999994</v>
      </c>
      <c r="R292" s="7">
        <v>57359.040000000001</v>
      </c>
      <c r="S292" s="7">
        <v>6760.8599999999933</v>
      </c>
      <c r="T292" s="7" t="s">
        <v>823</v>
      </c>
      <c r="U292" s="7"/>
    </row>
    <row r="293" spans="1:21" x14ac:dyDescent="0.25">
      <c r="A293" s="7" t="s">
        <v>318</v>
      </c>
      <c r="B293" s="7" t="s">
        <v>804</v>
      </c>
      <c r="C293" s="7">
        <v>44657</v>
      </c>
      <c r="D293" s="7">
        <v>44658</v>
      </c>
      <c r="E293" s="7" t="s">
        <v>39</v>
      </c>
      <c r="F293" s="7" t="s">
        <v>18</v>
      </c>
      <c r="G293" s="7">
        <v>1126</v>
      </c>
      <c r="H293" s="7">
        <v>58.8</v>
      </c>
      <c r="I293" s="7">
        <v>52.22</v>
      </c>
      <c r="J293" s="7"/>
      <c r="K293" s="7" t="s">
        <v>15</v>
      </c>
      <c r="L293" s="7">
        <v>1</v>
      </c>
      <c r="M293" s="7">
        <v>11</v>
      </c>
      <c r="N293" s="7">
        <v>0</v>
      </c>
      <c r="O293" s="7" t="s">
        <v>822</v>
      </c>
      <c r="P293" s="7">
        <v>1</v>
      </c>
      <c r="Q293" s="7">
        <v>66208.800000000003</v>
      </c>
      <c r="R293" s="7">
        <v>58799.72</v>
      </c>
      <c r="S293" s="7">
        <v>7409.0800000000017</v>
      </c>
      <c r="T293" s="7" t="s">
        <v>823</v>
      </c>
      <c r="U293" s="7"/>
    </row>
    <row r="294" spans="1:21" x14ac:dyDescent="0.25">
      <c r="A294" s="7" t="s">
        <v>319</v>
      </c>
      <c r="B294" s="7" t="s">
        <v>808</v>
      </c>
      <c r="C294" s="7">
        <v>44804</v>
      </c>
      <c r="D294" s="7">
        <v>44816</v>
      </c>
      <c r="E294" s="7" t="s">
        <v>24</v>
      </c>
      <c r="F294" s="7" t="s">
        <v>18</v>
      </c>
      <c r="G294" s="7">
        <v>1757</v>
      </c>
      <c r="H294" s="7">
        <v>15.18</v>
      </c>
      <c r="I294" s="7">
        <v>13.06</v>
      </c>
      <c r="J294" s="7">
        <v>63</v>
      </c>
      <c r="K294" s="7" t="s">
        <v>15</v>
      </c>
      <c r="L294" s="7">
        <v>12</v>
      </c>
      <c r="M294" s="7">
        <v>11</v>
      </c>
      <c r="N294" s="7">
        <v>1</v>
      </c>
      <c r="O294" s="7" t="s">
        <v>824</v>
      </c>
      <c r="P294" s="7">
        <v>0</v>
      </c>
      <c r="Q294" s="7">
        <v>26671.26</v>
      </c>
      <c r="R294" s="7">
        <v>22946.420000000002</v>
      </c>
      <c r="S294" s="7">
        <v>3724.8399999999965</v>
      </c>
      <c r="T294" s="7" t="s">
        <v>826</v>
      </c>
      <c r="U294" s="7"/>
    </row>
    <row r="295" spans="1:21" x14ac:dyDescent="0.25">
      <c r="A295" s="7" t="s">
        <v>320</v>
      </c>
      <c r="B295" s="7" t="s">
        <v>808</v>
      </c>
      <c r="C295" s="7">
        <v>44732</v>
      </c>
      <c r="D295" s="7">
        <v>44740</v>
      </c>
      <c r="E295" s="7" t="s">
        <v>21</v>
      </c>
      <c r="F295" s="7" t="s">
        <v>18</v>
      </c>
      <c r="G295" s="7">
        <v>779</v>
      </c>
      <c r="H295" s="7">
        <v>41.3</v>
      </c>
      <c r="I295" s="7">
        <v>36.28</v>
      </c>
      <c r="J295" s="7">
        <v>20</v>
      </c>
      <c r="K295" s="7" t="s">
        <v>15</v>
      </c>
      <c r="L295" s="7">
        <v>8</v>
      </c>
      <c r="M295" s="7">
        <v>11</v>
      </c>
      <c r="N295" s="7">
        <v>0</v>
      </c>
      <c r="O295" s="7" t="s">
        <v>824</v>
      </c>
      <c r="P295" s="7">
        <v>0</v>
      </c>
      <c r="Q295" s="7">
        <v>32172.699999999997</v>
      </c>
      <c r="R295" s="7">
        <v>28262.120000000003</v>
      </c>
      <c r="S295" s="7">
        <v>3910.5799999999945</v>
      </c>
      <c r="T295" s="7" t="s">
        <v>823</v>
      </c>
      <c r="U295" s="7"/>
    </row>
    <row r="296" spans="1:21" x14ac:dyDescent="0.25">
      <c r="A296" s="7" t="s">
        <v>321</v>
      </c>
      <c r="B296" s="7" t="s">
        <v>805</v>
      </c>
      <c r="C296" s="7">
        <v>44978</v>
      </c>
      <c r="D296" s="7">
        <v>44979</v>
      </c>
      <c r="E296" s="7" t="s">
        <v>13</v>
      </c>
      <c r="F296" s="7" t="s">
        <v>18</v>
      </c>
      <c r="G296" s="7">
        <v>1745</v>
      </c>
      <c r="H296" s="7">
        <v>23.53</v>
      </c>
      <c r="I296" s="7">
        <v>22.57</v>
      </c>
      <c r="J296" s="7">
        <v>282</v>
      </c>
      <c r="K296" s="7" t="s">
        <v>27</v>
      </c>
      <c r="L296" s="7">
        <v>1</v>
      </c>
      <c r="M296" s="7">
        <v>11</v>
      </c>
      <c r="N296" s="7">
        <v>0</v>
      </c>
      <c r="O296" s="7" t="s">
        <v>824</v>
      </c>
      <c r="P296" s="7">
        <v>0</v>
      </c>
      <c r="Q296" s="7">
        <v>41059.85</v>
      </c>
      <c r="R296" s="7">
        <v>39384.65</v>
      </c>
      <c r="S296" s="7">
        <v>1675.1999999999971</v>
      </c>
      <c r="T296" s="7" t="s">
        <v>823</v>
      </c>
      <c r="U296" s="7"/>
    </row>
    <row r="297" spans="1:21" x14ac:dyDescent="0.25">
      <c r="A297" s="7" t="s">
        <v>322</v>
      </c>
      <c r="B297" s="7" t="s">
        <v>805</v>
      </c>
      <c r="C297" s="7">
        <v>45059</v>
      </c>
      <c r="D297" s="7">
        <v>45061</v>
      </c>
      <c r="E297" s="7" t="s">
        <v>26</v>
      </c>
      <c r="F297" s="7" t="s">
        <v>18</v>
      </c>
      <c r="G297" s="7">
        <v>1783</v>
      </c>
      <c r="H297" s="7">
        <v>16.96</v>
      </c>
      <c r="I297" s="7">
        <v>15.8</v>
      </c>
      <c r="J297" s="7">
        <v>295</v>
      </c>
      <c r="K297" s="7" t="s">
        <v>15</v>
      </c>
      <c r="L297" s="7">
        <v>2</v>
      </c>
      <c r="M297" s="7">
        <v>11</v>
      </c>
      <c r="N297" s="7">
        <v>0</v>
      </c>
      <c r="O297" s="7" t="s">
        <v>824</v>
      </c>
      <c r="P297" s="7">
        <v>0</v>
      </c>
      <c r="Q297" s="7">
        <v>30239.68</v>
      </c>
      <c r="R297" s="7">
        <v>28171.4</v>
      </c>
      <c r="S297" s="7">
        <v>2068.2799999999988</v>
      </c>
      <c r="T297" s="7" t="s">
        <v>823</v>
      </c>
      <c r="U297" s="7"/>
    </row>
    <row r="298" spans="1:21" x14ac:dyDescent="0.25">
      <c r="A298" s="7" t="s">
        <v>323</v>
      </c>
      <c r="B298" s="7" t="s">
        <v>804</v>
      </c>
      <c r="C298" s="7">
        <v>45054</v>
      </c>
      <c r="D298" s="7">
        <v>45068</v>
      </c>
      <c r="E298" s="7" t="s">
        <v>13</v>
      </c>
      <c r="F298" s="7" t="s">
        <v>33</v>
      </c>
      <c r="G298" s="7">
        <v>1489</v>
      </c>
      <c r="H298" s="7">
        <v>107.02</v>
      </c>
      <c r="I298" s="7">
        <v>93.3</v>
      </c>
      <c r="J298" s="7"/>
      <c r="K298" s="7" t="s">
        <v>15</v>
      </c>
      <c r="L298" s="7">
        <v>14</v>
      </c>
      <c r="M298" s="7">
        <v>11</v>
      </c>
      <c r="N298" s="7">
        <v>3</v>
      </c>
      <c r="O298" s="7" t="s">
        <v>824</v>
      </c>
      <c r="P298" s="7">
        <v>0</v>
      </c>
      <c r="Q298" s="7">
        <v>159352.78</v>
      </c>
      <c r="R298" s="7">
        <v>138923.69999999998</v>
      </c>
      <c r="S298" s="7">
        <v>20429.080000000016</v>
      </c>
      <c r="T298" s="7" t="s">
        <v>826</v>
      </c>
      <c r="U298" s="7"/>
    </row>
    <row r="299" spans="1:21" x14ac:dyDescent="0.25">
      <c r="A299" s="7" t="s">
        <v>324</v>
      </c>
      <c r="B299" s="7" t="s">
        <v>804</v>
      </c>
      <c r="C299" s="7">
        <v>44780</v>
      </c>
      <c r="D299" s="7">
        <v>44783</v>
      </c>
      <c r="E299" s="7" t="s">
        <v>13</v>
      </c>
      <c r="F299" s="7" t="s">
        <v>18</v>
      </c>
      <c r="G299" s="7">
        <v>296</v>
      </c>
      <c r="H299" s="7">
        <v>40.380000000000003</v>
      </c>
      <c r="I299" s="7">
        <v>35.25</v>
      </c>
      <c r="J299" s="7"/>
      <c r="K299" s="7" t="s">
        <v>15</v>
      </c>
      <c r="L299" s="7">
        <v>3</v>
      </c>
      <c r="M299" s="7">
        <v>11</v>
      </c>
      <c r="N299" s="7">
        <v>0</v>
      </c>
      <c r="O299" s="7" t="s">
        <v>822</v>
      </c>
      <c r="P299" s="7">
        <v>1</v>
      </c>
      <c r="Q299" s="7">
        <v>11952.480000000001</v>
      </c>
      <c r="R299" s="7">
        <v>10434</v>
      </c>
      <c r="S299" s="7">
        <v>1518.4800000000014</v>
      </c>
      <c r="T299" s="7" t="s">
        <v>823</v>
      </c>
      <c r="U299" s="7"/>
    </row>
    <row r="300" spans="1:21" x14ac:dyDescent="0.25">
      <c r="A300" s="7" t="s">
        <v>325</v>
      </c>
      <c r="B300" s="7" t="s">
        <v>808</v>
      </c>
      <c r="C300" s="7">
        <v>44972</v>
      </c>
      <c r="D300" s="7">
        <v>44984</v>
      </c>
      <c r="E300" s="7" t="s">
        <v>21</v>
      </c>
      <c r="F300" s="7" t="s">
        <v>18</v>
      </c>
      <c r="G300" s="7">
        <v>885</v>
      </c>
      <c r="H300" s="7">
        <v>88.28</v>
      </c>
      <c r="I300" s="7">
        <v>80.8</v>
      </c>
      <c r="J300" s="7">
        <v>31</v>
      </c>
      <c r="K300" s="7" t="s">
        <v>15</v>
      </c>
      <c r="L300" s="7">
        <v>12</v>
      </c>
      <c r="M300" s="7">
        <v>11</v>
      </c>
      <c r="N300" s="7">
        <v>1</v>
      </c>
      <c r="O300" s="7" t="s">
        <v>824</v>
      </c>
      <c r="P300" s="7">
        <v>0</v>
      </c>
      <c r="Q300" s="7">
        <v>78127.8</v>
      </c>
      <c r="R300" s="7">
        <v>71508</v>
      </c>
      <c r="S300" s="7">
        <v>6619.8000000000029</v>
      </c>
      <c r="T300" s="7" t="s">
        <v>826</v>
      </c>
      <c r="U300" s="7"/>
    </row>
    <row r="301" spans="1:21" x14ac:dyDescent="0.25">
      <c r="A301" s="7" t="s">
        <v>326</v>
      </c>
      <c r="B301" s="7" t="s">
        <v>808</v>
      </c>
      <c r="C301" s="7">
        <v>44622</v>
      </c>
      <c r="D301" s="7">
        <v>44626</v>
      </c>
      <c r="E301" s="7" t="s">
        <v>26</v>
      </c>
      <c r="F301" s="7" t="s">
        <v>35</v>
      </c>
      <c r="G301" s="7">
        <v>1512</v>
      </c>
      <c r="H301" s="7">
        <v>33.25</v>
      </c>
      <c r="I301" s="7">
        <v>30.15</v>
      </c>
      <c r="J301" s="7">
        <v>53</v>
      </c>
      <c r="K301" s="7" t="s">
        <v>15</v>
      </c>
      <c r="L301" s="7">
        <v>4</v>
      </c>
      <c r="M301" s="7">
        <v>11</v>
      </c>
      <c r="N301" s="7">
        <v>0</v>
      </c>
      <c r="O301" s="7" t="s">
        <v>824</v>
      </c>
      <c r="P301" s="7">
        <v>0</v>
      </c>
      <c r="Q301" s="7">
        <v>50274</v>
      </c>
      <c r="R301" s="7">
        <v>45586.799999999996</v>
      </c>
      <c r="S301" s="7">
        <v>4687.2000000000044</v>
      </c>
      <c r="T301" s="7" t="s">
        <v>823</v>
      </c>
      <c r="U301" s="7"/>
    </row>
    <row r="302" spans="1:21" x14ac:dyDescent="0.25">
      <c r="A302" s="7" t="s">
        <v>327</v>
      </c>
      <c r="B302" s="7" t="s">
        <v>805</v>
      </c>
      <c r="C302" s="7">
        <v>44730</v>
      </c>
      <c r="D302" s="7">
        <v>44738</v>
      </c>
      <c r="E302" s="7" t="s">
        <v>13</v>
      </c>
      <c r="F302" s="7" t="s">
        <v>18</v>
      </c>
      <c r="G302" s="7">
        <v>252</v>
      </c>
      <c r="H302" s="7">
        <v>73.12</v>
      </c>
      <c r="I302" s="7">
        <v>67.64</v>
      </c>
      <c r="J302" s="7"/>
      <c r="K302" s="7" t="s">
        <v>27</v>
      </c>
      <c r="L302" s="7">
        <v>8</v>
      </c>
      <c r="M302" s="7">
        <v>11</v>
      </c>
      <c r="N302" s="7">
        <v>0</v>
      </c>
      <c r="O302" s="7" t="s">
        <v>822</v>
      </c>
      <c r="P302" s="7">
        <v>1</v>
      </c>
      <c r="Q302" s="7">
        <v>18426.240000000002</v>
      </c>
      <c r="R302" s="7">
        <v>17045.28</v>
      </c>
      <c r="S302" s="7">
        <v>1380.9600000000028</v>
      </c>
      <c r="T302" s="7" t="s">
        <v>823</v>
      </c>
      <c r="U302" s="7"/>
    </row>
    <row r="303" spans="1:21" x14ac:dyDescent="0.25">
      <c r="A303" s="7" t="s">
        <v>328</v>
      </c>
      <c r="B303" s="7" t="s">
        <v>804</v>
      </c>
      <c r="C303" s="7">
        <v>44950</v>
      </c>
      <c r="D303" s="7">
        <v>44961</v>
      </c>
      <c r="E303" s="7" t="s">
        <v>39</v>
      </c>
      <c r="F303" s="7" t="s">
        <v>14</v>
      </c>
      <c r="G303" s="7">
        <v>1257</v>
      </c>
      <c r="H303" s="7">
        <v>83.13</v>
      </c>
      <c r="I303" s="7">
        <v>81.89</v>
      </c>
      <c r="J303" s="7">
        <v>30</v>
      </c>
      <c r="K303" s="7" t="s">
        <v>15</v>
      </c>
      <c r="L303" s="7">
        <v>11</v>
      </c>
      <c r="M303" s="7">
        <v>11</v>
      </c>
      <c r="N303" s="7">
        <v>0</v>
      </c>
      <c r="O303" s="7" t="s">
        <v>824</v>
      </c>
      <c r="P303" s="7">
        <v>0</v>
      </c>
      <c r="Q303" s="7">
        <v>104494.40999999999</v>
      </c>
      <c r="R303" s="7">
        <v>102935.73</v>
      </c>
      <c r="S303" s="7">
        <v>1558.679999999993</v>
      </c>
      <c r="T303" s="7" t="s">
        <v>823</v>
      </c>
      <c r="U303" s="7"/>
    </row>
    <row r="304" spans="1:21" x14ac:dyDescent="0.25">
      <c r="A304" s="7" t="s">
        <v>329</v>
      </c>
      <c r="B304" s="7" t="s">
        <v>804</v>
      </c>
      <c r="C304" s="7">
        <v>44564</v>
      </c>
      <c r="D304" s="7">
        <v>44581</v>
      </c>
      <c r="E304" s="7" t="s">
        <v>24</v>
      </c>
      <c r="F304" s="7" t="s">
        <v>18</v>
      </c>
      <c r="G304" s="7">
        <v>172</v>
      </c>
      <c r="H304" s="7">
        <v>63.61</v>
      </c>
      <c r="I304" s="7">
        <v>55.92</v>
      </c>
      <c r="J304" s="7">
        <v>4</v>
      </c>
      <c r="K304" s="7" t="s">
        <v>15</v>
      </c>
      <c r="L304" s="7">
        <v>17</v>
      </c>
      <c r="M304" s="7">
        <v>11</v>
      </c>
      <c r="N304" s="7">
        <v>6</v>
      </c>
      <c r="O304" s="7" t="s">
        <v>824</v>
      </c>
      <c r="P304" s="7">
        <v>0</v>
      </c>
      <c r="Q304" s="7">
        <v>10940.92</v>
      </c>
      <c r="R304" s="7">
        <v>9618.24</v>
      </c>
      <c r="S304" s="7">
        <v>1322.6800000000003</v>
      </c>
      <c r="T304" s="7" t="s">
        <v>825</v>
      </c>
      <c r="U304" s="7"/>
    </row>
    <row r="305" spans="1:21" x14ac:dyDescent="0.25">
      <c r="A305" s="7" t="s">
        <v>330</v>
      </c>
      <c r="B305" s="7" t="s">
        <v>808</v>
      </c>
      <c r="C305" s="7">
        <v>44961</v>
      </c>
      <c r="D305" s="7">
        <v>44962</v>
      </c>
      <c r="E305" s="7" t="s">
        <v>24</v>
      </c>
      <c r="F305" s="7" t="s">
        <v>35</v>
      </c>
      <c r="G305" s="7">
        <v>450</v>
      </c>
      <c r="H305" s="7">
        <v>55.85</v>
      </c>
      <c r="I305" s="7">
        <v>49.88</v>
      </c>
      <c r="J305" s="7">
        <v>9</v>
      </c>
      <c r="K305" s="7" t="s">
        <v>15</v>
      </c>
      <c r="L305" s="7">
        <v>1</v>
      </c>
      <c r="M305" s="7">
        <v>11</v>
      </c>
      <c r="N305" s="7">
        <v>0</v>
      </c>
      <c r="O305" s="7" t="s">
        <v>824</v>
      </c>
      <c r="P305" s="7">
        <v>0</v>
      </c>
      <c r="Q305" s="7">
        <v>25132.5</v>
      </c>
      <c r="R305" s="7">
        <v>22446</v>
      </c>
      <c r="S305" s="7">
        <v>2686.5</v>
      </c>
      <c r="T305" s="7" t="s">
        <v>823</v>
      </c>
      <c r="U305" s="7"/>
    </row>
    <row r="306" spans="1:21" x14ac:dyDescent="0.25">
      <c r="A306" s="7" t="s">
        <v>331</v>
      </c>
      <c r="B306" s="7" t="s">
        <v>806</v>
      </c>
      <c r="C306" s="7">
        <v>44833</v>
      </c>
      <c r="D306" s="7">
        <v>44849</v>
      </c>
      <c r="E306" s="7" t="s">
        <v>39</v>
      </c>
      <c r="F306" s="7" t="s">
        <v>18</v>
      </c>
      <c r="G306" s="7">
        <v>816</v>
      </c>
      <c r="H306" s="7">
        <v>48.95</v>
      </c>
      <c r="I306" s="7">
        <v>43.42</v>
      </c>
      <c r="J306" s="7">
        <v>45</v>
      </c>
      <c r="K306" s="7" t="s">
        <v>15</v>
      </c>
      <c r="L306" s="7">
        <v>16</v>
      </c>
      <c r="M306" s="7">
        <v>11</v>
      </c>
      <c r="N306" s="7">
        <v>5</v>
      </c>
      <c r="O306" s="7" t="s">
        <v>824</v>
      </c>
      <c r="P306" s="7">
        <v>0</v>
      </c>
      <c r="Q306" s="7">
        <v>39943.200000000004</v>
      </c>
      <c r="R306" s="7">
        <v>35430.720000000001</v>
      </c>
      <c r="S306" s="7">
        <v>4512.4800000000032</v>
      </c>
      <c r="T306" s="7" t="s">
        <v>825</v>
      </c>
      <c r="U306" s="7"/>
    </row>
    <row r="307" spans="1:21" x14ac:dyDescent="0.25">
      <c r="A307" s="7" t="s">
        <v>332</v>
      </c>
      <c r="B307" s="7" t="s">
        <v>808</v>
      </c>
      <c r="C307" s="7">
        <v>45027</v>
      </c>
      <c r="D307" s="7">
        <v>45041</v>
      </c>
      <c r="E307" s="7" t="s">
        <v>24</v>
      </c>
      <c r="F307" s="7" t="s">
        <v>18</v>
      </c>
      <c r="G307" s="7">
        <v>343</v>
      </c>
      <c r="H307" s="7">
        <v>44.5</v>
      </c>
      <c r="I307" s="7">
        <v>38.57</v>
      </c>
      <c r="J307" s="7">
        <v>7</v>
      </c>
      <c r="K307" s="7" t="s">
        <v>15</v>
      </c>
      <c r="L307" s="7">
        <v>14</v>
      </c>
      <c r="M307" s="7">
        <v>11</v>
      </c>
      <c r="N307" s="7">
        <v>3</v>
      </c>
      <c r="O307" s="7" t="s">
        <v>824</v>
      </c>
      <c r="P307" s="7">
        <v>0</v>
      </c>
      <c r="Q307" s="7">
        <v>15263.5</v>
      </c>
      <c r="R307" s="7">
        <v>13229.51</v>
      </c>
      <c r="S307" s="7">
        <v>2033.9899999999998</v>
      </c>
      <c r="T307" s="7" t="s">
        <v>826</v>
      </c>
      <c r="U307" s="7"/>
    </row>
    <row r="308" spans="1:21" x14ac:dyDescent="0.25">
      <c r="A308" s="7" t="s">
        <v>333</v>
      </c>
      <c r="B308" s="7" t="s">
        <v>806</v>
      </c>
      <c r="C308" s="7">
        <v>44854</v>
      </c>
      <c r="D308" s="7">
        <v>44870</v>
      </c>
      <c r="E308" s="7" t="s">
        <v>21</v>
      </c>
      <c r="F308" s="7" t="s">
        <v>18</v>
      </c>
      <c r="G308" s="7">
        <v>329</v>
      </c>
      <c r="H308" s="7">
        <v>97.87</v>
      </c>
      <c r="I308" s="7">
        <v>85.35</v>
      </c>
      <c r="J308" s="7">
        <v>21</v>
      </c>
      <c r="K308" s="7" t="s">
        <v>27</v>
      </c>
      <c r="L308" s="7">
        <v>16</v>
      </c>
      <c r="M308" s="7">
        <v>11</v>
      </c>
      <c r="N308" s="7">
        <v>5</v>
      </c>
      <c r="O308" s="7" t="s">
        <v>824</v>
      </c>
      <c r="P308" s="7">
        <v>0</v>
      </c>
      <c r="Q308" s="7">
        <v>32199.230000000003</v>
      </c>
      <c r="R308" s="7">
        <v>28080.149999999998</v>
      </c>
      <c r="S308" s="7">
        <v>4119.0800000000054</v>
      </c>
      <c r="T308" s="7" t="s">
        <v>825</v>
      </c>
      <c r="U308" s="7"/>
    </row>
    <row r="309" spans="1:21" x14ac:dyDescent="0.25">
      <c r="A309" s="7" t="s">
        <v>334</v>
      </c>
      <c r="B309" s="7" t="s">
        <v>804</v>
      </c>
      <c r="C309" s="7">
        <v>44995</v>
      </c>
      <c r="D309" s="7">
        <v>45010</v>
      </c>
      <c r="E309" s="7" t="s">
        <v>39</v>
      </c>
      <c r="F309" s="7" t="s">
        <v>18</v>
      </c>
      <c r="G309" s="7">
        <v>1910</v>
      </c>
      <c r="H309" s="7">
        <v>90.69</v>
      </c>
      <c r="I309" s="7">
        <v>85.8</v>
      </c>
      <c r="J309" s="7"/>
      <c r="K309" s="7" t="s">
        <v>15</v>
      </c>
      <c r="L309" s="7">
        <v>15</v>
      </c>
      <c r="M309" s="7">
        <v>11</v>
      </c>
      <c r="N309" s="7">
        <v>4</v>
      </c>
      <c r="O309" s="7" t="s">
        <v>824</v>
      </c>
      <c r="P309" s="7">
        <v>0</v>
      </c>
      <c r="Q309" s="7">
        <v>173217.9</v>
      </c>
      <c r="R309" s="7">
        <v>163878</v>
      </c>
      <c r="S309" s="7">
        <v>9339.8999999999942</v>
      </c>
      <c r="T309" s="7" t="s">
        <v>826</v>
      </c>
      <c r="U309" s="7"/>
    </row>
    <row r="310" spans="1:21" x14ac:dyDescent="0.25">
      <c r="A310" s="7" t="s">
        <v>335</v>
      </c>
      <c r="B310" s="7" t="s">
        <v>808</v>
      </c>
      <c r="C310" s="7">
        <v>45275</v>
      </c>
      <c r="D310" s="7">
        <v>45278</v>
      </c>
      <c r="E310" s="7" t="s">
        <v>21</v>
      </c>
      <c r="F310" s="7" t="s">
        <v>18</v>
      </c>
      <c r="G310" s="7">
        <v>933</v>
      </c>
      <c r="H310" s="7">
        <v>107.99</v>
      </c>
      <c r="I310" s="7">
        <v>104.29</v>
      </c>
      <c r="J310" s="7">
        <v>29</v>
      </c>
      <c r="K310" s="7" t="s">
        <v>15</v>
      </c>
      <c r="L310" s="7">
        <v>3</v>
      </c>
      <c r="M310" s="7">
        <v>11</v>
      </c>
      <c r="N310" s="7">
        <v>0</v>
      </c>
      <c r="O310" s="7" t="s">
        <v>824</v>
      </c>
      <c r="P310" s="7">
        <v>0</v>
      </c>
      <c r="Q310" s="7">
        <v>100754.67</v>
      </c>
      <c r="R310" s="7">
        <v>97302.57</v>
      </c>
      <c r="S310" s="7">
        <v>3452.0999999999913</v>
      </c>
      <c r="T310" s="7" t="s">
        <v>823</v>
      </c>
      <c r="U310" s="7"/>
    </row>
    <row r="311" spans="1:21" x14ac:dyDescent="0.25">
      <c r="A311" s="7" t="s">
        <v>336</v>
      </c>
      <c r="B311" s="7" t="s">
        <v>805</v>
      </c>
      <c r="C311" s="7">
        <v>45131</v>
      </c>
      <c r="D311" s="7">
        <v>45136</v>
      </c>
      <c r="E311" s="7" t="s">
        <v>26</v>
      </c>
      <c r="F311" s="7" t="s">
        <v>18</v>
      </c>
      <c r="G311" s="7">
        <v>1683</v>
      </c>
      <c r="H311" s="7">
        <v>23.09</v>
      </c>
      <c r="I311" s="7">
        <v>21.88</v>
      </c>
      <c r="J311" s="7">
        <v>253</v>
      </c>
      <c r="K311" s="7" t="s">
        <v>15</v>
      </c>
      <c r="L311" s="7">
        <v>5</v>
      </c>
      <c r="M311" s="7">
        <v>11</v>
      </c>
      <c r="N311" s="7">
        <v>0</v>
      </c>
      <c r="O311" s="7" t="s">
        <v>824</v>
      </c>
      <c r="P311" s="7">
        <v>0</v>
      </c>
      <c r="Q311" s="7">
        <v>38860.47</v>
      </c>
      <c r="R311" s="7">
        <v>36824.04</v>
      </c>
      <c r="S311" s="7">
        <v>2036.4300000000003</v>
      </c>
      <c r="T311" s="7" t="s">
        <v>823</v>
      </c>
      <c r="U311" s="7"/>
    </row>
    <row r="312" spans="1:21" x14ac:dyDescent="0.25">
      <c r="A312" s="7" t="s">
        <v>337</v>
      </c>
      <c r="B312" s="7" t="s">
        <v>807</v>
      </c>
      <c r="C312" s="7">
        <v>45239</v>
      </c>
      <c r="D312" s="7">
        <v>45248</v>
      </c>
      <c r="E312" s="7" t="s">
        <v>24</v>
      </c>
      <c r="F312" s="7" t="s">
        <v>35</v>
      </c>
      <c r="G312" s="7">
        <v>247</v>
      </c>
      <c r="H312" s="7">
        <v>84.11</v>
      </c>
      <c r="I312" s="7">
        <v>71.97</v>
      </c>
      <c r="J312" s="7"/>
      <c r="K312" s="7" t="s">
        <v>15</v>
      </c>
      <c r="L312" s="7">
        <v>9</v>
      </c>
      <c r="M312" s="7">
        <v>11</v>
      </c>
      <c r="N312" s="7">
        <v>0</v>
      </c>
      <c r="O312" s="7" t="s">
        <v>822</v>
      </c>
      <c r="P312" s="7">
        <v>1</v>
      </c>
      <c r="Q312" s="7">
        <v>20775.169999999998</v>
      </c>
      <c r="R312" s="7">
        <v>17776.59</v>
      </c>
      <c r="S312" s="7">
        <v>2998.5799999999981</v>
      </c>
      <c r="T312" s="7" t="s">
        <v>823</v>
      </c>
      <c r="U312" s="7"/>
    </row>
    <row r="313" spans="1:21" x14ac:dyDescent="0.25">
      <c r="A313" s="7" t="s">
        <v>338</v>
      </c>
      <c r="B313" s="7" t="s">
        <v>804</v>
      </c>
      <c r="C313" s="7">
        <v>45060</v>
      </c>
      <c r="D313" s="7">
        <v>45079</v>
      </c>
      <c r="E313" s="7" t="s">
        <v>21</v>
      </c>
      <c r="F313" s="7" t="s">
        <v>18</v>
      </c>
      <c r="G313" s="7">
        <v>1031</v>
      </c>
      <c r="H313" s="7">
        <v>102.01</v>
      </c>
      <c r="I313" s="7">
        <v>98.65</v>
      </c>
      <c r="J313" s="7"/>
      <c r="K313" s="7" t="s">
        <v>15</v>
      </c>
      <c r="L313" s="7">
        <v>19</v>
      </c>
      <c r="M313" s="7">
        <v>11</v>
      </c>
      <c r="N313" s="7">
        <v>8</v>
      </c>
      <c r="O313" s="7" t="s">
        <v>824</v>
      </c>
      <c r="P313" s="7">
        <v>0</v>
      </c>
      <c r="Q313" s="7">
        <v>105172.31000000001</v>
      </c>
      <c r="R313" s="7">
        <v>101708.15000000001</v>
      </c>
      <c r="S313" s="7">
        <v>3464.1600000000035</v>
      </c>
      <c r="T313" s="7" t="s">
        <v>825</v>
      </c>
      <c r="U313" s="7"/>
    </row>
    <row r="314" spans="1:21" x14ac:dyDescent="0.25">
      <c r="A314" s="7" t="s">
        <v>339</v>
      </c>
      <c r="B314" s="7" t="s">
        <v>804</v>
      </c>
      <c r="C314" s="7">
        <v>44720</v>
      </c>
      <c r="D314" s="7">
        <v>44731</v>
      </c>
      <c r="E314" s="7" t="s">
        <v>24</v>
      </c>
      <c r="F314" s="7" t="s">
        <v>18</v>
      </c>
      <c r="G314" s="7">
        <v>1980</v>
      </c>
      <c r="H314" s="7">
        <v>26.97</v>
      </c>
      <c r="I314" s="7">
        <v>24.16</v>
      </c>
      <c r="J314" s="7">
        <v>41</v>
      </c>
      <c r="K314" s="7" t="s">
        <v>15</v>
      </c>
      <c r="L314" s="7">
        <v>11</v>
      </c>
      <c r="M314" s="7">
        <v>11</v>
      </c>
      <c r="N314" s="7">
        <v>0</v>
      </c>
      <c r="O314" s="7" t="s">
        <v>824</v>
      </c>
      <c r="P314" s="7">
        <v>0</v>
      </c>
      <c r="Q314" s="7">
        <v>53400.6</v>
      </c>
      <c r="R314" s="7">
        <v>47836.800000000003</v>
      </c>
      <c r="S314" s="7">
        <v>5563.7999999999956</v>
      </c>
      <c r="T314" s="7" t="s">
        <v>823</v>
      </c>
      <c r="U314" s="7"/>
    </row>
    <row r="315" spans="1:21" x14ac:dyDescent="0.25">
      <c r="A315" s="7" t="s">
        <v>340</v>
      </c>
      <c r="B315" s="7" t="s">
        <v>808</v>
      </c>
      <c r="C315" s="7">
        <v>44756</v>
      </c>
      <c r="D315" s="7">
        <v>44776</v>
      </c>
      <c r="E315" s="7" t="s">
        <v>26</v>
      </c>
      <c r="F315" s="7" t="s">
        <v>18</v>
      </c>
      <c r="G315" s="7">
        <v>1584</v>
      </c>
      <c r="H315" s="7">
        <v>16.46</v>
      </c>
      <c r="I315" s="7">
        <v>14.2</v>
      </c>
      <c r="J315" s="7">
        <v>57</v>
      </c>
      <c r="K315" s="7" t="s">
        <v>15</v>
      </c>
      <c r="L315" s="7">
        <v>20</v>
      </c>
      <c r="M315" s="7">
        <v>11</v>
      </c>
      <c r="N315" s="7">
        <v>9</v>
      </c>
      <c r="O315" s="7" t="s">
        <v>824</v>
      </c>
      <c r="P315" s="7">
        <v>0</v>
      </c>
      <c r="Q315" s="7">
        <v>26072.640000000003</v>
      </c>
      <c r="R315" s="7">
        <v>22492.799999999999</v>
      </c>
      <c r="S315" s="7">
        <v>3579.8400000000038</v>
      </c>
      <c r="T315" s="7" t="s">
        <v>825</v>
      </c>
      <c r="U315" s="7"/>
    </row>
    <row r="316" spans="1:21" x14ac:dyDescent="0.25">
      <c r="A316" s="7" t="s">
        <v>341</v>
      </c>
      <c r="B316" s="7" t="s">
        <v>807</v>
      </c>
      <c r="C316" s="7">
        <v>44865</v>
      </c>
      <c r="D316" s="7">
        <v>44880</v>
      </c>
      <c r="E316" s="7" t="s">
        <v>13</v>
      </c>
      <c r="F316" s="7" t="s">
        <v>18</v>
      </c>
      <c r="G316" s="7">
        <v>801</v>
      </c>
      <c r="H316" s="7">
        <v>80.150000000000006</v>
      </c>
      <c r="I316" s="7">
        <v>70.91</v>
      </c>
      <c r="J316" s="7"/>
      <c r="K316" s="7" t="s">
        <v>15</v>
      </c>
      <c r="L316" s="7">
        <v>15</v>
      </c>
      <c r="M316" s="7">
        <v>11</v>
      </c>
      <c r="N316" s="7">
        <v>4</v>
      </c>
      <c r="O316" s="7" t="s">
        <v>824</v>
      </c>
      <c r="P316" s="7">
        <v>0</v>
      </c>
      <c r="Q316" s="7">
        <v>64200.15</v>
      </c>
      <c r="R316" s="7">
        <v>56798.909999999996</v>
      </c>
      <c r="S316" s="7">
        <v>7401.2400000000052</v>
      </c>
      <c r="T316" s="7" t="s">
        <v>826</v>
      </c>
      <c r="U316" s="7"/>
    </row>
    <row r="317" spans="1:21" x14ac:dyDescent="0.25">
      <c r="A317" s="7" t="s">
        <v>342</v>
      </c>
      <c r="B317" s="7" t="s">
        <v>807</v>
      </c>
      <c r="C317" s="7">
        <v>44784</v>
      </c>
      <c r="D317" s="7">
        <v>44798</v>
      </c>
      <c r="E317" s="7" t="s">
        <v>24</v>
      </c>
      <c r="F317" s="7" t="s">
        <v>18</v>
      </c>
      <c r="G317" s="7">
        <v>193</v>
      </c>
      <c r="H317" s="7">
        <v>63.86</v>
      </c>
      <c r="I317" s="7">
        <v>57.46</v>
      </c>
      <c r="J317" s="7"/>
      <c r="K317" s="7" t="s">
        <v>15</v>
      </c>
      <c r="L317" s="7">
        <v>14</v>
      </c>
      <c r="M317" s="7">
        <v>11</v>
      </c>
      <c r="N317" s="7">
        <v>3</v>
      </c>
      <c r="O317" s="7" t="s">
        <v>824</v>
      </c>
      <c r="P317" s="7">
        <v>0</v>
      </c>
      <c r="Q317" s="7">
        <v>12324.98</v>
      </c>
      <c r="R317" s="7">
        <v>11089.78</v>
      </c>
      <c r="S317" s="7">
        <v>1235.1999999999989</v>
      </c>
      <c r="T317" s="7" t="s">
        <v>826</v>
      </c>
      <c r="U317" s="7"/>
    </row>
    <row r="318" spans="1:21" x14ac:dyDescent="0.25">
      <c r="A318" s="7" t="s">
        <v>343</v>
      </c>
      <c r="B318" s="7" t="s">
        <v>807</v>
      </c>
      <c r="C318" s="7">
        <v>44621</v>
      </c>
      <c r="D318" s="7">
        <v>44625</v>
      </c>
      <c r="E318" s="7" t="s">
        <v>26</v>
      </c>
      <c r="F318" s="7" t="s">
        <v>18</v>
      </c>
      <c r="G318" s="7">
        <v>658</v>
      </c>
      <c r="H318" s="7">
        <v>86.62</v>
      </c>
      <c r="I318" s="7">
        <v>79.849999999999994</v>
      </c>
      <c r="J318" s="7">
        <v>72</v>
      </c>
      <c r="K318" s="7" t="s">
        <v>15</v>
      </c>
      <c r="L318" s="7">
        <v>4</v>
      </c>
      <c r="M318" s="7">
        <v>11</v>
      </c>
      <c r="N318" s="7">
        <v>0</v>
      </c>
      <c r="O318" s="7" t="s">
        <v>824</v>
      </c>
      <c r="P318" s="7">
        <v>0</v>
      </c>
      <c r="Q318" s="7">
        <v>56995.960000000006</v>
      </c>
      <c r="R318" s="7">
        <v>52541.299999999996</v>
      </c>
      <c r="S318" s="7">
        <v>4454.6600000000108</v>
      </c>
      <c r="T318" s="7" t="s">
        <v>823</v>
      </c>
      <c r="U318" s="7"/>
    </row>
    <row r="319" spans="1:21" x14ac:dyDescent="0.25">
      <c r="A319" s="7" t="s">
        <v>344</v>
      </c>
      <c r="B319" s="7" t="s">
        <v>808</v>
      </c>
      <c r="C319" s="7">
        <v>45155</v>
      </c>
      <c r="D319" s="7">
        <v>45173</v>
      </c>
      <c r="E319" s="7" t="s">
        <v>39</v>
      </c>
      <c r="F319" s="7" t="s">
        <v>18</v>
      </c>
      <c r="G319" s="7">
        <v>1274</v>
      </c>
      <c r="H319" s="7">
        <v>24.72</v>
      </c>
      <c r="I319" s="7">
        <v>23.36</v>
      </c>
      <c r="J319" s="7">
        <v>37</v>
      </c>
      <c r="K319" s="7" t="s">
        <v>15</v>
      </c>
      <c r="L319" s="7">
        <v>18</v>
      </c>
      <c r="M319" s="7">
        <v>11</v>
      </c>
      <c r="N319" s="7">
        <v>7</v>
      </c>
      <c r="O319" s="7" t="s">
        <v>824</v>
      </c>
      <c r="P319" s="7">
        <v>0</v>
      </c>
      <c r="Q319" s="7">
        <v>31493.279999999999</v>
      </c>
      <c r="R319" s="7">
        <v>29760.639999999999</v>
      </c>
      <c r="S319" s="7">
        <v>1732.6399999999994</v>
      </c>
      <c r="T319" s="7" t="s">
        <v>825</v>
      </c>
      <c r="U319" s="7"/>
    </row>
    <row r="320" spans="1:21" x14ac:dyDescent="0.25">
      <c r="A320" s="7" t="s">
        <v>345</v>
      </c>
      <c r="B320" s="7" t="s">
        <v>808</v>
      </c>
      <c r="C320" s="7">
        <v>45117</v>
      </c>
      <c r="D320" s="7">
        <v>45124</v>
      </c>
      <c r="E320" s="7" t="s">
        <v>24</v>
      </c>
      <c r="F320" s="7" t="s">
        <v>33</v>
      </c>
      <c r="G320" s="7">
        <v>1197</v>
      </c>
      <c r="H320" s="7">
        <v>88.92</v>
      </c>
      <c r="I320" s="7">
        <v>78.819999999999993</v>
      </c>
      <c r="J320" s="7">
        <v>31</v>
      </c>
      <c r="K320" s="7" t="s">
        <v>15</v>
      </c>
      <c r="L320" s="7">
        <v>7</v>
      </c>
      <c r="M320" s="7">
        <v>11</v>
      </c>
      <c r="N320" s="7">
        <v>0</v>
      </c>
      <c r="O320" s="7" t="s">
        <v>824</v>
      </c>
      <c r="P320" s="7">
        <v>0</v>
      </c>
      <c r="Q320" s="7">
        <v>106437.24</v>
      </c>
      <c r="R320" s="7">
        <v>94347.54</v>
      </c>
      <c r="S320" s="7">
        <v>12089.700000000012</v>
      </c>
      <c r="T320" s="7" t="s">
        <v>823</v>
      </c>
      <c r="U320" s="7"/>
    </row>
    <row r="321" spans="1:21" x14ac:dyDescent="0.25">
      <c r="A321" s="7" t="s">
        <v>346</v>
      </c>
      <c r="B321" s="7" t="s">
        <v>806</v>
      </c>
      <c r="C321" s="7">
        <v>44624</v>
      </c>
      <c r="D321" s="7">
        <v>44632</v>
      </c>
      <c r="E321" s="7" t="s">
        <v>39</v>
      </c>
      <c r="F321" s="7" t="s">
        <v>18</v>
      </c>
      <c r="G321" s="7">
        <v>236</v>
      </c>
      <c r="H321" s="7">
        <v>28.43</v>
      </c>
      <c r="I321" s="7">
        <v>28.11</v>
      </c>
      <c r="J321" s="7">
        <v>11</v>
      </c>
      <c r="K321" s="7" t="s">
        <v>15</v>
      </c>
      <c r="L321" s="7">
        <v>8</v>
      </c>
      <c r="M321" s="7">
        <v>11</v>
      </c>
      <c r="N321" s="7">
        <v>0</v>
      </c>
      <c r="O321" s="7" t="s">
        <v>824</v>
      </c>
      <c r="P321" s="7">
        <v>0</v>
      </c>
      <c r="Q321" s="7">
        <v>6709.48</v>
      </c>
      <c r="R321" s="7">
        <v>6633.96</v>
      </c>
      <c r="S321" s="7">
        <v>75.519999999999527</v>
      </c>
      <c r="T321" s="7" t="s">
        <v>823</v>
      </c>
      <c r="U321" s="7"/>
    </row>
    <row r="322" spans="1:21" x14ac:dyDescent="0.25">
      <c r="A322" s="7" t="s">
        <v>347</v>
      </c>
      <c r="B322" s="7" t="s">
        <v>806</v>
      </c>
      <c r="C322" s="7">
        <v>44883</v>
      </c>
      <c r="D322" s="7">
        <v>44898</v>
      </c>
      <c r="E322" s="7" t="s">
        <v>26</v>
      </c>
      <c r="F322" s="7" t="s">
        <v>33</v>
      </c>
      <c r="G322" s="7">
        <v>1399</v>
      </c>
      <c r="H322" s="7">
        <v>25.97</v>
      </c>
      <c r="I322" s="7">
        <v>22.19</v>
      </c>
      <c r="J322" s="7">
        <v>62</v>
      </c>
      <c r="K322" s="7" t="s">
        <v>15</v>
      </c>
      <c r="L322" s="7">
        <v>15</v>
      </c>
      <c r="M322" s="7">
        <v>11</v>
      </c>
      <c r="N322" s="7">
        <v>4</v>
      </c>
      <c r="O322" s="7" t="s">
        <v>824</v>
      </c>
      <c r="P322" s="7">
        <v>0</v>
      </c>
      <c r="Q322" s="7">
        <v>36332.03</v>
      </c>
      <c r="R322" s="7">
        <v>31043.81</v>
      </c>
      <c r="S322" s="7">
        <v>5288.2199999999975</v>
      </c>
      <c r="T322" s="7" t="s">
        <v>826</v>
      </c>
      <c r="U322" s="7"/>
    </row>
    <row r="323" spans="1:21" x14ac:dyDescent="0.25">
      <c r="A323" s="7" t="s">
        <v>348</v>
      </c>
      <c r="B323" s="7" t="s">
        <v>806</v>
      </c>
      <c r="C323" s="7">
        <v>44620</v>
      </c>
      <c r="D323" s="7">
        <v>44624</v>
      </c>
      <c r="E323" s="7" t="s">
        <v>39</v>
      </c>
      <c r="F323" s="7" t="s">
        <v>18</v>
      </c>
      <c r="G323" s="7">
        <v>513</v>
      </c>
      <c r="H323" s="7">
        <v>24.91</v>
      </c>
      <c r="I323" s="7">
        <v>22.58</v>
      </c>
      <c r="J323" s="7">
        <v>29</v>
      </c>
      <c r="K323" s="7" t="s">
        <v>15</v>
      </c>
      <c r="L323" s="7">
        <v>4</v>
      </c>
      <c r="M323" s="7">
        <v>11</v>
      </c>
      <c r="N323" s="7">
        <v>0</v>
      </c>
      <c r="O323" s="7" t="s">
        <v>824</v>
      </c>
      <c r="P323" s="7">
        <v>0</v>
      </c>
      <c r="Q323" s="7">
        <v>12778.83</v>
      </c>
      <c r="R323" s="7">
        <v>11583.539999999999</v>
      </c>
      <c r="S323" s="7">
        <v>1195.2900000000009</v>
      </c>
      <c r="T323" s="7" t="s">
        <v>823</v>
      </c>
      <c r="U323" s="7"/>
    </row>
    <row r="324" spans="1:21" x14ac:dyDescent="0.25">
      <c r="A324" s="7" t="s">
        <v>349</v>
      </c>
      <c r="B324" s="7" t="s">
        <v>805</v>
      </c>
      <c r="C324" s="7">
        <v>44613</v>
      </c>
      <c r="D324" s="7">
        <v>44624</v>
      </c>
      <c r="E324" s="7" t="s">
        <v>21</v>
      </c>
      <c r="F324" s="7" t="s">
        <v>18</v>
      </c>
      <c r="G324" s="7">
        <v>1422</v>
      </c>
      <c r="H324" s="7">
        <v>83.73</v>
      </c>
      <c r="I324" s="7">
        <v>76.47</v>
      </c>
      <c r="J324" s="7">
        <v>198</v>
      </c>
      <c r="K324" s="7" t="s">
        <v>15</v>
      </c>
      <c r="L324" s="7">
        <v>11</v>
      </c>
      <c r="M324" s="7">
        <v>11</v>
      </c>
      <c r="N324" s="7">
        <v>0</v>
      </c>
      <c r="O324" s="7" t="s">
        <v>824</v>
      </c>
      <c r="P324" s="7">
        <v>0</v>
      </c>
      <c r="Q324" s="7">
        <v>119064.06000000001</v>
      </c>
      <c r="R324" s="7">
        <v>108740.34</v>
      </c>
      <c r="S324" s="7">
        <v>10323.720000000016</v>
      </c>
      <c r="T324" s="7" t="s">
        <v>823</v>
      </c>
      <c r="U324" s="7"/>
    </row>
    <row r="325" spans="1:21" x14ac:dyDescent="0.25">
      <c r="A325" s="7" t="s">
        <v>350</v>
      </c>
      <c r="B325" s="7" t="s">
        <v>804</v>
      </c>
      <c r="C325" s="7">
        <v>45160</v>
      </c>
      <c r="D325" s="7">
        <v>45172</v>
      </c>
      <c r="E325" s="7" t="s">
        <v>13</v>
      </c>
      <c r="F325" s="7" t="s">
        <v>18</v>
      </c>
      <c r="G325" s="7">
        <v>1844</v>
      </c>
      <c r="H325" s="7">
        <v>76.510000000000005</v>
      </c>
      <c r="I325" s="7">
        <v>73.05</v>
      </c>
      <c r="J325" s="7"/>
      <c r="K325" s="7" t="s">
        <v>15</v>
      </c>
      <c r="L325" s="7">
        <v>12</v>
      </c>
      <c r="M325" s="7">
        <v>11</v>
      </c>
      <c r="N325" s="7">
        <v>1</v>
      </c>
      <c r="O325" s="7" t="s">
        <v>824</v>
      </c>
      <c r="P325" s="7">
        <v>0</v>
      </c>
      <c r="Q325" s="7">
        <v>141084.44</v>
      </c>
      <c r="R325" s="7">
        <v>134704.19999999998</v>
      </c>
      <c r="S325" s="7">
        <v>6380.2400000000198</v>
      </c>
      <c r="T325" s="7" t="s">
        <v>826</v>
      </c>
      <c r="U325" s="7"/>
    </row>
    <row r="326" spans="1:21" x14ac:dyDescent="0.25">
      <c r="A326" s="7" t="s">
        <v>351</v>
      </c>
      <c r="B326" s="7" t="s">
        <v>806</v>
      </c>
      <c r="C326" s="7">
        <v>45050</v>
      </c>
      <c r="D326" s="7">
        <v>45060</v>
      </c>
      <c r="E326" s="7" t="s">
        <v>39</v>
      </c>
      <c r="F326" s="7" t="s">
        <v>18</v>
      </c>
      <c r="G326" s="7">
        <v>709</v>
      </c>
      <c r="H326" s="7">
        <v>61.64</v>
      </c>
      <c r="I326" s="7">
        <v>54.55</v>
      </c>
      <c r="J326" s="7">
        <v>41</v>
      </c>
      <c r="K326" s="7" t="s">
        <v>15</v>
      </c>
      <c r="L326" s="7">
        <v>10</v>
      </c>
      <c r="M326" s="7">
        <v>11</v>
      </c>
      <c r="N326" s="7">
        <v>0</v>
      </c>
      <c r="O326" s="7" t="s">
        <v>824</v>
      </c>
      <c r="P326" s="7">
        <v>0</v>
      </c>
      <c r="Q326" s="7">
        <v>43702.76</v>
      </c>
      <c r="R326" s="7">
        <v>38675.949999999997</v>
      </c>
      <c r="S326" s="7">
        <v>5026.8100000000049</v>
      </c>
      <c r="T326" s="7" t="s">
        <v>823</v>
      </c>
      <c r="U326" s="7"/>
    </row>
    <row r="327" spans="1:21" x14ac:dyDescent="0.25">
      <c r="A327" s="7" t="s">
        <v>352</v>
      </c>
      <c r="B327" s="7" t="s">
        <v>805</v>
      </c>
      <c r="C327" s="7">
        <v>45076</v>
      </c>
      <c r="D327" s="7">
        <v>45092</v>
      </c>
      <c r="E327" s="7" t="s">
        <v>21</v>
      </c>
      <c r="F327" s="7" t="s">
        <v>18</v>
      </c>
      <c r="G327" s="7">
        <v>813</v>
      </c>
      <c r="H327" s="7">
        <v>45.68</v>
      </c>
      <c r="I327" s="7">
        <v>41.78</v>
      </c>
      <c r="J327" s="7"/>
      <c r="K327" s="7" t="s">
        <v>27</v>
      </c>
      <c r="L327" s="7">
        <v>16</v>
      </c>
      <c r="M327" s="7">
        <v>11</v>
      </c>
      <c r="N327" s="7">
        <v>5</v>
      </c>
      <c r="O327" s="7" t="s">
        <v>824</v>
      </c>
      <c r="P327" s="7">
        <v>0</v>
      </c>
      <c r="Q327" s="7">
        <v>37137.839999999997</v>
      </c>
      <c r="R327" s="7">
        <v>33967.14</v>
      </c>
      <c r="S327" s="7">
        <v>3170.6999999999971</v>
      </c>
      <c r="T327" s="7" t="s">
        <v>825</v>
      </c>
      <c r="U327" s="7"/>
    </row>
    <row r="328" spans="1:21" x14ac:dyDescent="0.25">
      <c r="A328" s="7" t="s">
        <v>353</v>
      </c>
      <c r="B328" s="7" t="s">
        <v>805</v>
      </c>
      <c r="C328" s="7">
        <v>45105</v>
      </c>
      <c r="D328" s="7">
        <v>45108</v>
      </c>
      <c r="E328" s="7" t="s">
        <v>13</v>
      </c>
      <c r="F328" s="7" t="s">
        <v>18</v>
      </c>
      <c r="G328" s="7">
        <v>1004</v>
      </c>
      <c r="H328" s="7">
        <v>96.51</v>
      </c>
      <c r="I328" s="7">
        <v>92.9</v>
      </c>
      <c r="J328" s="7">
        <v>146</v>
      </c>
      <c r="K328" s="7" t="s">
        <v>27</v>
      </c>
      <c r="L328" s="7">
        <v>3</v>
      </c>
      <c r="M328" s="7">
        <v>11</v>
      </c>
      <c r="N328" s="7">
        <v>0</v>
      </c>
      <c r="O328" s="7" t="s">
        <v>824</v>
      </c>
      <c r="P328" s="7">
        <v>0</v>
      </c>
      <c r="Q328" s="7">
        <v>96896.040000000008</v>
      </c>
      <c r="R328" s="7">
        <v>93271.6</v>
      </c>
      <c r="S328" s="7">
        <v>3624.4400000000023</v>
      </c>
      <c r="T328" s="7" t="s">
        <v>823</v>
      </c>
      <c r="U328" s="7"/>
    </row>
    <row r="329" spans="1:21" x14ac:dyDescent="0.25">
      <c r="A329" s="7" t="s">
        <v>354</v>
      </c>
      <c r="B329" s="7" t="s">
        <v>808</v>
      </c>
      <c r="C329" s="7">
        <v>44723</v>
      </c>
      <c r="D329" s="7">
        <v>44727</v>
      </c>
      <c r="E329" s="7" t="s">
        <v>26</v>
      </c>
      <c r="F329" s="7" t="s">
        <v>18</v>
      </c>
      <c r="G329" s="7">
        <v>452</v>
      </c>
      <c r="H329" s="7">
        <v>46.45</v>
      </c>
      <c r="I329" s="7">
        <v>40.39</v>
      </c>
      <c r="J329" s="7">
        <v>9</v>
      </c>
      <c r="K329" s="7" t="s">
        <v>15</v>
      </c>
      <c r="L329" s="7">
        <v>4</v>
      </c>
      <c r="M329" s="7">
        <v>11</v>
      </c>
      <c r="N329" s="7">
        <v>0</v>
      </c>
      <c r="O329" s="7" t="s">
        <v>824</v>
      </c>
      <c r="P329" s="7">
        <v>0</v>
      </c>
      <c r="Q329" s="7">
        <v>20995.4</v>
      </c>
      <c r="R329" s="7">
        <v>18256.28</v>
      </c>
      <c r="S329" s="7">
        <v>2739.1200000000026</v>
      </c>
      <c r="T329" s="7" t="s">
        <v>823</v>
      </c>
      <c r="U329" s="7"/>
    </row>
    <row r="330" spans="1:21" x14ac:dyDescent="0.25">
      <c r="A330" s="7" t="s">
        <v>355</v>
      </c>
      <c r="B330" s="7" t="s">
        <v>807</v>
      </c>
      <c r="C330" s="7">
        <v>44620</v>
      </c>
      <c r="D330" s="7">
        <v>44632</v>
      </c>
      <c r="E330" s="7" t="s">
        <v>26</v>
      </c>
      <c r="F330" s="7" t="s">
        <v>35</v>
      </c>
      <c r="G330" s="7">
        <v>1419</v>
      </c>
      <c r="H330" s="7">
        <v>83.91</v>
      </c>
      <c r="I330" s="7">
        <v>71.459999999999994</v>
      </c>
      <c r="J330" s="7">
        <v>137</v>
      </c>
      <c r="K330" s="7" t="s">
        <v>15</v>
      </c>
      <c r="L330" s="7">
        <v>12</v>
      </c>
      <c r="M330" s="7">
        <v>11</v>
      </c>
      <c r="N330" s="7">
        <v>1</v>
      </c>
      <c r="O330" s="7" t="s">
        <v>824</v>
      </c>
      <c r="P330" s="7">
        <v>0</v>
      </c>
      <c r="Q330" s="7">
        <v>119068.29</v>
      </c>
      <c r="R330" s="7">
        <v>101401.73999999999</v>
      </c>
      <c r="S330" s="7">
        <v>17666.550000000003</v>
      </c>
      <c r="T330" s="7" t="s">
        <v>826</v>
      </c>
      <c r="U330" s="7"/>
    </row>
    <row r="331" spans="1:21" x14ac:dyDescent="0.25">
      <c r="A331" s="7" t="s">
        <v>356</v>
      </c>
      <c r="B331" s="7" t="s">
        <v>807</v>
      </c>
      <c r="C331" s="7">
        <v>45082</v>
      </c>
      <c r="D331" s="7">
        <v>45100</v>
      </c>
      <c r="E331" s="7" t="s">
        <v>24</v>
      </c>
      <c r="F331" s="7" t="s">
        <v>18</v>
      </c>
      <c r="G331" s="7">
        <v>1584</v>
      </c>
      <c r="H331" s="7">
        <v>53.73</v>
      </c>
      <c r="I331" s="7">
        <v>51.92</v>
      </c>
      <c r="J331" s="7">
        <v>167</v>
      </c>
      <c r="K331" s="7" t="s">
        <v>27</v>
      </c>
      <c r="L331" s="7">
        <v>18</v>
      </c>
      <c r="M331" s="7">
        <v>11</v>
      </c>
      <c r="N331" s="7">
        <v>7</v>
      </c>
      <c r="O331" s="7" t="s">
        <v>824</v>
      </c>
      <c r="P331" s="7">
        <v>0</v>
      </c>
      <c r="Q331" s="7">
        <v>85108.319999999992</v>
      </c>
      <c r="R331" s="7">
        <v>82241.279999999999</v>
      </c>
      <c r="S331" s="7">
        <v>2867.0399999999936</v>
      </c>
      <c r="T331" s="7" t="s">
        <v>825</v>
      </c>
      <c r="U331" s="7"/>
    </row>
    <row r="332" spans="1:21" x14ac:dyDescent="0.25">
      <c r="A332" s="7" t="s">
        <v>357</v>
      </c>
      <c r="B332" s="7" t="s">
        <v>806</v>
      </c>
      <c r="C332" s="7">
        <v>44644</v>
      </c>
      <c r="D332" s="7">
        <v>44662</v>
      </c>
      <c r="E332" s="7" t="s">
        <v>21</v>
      </c>
      <c r="F332" s="7" t="s">
        <v>35</v>
      </c>
      <c r="G332" s="7">
        <v>196</v>
      </c>
      <c r="H332" s="7">
        <v>44.36</v>
      </c>
      <c r="I332" s="7">
        <v>43.81</v>
      </c>
      <c r="J332" s="7">
        <v>6</v>
      </c>
      <c r="K332" s="7" t="s">
        <v>15</v>
      </c>
      <c r="L332" s="7">
        <v>18</v>
      </c>
      <c r="M332" s="7">
        <v>11</v>
      </c>
      <c r="N332" s="7">
        <v>7</v>
      </c>
      <c r="O332" s="7" t="s">
        <v>824</v>
      </c>
      <c r="P332" s="7">
        <v>0</v>
      </c>
      <c r="Q332" s="7">
        <v>8694.56</v>
      </c>
      <c r="R332" s="7">
        <v>8586.76</v>
      </c>
      <c r="S332" s="7">
        <v>107.79999999999927</v>
      </c>
      <c r="T332" s="7" t="s">
        <v>825</v>
      </c>
      <c r="U332" s="7"/>
    </row>
    <row r="333" spans="1:21" x14ac:dyDescent="0.25">
      <c r="A333" s="7" t="s">
        <v>358</v>
      </c>
      <c r="B333" s="7" t="s">
        <v>804</v>
      </c>
      <c r="C333" s="7">
        <v>44752</v>
      </c>
      <c r="D333" s="7">
        <v>44756</v>
      </c>
      <c r="E333" s="7" t="s">
        <v>13</v>
      </c>
      <c r="F333" s="7" t="s">
        <v>18</v>
      </c>
      <c r="G333" s="7">
        <v>1221</v>
      </c>
      <c r="H333" s="7">
        <v>53.19</v>
      </c>
      <c r="I333" s="7">
        <v>46.18</v>
      </c>
      <c r="J333" s="7">
        <v>29</v>
      </c>
      <c r="K333" s="7" t="s">
        <v>15</v>
      </c>
      <c r="L333" s="7">
        <v>4</v>
      </c>
      <c r="M333" s="7">
        <v>11</v>
      </c>
      <c r="N333" s="7">
        <v>0</v>
      </c>
      <c r="O333" s="7" t="s">
        <v>824</v>
      </c>
      <c r="P333" s="7">
        <v>0</v>
      </c>
      <c r="Q333" s="7">
        <v>64944.99</v>
      </c>
      <c r="R333" s="7">
        <v>56385.78</v>
      </c>
      <c r="S333" s="7">
        <v>8559.2099999999991</v>
      </c>
      <c r="T333" s="7" t="s">
        <v>823</v>
      </c>
      <c r="U333" s="7"/>
    </row>
    <row r="334" spans="1:21" x14ac:dyDescent="0.25">
      <c r="A334" s="7" t="s">
        <v>359</v>
      </c>
      <c r="B334" s="7" t="s">
        <v>804</v>
      </c>
      <c r="C334" s="7">
        <v>44632</v>
      </c>
      <c r="D334" s="7">
        <v>44646</v>
      </c>
      <c r="E334" s="7" t="s">
        <v>24</v>
      </c>
      <c r="F334" s="7" t="s">
        <v>18</v>
      </c>
      <c r="G334" s="7">
        <v>913</v>
      </c>
      <c r="H334" s="7">
        <v>37.5</v>
      </c>
      <c r="I334" s="7">
        <v>36.200000000000003</v>
      </c>
      <c r="J334" s="7"/>
      <c r="K334" s="7" t="s">
        <v>15</v>
      </c>
      <c r="L334" s="7">
        <v>14</v>
      </c>
      <c r="M334" s="7">
        <v>11</v>
      </c>
      <c r="N334" s="7">
        <v>3</v>
      </c>
      <c r="O334" s="7" t="s">
        <v>824</v>
      </c>
      <c r="P334" s="7">
        <v>0</v>
      </c>
      <c r="Q334" s="7">
        <v>34237.5</v>
      </c>
      <c r="R334" s="7">
        <v>33050.600000000006</v>
      </c>
      <c r="S334" s="7">
        <v>1186.8999999999942</v>
      </c>
      <c r="T334" s="7" t="s">
        <v>826</v>
      </c>
      <c r="U334" s="7"/>
    </row>
    <row r="335" spans="1:21" x14ac:dyDescent="0.25">
      <c r="A335" s="7" t="s">
        <v>360</v>
      </c>
      <c r="B335" s="7" t="s">
        <v>804</v>
      </c>
      <c r="C335" s="7">
        <v>45171</v>
      </c>
      <c r="D335" s="7">
        <v>45173</v>
      </c>
      <c r="E335" s="7" t="s">
        <v>24</v>
      </c>
      <c r="F335" s="7" t="s">
        <v>18</v>
      </c>
      <c r="G335" s="7">
        <v>1784</v>
      </c>
      <c r="H335" s="7">
        <v>85.01</v>
      </c>
      <c r="I335" s="7">
        <v>76.69</v>
      </c>
      <c r="J335" s="7">
        <v>37</v>
      </c>
      <c r="K335" s="7" t="s">
        <v>15</v>
      </c>
      <c r="L335" s="7">
        <v>2</v>
      </c>
      <c r="M335" s="7">
        <v>11</v>
      </c>
      <c r="N335" s="7">
        <v>0</v>
      </c>
      <c r="O335" s="7" t="s">
        <v>824</v>
      </c>
      <c r="P335" s="7">
        <v>0</v>
      </c>
      <c r="Q335" s="7">
        <v>151657.84</v>
      </c>
      <c r="R335" s="7">
        <v>136814.96</v>
      </c>
      <c r="S335" s="7">
        <v>14842.880000000005</v>
      </c>
      <c r="T335" s="7" t="s">
        <v>823</v>
      </c>
      <c r="U335" s="7"/>
    </row>
    <row r="336" spans="1:21" x14ac:dyDescent="0.25">
      <c r="A336" s="7" t="s">
        <v>361</v>
      </c>
      <c r="B336" s="7" t="s">
        <v>805</v>
      </c>
      <c r="C336" s="7">
        <v>44631</v>
      </c>
      <c r="D336" s="7">
        <v>44642</v>
      </c>
      <c r="E336" s="7" t="s">
        <v>26</v>
      </c>
      <c r="F336" s="7" t="s">
        <v>18</v>
      </c>
      <c r="G336" s="7">
        <v>1893</v>
      </c>
      <c r="H336" s="7">
        <v>55.8</v>
      </c>
      <c r="I336" s="7">
        <v>52.35</v>
      </c>
      <c r="J336" s="7"/>
      <c r="K336" s="7" t="s">
        <v>15</v>
      </c>
      <c r="L336" s="7">
        <v>11</v>
      </c>
      <c r="M336" s="7">
        <v>11</v>
      </c>
      <c r="N336" s="7">
        <v>0</v>
      </c>
      <c r="O336" s="7" t="s">
        <v>822</v>
      </c>
      <c r="P336" s="7">
        <v>1</v>
      </c>
      <c r="Q336" s="7">
        <v>105629.4</v>
      </c>
      <c r="R336" s="7">
        <v>99098.55</v>
      </c>
      <c r="S336" s="7">
        <v>6530.8499999999913</v>
      </c>
      <c r="T336" s="7" t="s">
        <v>823</v>
      </c>
      <c r="U336" s="7"/>
    </row>
    <row r="337" spans="1:21" x14ac:dyDescent="0.25">
      <c r="A337" s="7" t="s">
        <v>362</v>
      </c>
      <c r="B337" s="7" t="s">
        <v>805</v>
      </c>
      <c r="C337" s="7">
        <v>45253</v>
      </c>
      <c r="D337" s="7">
        <v>45265</v>
      </c>
      <c r="E337" s="7" t="s">
        <v>39</v>
      </c>
      <c r="F337" s="7" t="s">
        <v>35</v>
      </c>
      <c r="G337" s="7">
        <v>538</v>
      </c>
      <c r="H337" s="7">
        <v>34.299999999999997</v>
      </c>
      <c r="I337" s="7">
        <v>32.25</v>
      </c>
      <c r="J337" s="7">
        <v>84</v>
      </c>
      <c r="K337" s="7" t="s">
        <v>27</v>
      </c>
      <c r="L337" s="7">
        <v>12</v>
      </c>
      <c r="M337" s="7">
        <v>11</v>
      </c>
      <c r="N337" s="7">
        <v>1</v>
      </c>
      <c r="O337" s="7" t="s">
        <v>824</v>
      </c>
      <c r="P337" s="7">
        <v>0</v>
      </c>
      <c r="Q337" s="7">
        <v>18453.399999999998</v>
      </c>
      <c r="R337" s="7">
        <v>17350.5</v>
      </c>
      <c r="S337" s="7">
        <v>1102.8999999999978</v>
      </c>
      <c r="T337" s="7" t="s">
        <v>826</v>
      </c>
      <c r="U337" s="7"/>
    </row>
    <row r="338" spans="1:21" x14ac:dyDescent="0.25">
      <c r="A338" s="7" t="s">
        <v>363</v>
      </c>
      <c r="B338" s="7" t="s">
        <v>805</v>
      </c>
      <c r="C338" s="7">
        <v>44802</v>
      </c>
      <c r="D338" s="7">
        <v>44819</v>
      </c>
      <c r="E338" s="7" t="s">
        <v>13</v>
      </c>
      <c r="F338" s="7" t="s">
        <v>35</v>
      </c>
      <c r="G338" s="7">
        <v>978</v>
      </c>
      <c r="H338" s="7">
        <v>94.15</v>
      </c>
      <c r="I338" s="7">
        <v>87.7</v>
      </c>
      <c r="J338" s="7">
        <v>149</v>
      </c>
      <c r="K338" s="7" t="s">
        <v>27</v>
      </c>
      <c r="L338" s="7">
        <v>17</v>
      </c>
      <c r="M338" s="7">
        <v>11</v>
      </c>
      <c r="N338" s="7">
        <v>6</v>
      </c>
      <c r="O338" s="7" t="s">
        <v>824</v>
      </c>
      <c r="P338" s="7">
        <v>0</v>
      </c>
      <c r="Q338" s="7">
        <v>92078.700000000012</v>
      </c>
      <c r="R338" s="7">
        <v>85770.6</v>
      </c>
      <c r="S338" s="7">
        <v>6308.1000000000058</v>
      </c>
      <c r="T338" s="7" t="s">
        <v>825</v>
      </c>
      <c r="U338" s="7"/>
    </row>
    <row r="339" spans="1:21" x14ac:dyDescent="0.25">
      <c r="A339" s="7" t="s">
        <v>364</v>
      </c>
      <c r="B339" s="7" t="s">
        <v>808</v>
      </c>
      <c r="C339" s="7">
        <v>44975</v>
      </c>
      <c r="D339" s="7">
        <v>44991</v>
      </c>
      <c r="E339" s="7" t="s">
        <v>26</v>
      </c>
      <c r="F339" s="7" t="s">
        <v>14</v>
      </c>
      <c r="G339" s="7">
        <v>1713</v>
      </c>
      <c r="H339" s="7">
        <v>47.45</v>
      </c>
      <c r="I339" s="7">
        <v>42.05</v>
      </c>
      <c r="J339" s="7">
        <v>53</v>
      </c>
      <c r="K339" s="7" t="s">
        <v>15</v>
      </c>
      <c r="L339" s="7">
        <v>16</v>
      </c>
      <c r="M339" s="7">
        <v>11</v>
      </c>
      <c r="N339" s="7">
        <v>5</v>
      </c>
      <c r="O339" s="7" t="s">
        <v>824</v>
      </c>
      <c r="P339" s="7">
        <v>0</v>
      </c>
      <c r="Q339" s="7">
        <v>81281.850000000006</v>
      </c>
      <c r="R339" s="7">
        <v>72031.649999999994</v>
      </c>
      <c r="S339" s="7">
        <v>9250.2000000000116</v>
      </c>
      <c r="T339" s="7" t="s">
        <v>825</v>
      </c>
      <c r="U339" s="7"/>
    </row>
    <row r="340" spans="1:21" x14ac:dyDescent="0.25">
      <c r="A340" s="7" t="s">
        <v>365</v>
      </c>
      <c r="B340" s="7" t="s">
        <v>805</v>
      </c>
      <c r="C340" s="7">
        <v>44684</v>
      </c>
      <c r="D340" s="7">
        <v>44688</v>
      </c>
      <c r="E340" s="7" t="s">
        <v>26</v>
      </c>
      <c r="F340" s="7" t="s">
        <v>35</v>
      </c>
      <c r="G340" s="7">
        <v>600</v>
      </c>
      <c r="H340" s="7">
        <v>60.1</v>
      </c>
      <c r="I340" s="7">
        <v>57.92</v>
      </c>
      <c r="J340" s="7">
        <v>95</v>
      </c>
      <c r="K340" s="7" t="s">
        <v>27</v>
      </c>
      <c r="L340" s="7">
        <v>4</v>
      </c>
      <c r="M340" s="7">
        <v>11</v>
      </c>
      <c r="N340" s="7">
        <v>0</v>
      </c>
      <c r="O340" s="7" t="s">
        <v>824</v>
      </c>
      <c r="P340" s="7">
        <v>0</v>
      </c>
      <c r="Q340" s="7">
        <v>36060</v>
      </c>
      <c r="R340" s="7">
        <v>34752</v>
      </c>
      <c r="S340" s="7">
        <v>1308</v>
      </c>
      <c r="T340" s="7" t="s">
        <v>823</v>
      </c>
      <c r="U340" s="7"/>
    </row>
    <row r="341" spans="1:21" x14ac:dyDescent="0.25">
      <c r="A341" s="7" t="s">
        <v>366</v>
      </c>
      <c r="B341" s="7" t="s">
        <v>804</v>
      </c>
      <c r="C341" s="7">
        <v>45145</v>
      </c>
      <c r="D341" s="7">
        <v>45163</v>
      </c>
      <c r="E341" s="7" t="s">
        <v>39</v>
      </c>
      <c r="F341" s="7" t="s">
        <v>35</v>
      </c>
      <c r="G341" s="7">
        <v>387</v>
      </c>
      <c r="H341" s="7">
        <v>100.28</v>
      </c>
      <c r="I341" s="7">
        <v>85.54</v>
      </c>
      <c r="J341" s="7">
        <v>5</v>
      </c>
      <c r="K341" s="7" t="s">
        <v>15</v>
      </c>
      <c r="L341" s="7">
        <v>18</v>
      </c>
      <c r="M341" s="7">
        <v>11</v>
      </c>
      <c r="N341" s="7">
        <v>7</v>
      </c>
      <c r="O341" s="7" t="s">
        <v>824</v>
      </c>
      <c r="P341" s="7">
        <v>0</v>
      </c>
      <c r="Q341" s="7">
        <v>38808.36</v>
      </c>
      <c r="R341" s="7">
        <v>33103.980000000003</v>
      </c>
      <c r="S341" s="7">
        <v>5704.3799999999974</v>
      </c>
      <c r="T341" s="7" t="s">
        <v>825</v>
      </c>
      <c r="U341" s="7"/>
    </row>
    <row r="342" spans="1:21" x14ac:dyDescent="0.25">
      <c r="A342" s="7" t="s">
        <v>367</v>
      </c>
      <c r="B342" s="7" t="s">
        <v>804</v>
      </c>
      <c r="C342" s="7">
        <v>44814</v>
      </c>
      <c r="D342" s="7">
        <v>44823</v>
      </c>
      <c r="E342" s="7" t="s">
        <v>21</v>
      </c>
      <c r="F342" s="7" t="s">
        <v>35</v>
      </c>
      <c r="G342" s="7">
        <v>921</v>
      </c>
      <c r="H342" s="7">
        <v>68.83</v>
      </c>
      <c r="I342" s="7">
        <v>59.13</v>
      </c>
      <c r="J342" s="7">
        <v>22</v>
      </c>
      <c r="K342" s="7" t="s">
        <v>15</v>
      </c>
      <c r="L342" s="7">
        <v>9</v>
      </c>
      <c r="M342" s="7">
        <v>11</v>
      </c>
      <c r="N342" s="7">
        <v>0</v>
      </c>
      <c r="O342" s="7" t="s">
        <v>824</v>
      </c>
      <c r="P342" s="7">
        <v>0</v>
      </c>
      <c r="Q342" s="7">
        <v>63392.43</v>
      </c>
      <c r="R342" s="7">
        <v>54458.73</v>
      </c>
      <c r="S342" s="7">
        <v>8933.6999999999971</v>
      </c>
      <c r="T342" s="7" t="s">
        <v>823</v>
      </c>
      <c r="U342" s="7"/>
    </row>
    <row r="343" spans="1:21" x14ac:dyDescent="0.25">
      <c r="A343" s="7" t="s">
        <v>368</v>
      </c>
      <c r="B343" s="7" t="s">
        <v>807</v>
      </c>
      <c r="C343" s="7">
        <v>45154</v>
      </c>
      <c r="D343" s="7">
        <v>45168</v>
      </c>
      <c r="E343" s="7" t="s">
        <v>21</v>
      </c>
      <c r="F343" s="7" t="s">
        <v>18</v>
      </c>
      <c r="G343" s="7">
        <v>690</v>
      </c>
      <c r="H343" s="7">
        <v>22.47</v>
      </c>
      <c r="I343" s="7">
        <v>21.94</v>
      </c>
      <c r="J343" s="7">
        <v>77</v>
      </c>
      <c r="K343" s="7" t="s">
        <v>15</v>
      </c>
      <c r="L343" s="7">
        <v>14</v>
      </c>
      <c r="M343" s="7">
        <v>11</v>
      </c>
      <c r="N343" s="7">
        <v>3</v>
      </c>
      <c r="O343" s="7" t="s">
        <v>824</v>
      </c>
      <c r="P343" s="7">
        <v>0</v>
      </c>
      <c r="Q343" s="7">
        <v>15504.3</v>
      </c>
      <c r="R343" s="7">
        <v>15138.6</v>
      </c>
      <c r="S343" s="7">
        <v>365.69999999999891</v>
      </c>
      <c r="T343" s="7" t="s">
        <v>826</v>
      </c>
      <c r="U343" s="7"/>
    </row>
    <row r="344" spans="1:21" x14ac:dyDescent="0.25">
      <c r="A344" s="7" t="s">
        <v>369</v>
      </c>
      <c r="B344" s="7" t="s">
        <v>804</v>
      </c>
      <c r="C344" s="7">
        <v>45170</v>
      </c>
      <c r="D344" s="7">
        <v>45190</v>
      </c>
      <c r="E344" s="7" t="s">
        <v>13</v>
      </c>
      <c r="F344" s="7" t="s">
        <v>14</v>
      </c>
      <c r="G344" s="7">
        <v>1852</v>
      </c>
      <c r="H344" s="7">
        <v>104.04</v>
      </c>
      <c r="I344" s="7">
        <v>94.89</v>
      </c>
      <c r="J344" s="7">
        <v>36</v>
      </c>
      <c r="K344" s="7" t="s">
        <v>15</v>
      </c>
      <c r="L344" s="7">
        <v>20</v>
      </c>
      <c r="M344" s="7">
        <v>11</v>
      </c>
      <c r="N344" s="7">
        <v>9</v>
      </c>
      <c r="O344" s="7" t="s">
        <v>824</v>
      </c>
      <c r="P344" s="7">
        <v>0</v>
      </c>
      <c r="Q344" s="7">
        <v>192682.08000000002</v>
      </c>
      <c r="R344" s="7">
        <v>175736.28</v>
      </c>
      <c r="S344" s="7">
        <v>16945.800000000017</v>
      </c>
      <c r="T344" s="7" t="s">
        <v>825</v>
      </c>
      <c r="U344" s="7"/>
    </row>
    <row r="345" spans="1:21" x14ac:dyDescent="0.25">
      <c r="A345" s="7" t="s">
        <v>370</v>
      </c>
      <c r="B345" s="7" t="s">
        <v>805</v>
      </c>
      <c r="C345" s="7">
        <v>44602</v>
      </c>
      <c r="D345" s="7">
        <v>44620</v>
      </c>
      <c r="E345" s="7" t="s">
        <v>39</v>
      </c>
      <c r="F345" s="7" t="s">
        <v>18</v>
      </c>
      <c r="G345" s="7">
        <v>522</v>
      </c>
      <c r="H345" s="7">
        <v>66.83</v>
      </c>
      <c r="I345" s="7">
        <v>58.01</v>
      </c>
      <c r="J345" s="7">
        <v>74</v>
      </c>
      <c r="K345" s="7" t="s">
        <v>15</v>
      </c>
      <c r="L345" s="7">
        <v>18</v>
      </c>
      <c r="M345" s="7">
        <v>11</v>
      </c>
      <c r="N345" s="7">
        <v>7</v>
      </c>
      <c r="O345" s="7" t="s">
        <v>824</v>
      </c>
      <c r="P345" s="7">
        <v>0</v>
      </c>
      <c r="Q345" s="7">
        <v>34885.26</v>
      </c>
      <c r="R345" s="7">
        <v>30281.219999999998</v>
      </c>
      <c r="S345" s="7">
        <v>4604.0400000000045</v>
      </c>
      <c r="T345" s="7" t="s">
        <v>825</v>
      </c>
      <c r="U345" s="7"/>
    </row>
    <row r="346" spans="1:21" x14ac:dyDescent="0.25">
      <c r="A346" s="7" t="s">
        <v>371</v>
      </c>
      <c r="B346" s="7" t="s">
        <v>805</v>
      </c>
      <c r="C346" s="7">
        <v>45196</v>
      </c>
      <c r="D346" s="7">
        <v>45205</v>
      </c>
      <c r="E346" s="7" t="s">
        <v>39</v>
      </c>
      <c r="F346" s="7" t="s">
        <v>18</v>
      </c>
      <c r="G346" s="7">
        <v>200</v>
      </c>
      <c r="H346" s="7">
        <v>44.16</v>
      </c>
      <c r="I346" s="7">
        <v>43.13</v>
      </c>
      <c r="J346" s="7">
        <v>21</v>
      </c>
      <c r="K346" s="7" t="s">
        <v>15</v>
      </c>
      <c r="L346" s="7">
        <v>9</v>
      </c>
      <c r="M346" s="7">
        <v>11</v>
      </c>
      <c r="N346" s="7">
        <v>0</v>
      </c>
      <c r="O346" s="7" t="s">
        <v>824</v>
      </c>
      <c r="P346" s="7">
        <v>0</v>
      </c>
      <c r="Q346" s="7">
        <v>8832</v>
      </c>
      <c r="R346" s="7">
        <v>8626</v>
      </c>
      <c r="S346" s="7">
        <v>206</v>
      </c>
      <c r="T346" s="7" t="s">
        <v>823</v>
      </c>
      <c r="U346" s="7"/>
    </row>
    <row r="347" spans="1:21" x14ac:dyDescent="0.25">
      <c r="A347" s="7" t="s">
        <v>372</v>
      </c>
      <c r="B347" s="7" t="s">
        <v>806</v>
      </c>
      <c r="C347" s="7">
        <v>44645</v>
      </c>
      <c r="D347" s="7">
        <v>44654</v>
      </c>
      <c r="E347" s="7" t="s">
        <v>24</v>
      </c>
      <c r="F347" s="7" t="s">
        <v>18</v>
      </c>
      <c r="G347" s="7">
        <v>1488</v>
      </c>
      <c r="H347" s="7">
        <v>22.76</v>
      </c>
      <c r="I347" s="7">
        <v>21.99</v>
      </c>
      <c r="J347" s="7"/>
      <c r="K347" s="7" t="s">
        <v>15</v>
      </c>
      <c r="L347" s="7">
        <v>9</v>
      </c>
      <c r="M347" s="7">
        <v>11</v>
      </c>
      <c r="N347" s="7">
        <v>0</v>
      </c>
      <c r="O347" s="7" t="s">
        <v>822</v>
      </c>
      <c r="P347" s="7">
        <v>1</v>
      </c>
      <c r="Q347" s="7">
        <v>33866.880000000005</v>
      </c>
      <c r="R347" s="7">
        <v>32721.119999999999</v>
      </c>
      <c r="S347" s="7">
        <v>1145.7600000000057</v>
      </c>
      <c r="T347" s="7" t="s">
        <v>823</v>
      </c>
      <c r="U347" s="7"/>
    </row>
    <row r="348" spans="1:21" x14ac:dyDescent="0.25">
      <c r="A348" s="7" t="s">
        <v>373</v>
      </c>
      <c r="B348" s="7" t="s">
        <v>808</v>
      </c>
      <c r="C348" s="7">
        <v>44991</v>
      </c>
      <c r="D348" s="7">
        <v>45001</v>
      </c>
      <c r="E348" s="7" t="s">
        <v>39</v>
      </c>
      <c r="F348" s="7" t="s">
        <v>18</v>
      </c>
      <c r="G348" s="7">
        <v>1371</v>
      </c>
      <c r="H348" s="7">
        <v>87.16</v>
      </c>
      <c r="I348" s="7">
        <v>78.13</v>
      </c>
      <c r="J348" s="7">
        <v>43</v>
      </c>
      <c r="K348" s="7" t="s">
        <v>15</v>
      </c>
      <c r="L348" s="7">
        <v>10</v>
      </c>
      <c r="M348" s="7">
        <v>11</v>
      </c>
      <c r="N348" s="7">
        <v>0</v>
      </c>
      <c r="O348" s="7" t="s">
        <v>824</v>
      </c>
      <c r="P348" s="7">
        <v>0</v>
      </c>
      <c r="Q348" s="7">
        <v>119496.36</v>
      </c>
      <c r="R348" s="7">
        <v>107116.23</v>
      </c>
      <c r="S348" s="7">
        <v>12380.130000000005</v>
      </c>
      <c r="T348" s="7" t="s">
        <v>823</v>
      </c>
      <c r="U348" s="7"/>
    </row>
    <row r="349" spans="1:21" x14ac:dyDescent="0.25">
      <c r="A349" s="7" t="s">
        <v>374</v>
      </c>
      <c r="B349" s="7" t="s">
        <v>804</v>
      </c>
      <c r="C349" s="7">
        <v>45235</v>
      </c>
      <c r="D349" s="7">
        <v>45246</v>
      </c>
      <c r="E349" s="7" t="s">
        <v>13</v>
      </c>
      <c r="F349" s="7" t="s">
        <v>18</v>
      </c>
      <c r="G349" s="7">
        <v>1684</v>
      </c>
      <c r="H349" s="7">
        <v>73.05</v>
      </c>
      <c r="I349" s="7">
        <v>62.53</v>
      </c>
      <c r="J349" s="7"/>
      <c r="K349" s="7" t="s">
        <v>15</v>
      </c>
      <c r="L349" s="7">
        <v>11</v>
      </c>
      <c r="M349" s="7">
        <v>11</v>
      </c>
      <c r="N349" s="7">
        <v>0</v>
      </c>
      <c r="O349" s="7" t="s">
        <v>822</v>
      </c>
      <c r="P349" s="7">
        <v>1</v>
      </c>
      <c r="Q349" s="7">
        <v>123016.2</v>
      </c>
      <c r="R349" s="7">
        <v>105300.52</v>
      </c>
      <c r="S349" s="7">
        <v>17715.679999999993</v>
      </c>
      <c r="T349" s="7" t="s">
        <v>823</v>
      </c>
      <c r="U349" s="7"/>
    </row>
    <row r="350" spans="1:21" x14ac:dyDescent="0.25">
      <c r="A350" s="7" t="s">
        <v>375</v>
      </c>
      <c r="B350" s="7" t="s">
        <v>808</v>
      </c>
      <c r="C350" s="7">
        <v>45159</v>
      </c>
      <c r="D350" s="7">
        <v>45165</v>
      </c>
      <c r="E350" s="7" t="s">
        <v>39</v>
      </c>
      <c r="F350" s="7" t="s">
        <v>18</v>
      </c>
      <c r="G350" s="7">
        <v>312</v>
      </c>
      <c r="H350" s="7">
        <v>63.52</v>
      </c>
      <c r="I350" s="7">
        <v>58.09</v>
      </c>
      <c r="J350" s="7"/>
      <c r="K350" s="7" t="s">
        <v>15</v>
      </c>
      <c r="L350" s="7">
        <v>6</v>
      </c>
      <c r="M350" s="7">
        <v>11</v>
      </c>
      <c r="N350" s="7">
        <v>0</v>
      </c>
      <c r="O350" s="7" t="s">
        <v>822</v>
      </c>
      <c r="P350" s="7">
        <v>1</v>
      </c>
      <c r="Q350" s="7">
        <v>19818.240000000002</v>
      </c>
      <c r="R350" s="7">
        <v>18124.080000000002</v>
      </c>
      <c r="S350" s="7">
        <v>1694.1599999999999</v>
      </c>
      <c r="T350" s="7" t="s">
        <v>823</v>
      </c>
      <c r="U350" s="7"/>
    </row>
    <row r="351" spans="1:21" x14ac:dyDescent="0.25">
      <c r="A351" s="7" t="s">
        <v>376</v>
      </c>
      <c r="B351" s="7" t="s">
        <v>804</v>
      </c>
      <c r="C351" s="7">
        <v>45140</v>
      </c>
      <c r="D351" s="7">
        <v>45159</v>
      </c>
      <c r="E351" s="7" t="s">
        <v>24</v>
      </c>
      <c r="F351" s="7" t="s">
        <v>14</v>
      </c>
      <c r="G351" s="7">
        <v>1837</v>
      </c>
      <c r="H351" s="7">
        <v>99.04</v>
      </c>
      <c r="I351" s="7">
        <v>86.51</v>
      </c>
      <c r="J351" s="7">
        <v>39</v>
      </c>
      <c r="K351" s="7" t="s">
        <v>15</v>
      </c>
      <c r="L351" s="7">
        <v>19</v>
      </c>
      <c r="M351" s="7">
        <v>11</v>
      </c>
      <c r="N351" s="7">
        <v>8</v>
      </c>
      <c r="O351" s="7" t="s">
        <v>824</v>
      </c>
      <c r="P351" s="7">
        <v>0</v>
      </c>
      <c r="Q351" s="7">
        <v>181936.48</v>
      </c>
      <c r="R351" s="7">
        <v>158918.87</v>
      </c>
      <c r="S351" s="7">
        <v>23017.610000000015</v>
      </c>
      <c r="T351" s="7" t="s">
        <v>825</v>
      </c>
      <c r="U351" s="7"/>
    </row>
    <row r="352" spans="1:21" x14ac:dyDescent="0.25">
      <c r="A352" s="7" t="s">
        <v>377</v>
      </c>
      <c r="B352" s="7" t="s">
        <v>807</v>
      </c>
      <c r="C352" s="7">
        <v>45097</v>
      </c>
      <c r="D352" s="7">
        <v>45100</v>
      </c>
      <c r="E352" s="7" t="s">
        <v>21</v>
      </c>
      <c r="F352" s="7" t="s">
        <v>18</v>
      </c>
      <c r="G352" s="7">
        <v>193</v>
      </c>
      <c r="H352" s="7">
        <v>87.86</v>
      </c>
      <c r="I352" s="7">
        <v>81.739999999999995</v>
      </c>
      <c r="J352" s="7">
        <v>21</v>
      </c>
      <c r="K352" s="7" t="s">
        <v>15</v>
      </c>
      <c r="L352" s="7">
        <v>3</v>
      </c>
      <c r="M352" s="7">
        <v>11</v>
      </c>
      <c r="N352" s="7">
        <v>0</v>
      </c>
      <c r="O352" s="7" t="s">
        <v>824</v>
      </c>
      <c r="P352" s="7">
        <v>0</v>
      </c>
      <c r="Q352" s="7">
        <v>16956.98</v>
      </c>
      <c r="R352" s="7">
        <v>15775.82</v>
      </c>
      <c r="S352" s="7">
        <v>1181.1599999999999</v>
      </c>
      <c r="T352" s="7" t="s">
        <v>823</v>
      </c>
      <c r="U352" s="7"/>
    </row>
    <row r="353" spans="1:21" x14ac:dyDescent="0.25">
      <c r="A353" s="7" t="s">
        <v>378</v>
      </c>
      <c r="B353" s="7" t="s">
        <v>807</v>
      </c>
      <c r="C353" s="7">
        <v>44885</v>
      </c>
      <c r="D353" s="7">
        <v>44886</v>
      </c>
      <c r="E353" s="7" t="s">
        <v>39</v>
      </c>
      <c r="F353" s="7" t="s">
        <v>18</v>
      </c>
      <c r="G353" s="7">
        <v>395</v>
      </c>
      <c r="H353" s="7">
        <v>24.83</v>
      </c>
      <c r="I353" s="7">
        <v>23.96</v>
      </c>
      <c r="J353" s="7">
        <v>31</v>
      </c>
      <c r="K353" s="7" t="s">
        <v>15</v>
      </c>
      <c r="L353" s="7">
        <v>1</v>
      </c>
      <c r="M353" s="7">
        <v>11</v>
      </c>
      <c r="N353" s="7">
        <v>0</v>
      </c>
      <c r="O353" s="7" t="s">
        <v>824</v>
      </c>
      <c r="P353" s="7">
        <v>0</v>
      </c>
      <c r="Q353" s="7">
        <v>9807.8499999999985</v>
      </c>
      <c r="R353" s="7">
        <v>9464.2000000000007</v>
      </c>
      <c r="S353" s="7">
        <v>343.64999999999782</v>
      </c>
      <c r="T353" s="7" t="s">
        <v>823</v>
      </c>
      <c r="U353" s="7"/>
    </row>
    <row r="354" spans="1:21" x14ac:dyDescent="0.25">
      <c r="A354" s="7" t="s">
        <v>379</v>
      </c>
      <c r="B354" s="7" t="s">
        <v>808</v>
      </c>
      <c r="C354" s="7">
        <v>44829</v>
      </c>
      <c r="D354" s="7">
        <v>44846</v>
      </c>
      <c r="E354" s="7" t="s">
        <v>39</v>
      </c>
      <c r="F354" s="7" t="s">
        <v>14</v>
      </c>
      <c r="G354" s="7">
        <v>673</v>
      </c>
      <c r="H354" s="7">
        <v>39.58</v>
      </c>
      <c r="I354" s="7">
        <v>35.83</v>
      </c>
      <c r="J354" s="7">
        <v>25</v>
      </c>
      <c r="K354" s="7" t="s">
        <v>15</v>
      </c>
      <c r="L354" s="7">
        <v>17</v>
      </c>
      <c r="M354" s="7">
        <v>11</v>
      </c>
      <c r="N354" s="7">
        <v>6</v>
      </c>
      <c r="O354" s="7" t="s">
        <v>824</v>
      </c>
      <c r="P354" s="7">
        <v>0</v>
      </c>
      <c r="Q354" s="7">
        <v>26637.34</v>
      </c>
      <c r="R354" s="7">
        <v>24113.59</v>
      </c>
      <c r="S354" s="7">
        <v>2523.75</v>
      </c>
      <c r="T354" s="7" t="s">
        <v>825</v>
      </c>
      <c r="U354" s="7"/>
    </row>
    <row r="355" spans="1:21" x14ac:dyDescent="0.25">
      <c r="A355" s="7" t="s">
        <v>380</v>
      </c>
      <c r="B355" s="7" t="s">
        <v>805</v>
      </c>
      <c r="C355" s="7">
        <v>44771</v>
      </c>
      <c r="D355" s="7">
        <v>44785</v>
      </c>
      <c r="E355" s="7" t="s">
        <v>13</v>
      </c>
      <c r="F355" s="7" t="s">
        <v>14</v>
      </c>
      <c r="G355" s="7">
        <v>1066</v>
      </c>
      <c r="H355" s="7">
        <v>33.33</v>
      </c>
      <c r="I355" s="7">
        <v>28.47</v>
      </c>
      <c r="J355" s="7">
        <v>162</v>
      </c>
      <c r="K355" s="7" t="s">
        <v>27</v>
      </c>
      <c r="L355" s="7">
        <v>14</v>
      </c>
      <c r="M355" s="7">
        <v>11</v>
      </c>
      <c r="N355" s="7">
        <v>3</v>
      </c>
      <c r="O355" s="7" t="s">
        <v>824</v>
      </c>
      <c r="P355" s="7">
        <v>0</v>
      </c>
      <c r="Q355" s="7">
        <v>35529.78</v>
      </c>
      <c r="R355" s="7">
        <v>30349.02</v>
      </c>
      <c r="S355" s="7">
        <v>5180.7599999999984</v>
      </c>
      <c r="T355" s="7" t="s">
        <v>826</v>
      </c>
      <c r="U355" s="7"/>
    </row>
    <row r="356" spans="1:21" x14ac:dyDescent="0.25">
      <c r="A356" s="7" t="s">
        <v>381</v>
      </c>
      <c r="B356" s="7" t="s">
        <v>806</v>
      </c>
      <c r="C356" s="7">
        <v>45247</v>
      </c>
      <c r="D356" s="7">
        <v>45253</v>
      </c>
      <c r="E356" s="7" t="s">
        <v>24</v>
      </c>
      <c r="F356" s="7" t="s">
        <v>18</v>
      </c>
      <c r="G356" s="7">
        <v>1645</v>
      </c>
      <c r="H356" s="7">
        <v>85.42</v>
      </c>
      <c r="I356" s="7">
        <v>80.78</v>
      </c>
      <c r="J356" s="7">
        <v>73</v>
      </c>
      <c r="K356" s="7" t="s">
        <v>27</v>
      </c>
      <c r="L356" s="7">
        <v>6</v>
      </c>
      <c r="M356" s="7">
        <v>11</v>
      </c>
      <c r="N356" s="7">
        <v>0</v>
      </c>
      <c r="O356" s="7" t="s">
        <v>824</v>
      </c>
      <c r="P356" s="7">
        <v>0</v>
      </c>
      <c r="Q356" s="7">
        <v>140515.9</v>
      </c>
      <c r="R356" s="7">
        <v>132883.1</v>
      </c>
      <c r="S356" s="7">
        <v>7632.7999999999884</v>
      </c>
      <c r="T356" s="7" t="s">
        <v>823</v>
      </c>
      <c r="U356" s="7"/>
    </row>
    <row r="357" spans="1:21" x14ac:dyDescent="0.25">
      <c r="A357" s="7" t="s">
        <v>382</v>
      </c>
      <c r="B357" s="7" t="s">
        <v>804</v>
      </c>
      <c r="C357" s="7">
        <v>44883</v>
      </c>
      <c r="D357" s="7">
        <v>44894</v>
      </c>
      <c r="E357" s="7" t="s">
        <v>39</v>
      </c>
      <c r="F357" s="7" t="s">
        <v>18</v>
      </c>
      <c r="G357" s="7">
        <v>930</v>
      </c>
      <c r="H357" s="7">
        <v>13.67</v>
      </c>
      <c r="I357" s="7">
        <v>11.95</v>
      </c>
      <c r="J357" s="7">
        <v>16</v>
      </c>
      <c r="K357" s="7" t="s">
        <v>15</v>
      </c>
      <c r="L357" s="7">
        <v>11</v>
      </c>
      <c r="M357" s="7">
        <v>11</v>
      </c>
      <c r="N357" s="7">
        <v>0</v>
      </c>
      <c r="O357" s="7" t="s">
        <v>824</v>
      </c>
      <c r="P357" s="7">
        <v>0</v>
      </c>
      <c r="Q357" s="7">
        <v>12713.1</v>
      </c>
      <c r="R357" s="7">
        <v>11113.5</v>
      </c>
      <c r="S357" s="7">
        <v>1599.6000000000004</v>
      </c>
      <c r="T357" s="7" t="s">
        <v>823</v>
      </c>
      <c r="U357" s="7"/>
    </row>
    <row r="358" spans="1:21" x14ac:dyDescent="0.25">
      <c r="A358" s="7" t="s">
        <v>383</v>
      </c>
      <c r="B358" s="7" t="s">
        <v>804</v>
      </c>
      <c r="C358" s="7">
        <v>44806</v>
      </c>
      <c r="D358" s="7">
        <v>44825</v>
      </c>
      <c r="E358" s="7" t="s">
        <v>13</v>
      </c>
      <c r="F358" s="7" t="s">
        <v>18</v>
      </c>
      <c r="G358" s="7">
        <v>51</v>
      </c>
      <c r="H358" s="7">
        <v>63.74</v>
      </c>
      <c r="I358" s="7">
        <v>56.1</v>
      </c>
      <c r="J358" s="7">
        <v>0</v>
      </c>
      <c r="K358" s="7" t="s">
        <v>15</v>
      </c>
      <c r="L358" s="7">
        <v>19</v>
      </c>
      <c r="M358" s="7">
        <v>11</v>
      </c>
      <c r="N358" s="7">
        <v>8</v>
      </c>
      <c r="O358" s="7" t="s">
        <v>824</v>
      </c>
      <c r="P358" s="7">
        <v>0</v>
      </c>
      <c r="Q358" s="7">
        <v>3250.7400000000002</v>
      </c>
      <c r="R358" s="7">
        <v>2861.1</v>
      </c>
      <c r="S358" s="7">
        <v>389.64000000000033</v>
      </c>
      <c r="T358" s="7" t="s">
        <v>825</v>
      </c>
      <c r="U358" s="7"/>
    </row>
    <row r="359" spans="1:21" x14ac:dyDescent="0.25">
      <c r="A359" s="7" t="s">
        <v>384</v>
      </c>
      <c r="B359" s="7" t="s">
        <v>806</v>
      </c>
      <c r="C359" s="7">
        <v>44833</v>
      </c>
      <c r="D359" s="7">
        <v>44835</v>
      </c>
      <c r="E359" s="7" t="s">
        <v>24</v>
      </c>
      <c r="F359" s="7" t="s">
        <v>18</v>
      </c>
      <c r="G359" s="7">
        <v>946</v>
      </c>
      <c r="H359" s="7">
        <v>81.77</v>
      </c>
      <c r="I359" s="7">
        <v>71.650000000000006</v>
      </c>
      <c r="J359" s="7">
        <v>55</v>
      </c>
      <c r="K359" s="7" t="s">
        <v>15</v>
      </c>
      <c r="L359" s="7">
        <v>2</v>
      </c>
      <c r="M359" s="7">
        <v>11</v>
      </c>
      <c r="N359" s="7">
        <v>0</v>
      </c>
      <c r="O359" s="7" t="s">
        <v>824</v>
      </c>
      <c r="P359" s="7">
        <v>0</v>
      </c>
      <c r="Q359" s="7">
        <v>77354.42</v>
      </c>
      <c r="R359" s="7">
        <v>67780.900000000009</v>
      </c>
      <c r="S359" s="7">
        <v>9573.5199999999895</v>
      </c>
      <c r="T359" s="7" t="s">
        <v>823</v>
      </c>
      <c r="U359" s="7"/>
    </row>
    <row r="360" spans="1:21" x14ac:dyDescent="0.25">
      <c r="A360" s="7" t="s">
        <v>385</v>
      </c>
      <c r="B360" s="7" t="s">
        <v>808</v>
      </c>
      <c r="C360" s="7">
        <v>44967</v>
      </c>
      <c r="D360" s="7">
        <v>44987</v>
      </c>
      <c r="E360" s="7" t="s">
        <v>26</v>
      </c>
      <c r="F360" s="7" t="s">
        <v>33</v>
      </c>
      <c r="G360" s="7">
        <v>1377</v>
      </c>
      <c r="H360" s="7">
        <v>94.69</v>
      </c>
      <c r="I360" s="7">
        <v>84.2</v>
      </c>
      <c r="J360" s="7"/>
      <c r="K360" s="7" t="s">
        <v>15</v>
      </c>
      <c r="L360" s="7">
        <v>20</v>
      </c>
      <c r="M360" s="7">
        <v>11</v>
      </c>
      <c r="N360" s="7">
        <v>9</v>
      </c>
      <c r="O360" s="7" t="s">
        <v>824</v>
      </c>
      <c r="P360" s="7">
        <v>0</v>
      </c>
      <c r="Q360" s="7">
        <v>130388.12999999999</v>
      </c>
      <c r="R360" s="7">
        <v>115943.40000000001</v>
      </c>
      <c r="S360" s="7">
        <v>14444.729999999981</v>
      </c>
      <c r="T360" s="7" t="s">
        <v>825</v>
      </c>
      <c r="U360" s="7"/>
    </row>
    <row r="361" spans="1:21" x14ac:dyDescent="0.25">
      <c r="A361" s="7" t="s">
        <v>386</v>
      </c>
      <c r="B361" s="7" t="s">
        <v>808</v>
      </c>
      <c r="C361" s="7">
        <v>44696</v>
      </c>
      <c r="D361" s="7">
        <v>44699</v>
      </c>
      <c r="E361" s="7" t="s">
        <v>24</v>
      </c>
      <c r="F361" s="7" t="s">
        <v>14</v>
      </c>
      <c r="G361" s="7">
        <v>303</v>
      </c>
      <c r="H361" s="7">
        <v>41.6</v>
      </c>
      <c r="I361" s="7">
        <v>40.51</v>
      </c>
      <c r="J361" s="7">
        <v>11</v>
      </c>
      <c r="K361" s="7" t="s">
        <v>15</v>
      </c>
      <c r="L361" s="7">
        <v>3</v>
      </c>
      <c r="M361" s="7">
        <v>11</v>
      </c>
      <c r="N361" s="7">
        <v>0</v>
      </c>
      <c r="O361" s="7" t="s">
        <v>824</v>
      </c>
      <c r="P361" s="7">
        <v>0</v>
      </c>
      <c r="Q361" s="7">
        <v>12604.800000000001</v>
      </c>
      <c r="R361" s="7">
        <v>12274.529999999999</v>
      </c>
      <c r="S361" s="7">
        <v>330.27000000000226</v>
      </c>
      <c r="T361" s="7" t="s">
        <v>823</v>
      </c>
      <c r="U361" s="7"/>
    </row>
    <row r="362" spans="1:21" x14ac:dyDescent="0.25">
      <c r="A362" s="7" t="s">
        <v>387</v>
      </c>
      <c r="B362" s="7" t="s">
        <v>804</v>
      </c>
      <c r="C362" s="7">
        <v>45249</v>
      </c>
      <c r="D362" s="7">
        <v>45263</v>
      </c>
      <c r="E362" s="7" t="s">
        <v>26</v>
      </c>
      <c r="F362" s="7" t="s">
        <v>18</v>
      </c>
      <c r="G362" s="7">
        <v>1725</v>
      </c>
      <c r="H362" s="7">
        <v>93.14</v>
      </c>
      <c r="I362" s="7">
        <v>79.62</v>
      </c>
      <c r="J362" s="7">
        <v>24</v>
      </c>
      <c r="K362" s="7" t="s">
        <v>15</v>
      </c>
      <c r="L362" s="7">
        <v>14</v>
      </c>
      <c r="M362" s="7">
        <v>11</v>
      </c>
      <c r="N362" s="7">
        <v>3</v>
      </c>
      <c r="O362" s="7" t="s">
        <v>824</v>
      </c>
      <c r="P362" s="7">
        <v>0</v>
      </c>
      <c r="Q362" s="7">
        <v>160666.5</v>
      </c>
      <c r="R362" s="7">
        <v>137344.5</v>
      </c>
      <c r="S362" s="7">
        <v>23322</v>
      </c>
      <c r="T362" s="7" t="s">
        <v>826</v>
      </c>
      <c r="U362" s="7"/>
    </row>
    <row r="363" spans="1:21" x14ac:dyDescent="0.25">
      <c r="A363" s="7" t="s">
        <v>388</v>
      </c>
      <c r="B363" s="7" t="s">
        <v>807</v>
      </c>
      <c r="C363" s="7">
        <v>45222</v>
      </c>
      <c r="D363" s="7">
        <v>45237</v>
      </c>
      <c r="E363" s="7" t="s">
        <v>26</v>
      </c>
      <c r="F363" s="7" t="s">
        <v>14</v>
      </c>
      <c r="G363" s="7">
        <v>502</v>
      </c>
      <c r="H363" s="7">
        <v>22.05</v>
      </c>
      <c r="I363" s="7">
        <v>20.65</v>
      </c>
      <c r="J363" s="7">
        <v>50</v>
      </c>
      <c r="K363" s="7" t="s">
        <v>27</v>
      </c>
      <c r="L363" s="7">
        <v>15</v>
      </c>
      <c r="M363" s="7">
        <v>11</v>
      </c>
      <c r="N363" s="7">
        <v>4</v>
      </c>
      <c r="O363" s="7" t="s">
        <v>824</v>
      </c>
      <c r="P363" s="7">
        <v>0</v>
      </c>
      <c r="Q363" s="7">
        <v>11069.1</v>
      </c>
      <c r="R363" s="7">
        <v>10366.299999999999</v>
      </c>
      <c r="S363" s="7">
        <v>702.80000000000109</v>
      </c>
      <c r="T363" s="7" t="s">
        <v>826</v>
      </c>
      <c r="U363" s="7"/>
    </row>
    <row r="364" spans="1:21" x14ac:dyDescent="0.25">
      <c r="A364" s="7" t="s">
        <v>389</v>
      </c>
      <c r="B364" s="7" t="s">
        <v>806</v>
      </c>
      <c r="C364" s="7">
        <v>44869</v>
      </c>
      <c r="D364" s="7">
        <v>44876</v>
      </c>
      <c r="E364" s="7" t="s">
        <v>24</v>
      </c>
      <c r="F364" s="7" t="s">
        <v>18</v>
      </c>
      <c r="G364" s="7">
        <v>1110</v>
      </c>
      <c r="H364" s="7">
        <v>90.49</v>
      </c>
      <c r="I364" s="7">
        <v>80.03</v>
      </c>
      <c r="J364" s="7">
        <v>61</v>
      </c>
      <c r="K364" s="7" t="s">
        <v>15</v>
      </c>
      <c r="L364" s="7">
        <v>7</v>
      </c>
      <c r="M364" s="7">
        <v>11</v>
      </c>
      <c r="N364" s="7">
        <v>0</v>
      </c>
      <c r="O364" s="7" t="s">
        <v>824</v>
      </c>
      <c r="P364" s="7">
        <v>0</v>
      </c>
      <c r="Q364" s="7">
        <v>100443.9</v>
      </c>
      <c r="R364" s="7">
        <v>88833.3</v>
      </c>
      <c r="S364" s="7">
        <v>11610.599999999991</v>
      </c>
      <c r="T364" s="7" t="s">
        <v>823</v>
      </c>
      <c r="U364" s="7"/>
    </row>
    <row r="365" spans="1:21" x14ac:dyDescent="0.25">
      <c r="A365" s="7" t="s">
        <v>390</v>
      </c>
      <c r="B365" s="7" t="s">
        <v>804</v>
      </c>
      <c r="C365" s="7">
        <v>45030</v>
      </c>
      <c r="D365" s="7">
        <v>45034</v>
      </c>
      <c r="E365" s="7" t="s">
        <v>24</v>
      </c>
      <c r="F365" s="7" t="s">
        <v>18</v>
      </c>
      <c r="G365" s="7">
        <v>1233</v>
      </c>
      <c r="H365" s="7">
        <v>23.08</v>
      </c>
      <c r="I365" s="7">
        <v>20.57</v>
      </c>
      <c r="J365" s="7"/>
      <c r="K365" s="7" t="s">
        <v>15</v>
      </c>
      <c r="L365" s="7">
        <v>4</v>
      </c>
      <c r="M365" s="7">
        <v>11</v>
      </c>
      <c r="N365" s="7">
        <v>0</v>
      </c>
      <c r="O365" s="7" t="s">
        <v>822</v>
      </c>
      <c r="P365" s="7">
        <v>1</v>
      </c>
      <c r="Q365" s="7">
        <v>28457.64</v>
      </c>
      <c r="R365" s="7">
        <v>25362.81</v>
      </c>
      <c r="S365" s="7">
        <v>3094.8299999999981</v>
      </c>
      <c r="T365" s="7" t="s">
        <v>823</v>
      </c>
      <c r="U365" s="7"/>
    </row>
    <row r="366" spans="1:21" x14ac:dyDescent="0.25">
      <c r="A366" s="7" t="s">
        <v>391</v>
      </c>
      <c r="B366" s="7" t="s">
        <v>807</v>
      </c>
      <c r="C366" s="7">
        <v>44885</v>
      </c>
      <c r="D366" s="7">
        <v>44889</v>
      </c>
      <c r="E366" s="7" t="s">
        <v>13</v>
      </c>
      <c r="F366" s="7" t="s">
        <v>18</v>
      </c>
      <c r="G366" s="7">
        <v>1064</v>
      </c>
      <c r="H366" s="7">
        <v>48.04</v>
      </c>
      <c r="I366" s="7">
        <v>43.6</v>
      </c>
      <c r="J366" s="7">
        <v>94</v>
      </c>
      <c r="K366" s="7" t="s">
        <v>15</v>
      </c>
      <c r="L366" s="7">
        <v>4</v>
      </c>
      <c r="M366" s="7">
        <v>11</v>
      </c>
      <c r="N366" s="7">
        <v>0</v>
      </c>
      <c r="O366" s="7" t="s">
        <v>824</v>
      </c>
      <c r="P366" s="7">
        <v>0</v>
      </c>
      <c r="Q366" s="7">
        <v>51114.559999999998</v>
      </c>
      <c r="R366" s="7">
        <v>46390.400000000001</v>
      </c>
      <c r="S366" s="7">
        <v>4724.1599999999962</v>
      </c>
      <c r="T366" s="7" t="s">
        <v>823</v>
      </c>
      <c r="U366" s="7"/>
    </row>
    <row r="367" spans="1:21" x14ac:dyDescent="0.25">
      <c r="A367" s="7" t="s">
        <v>392</v>
      </c>
      <c r="B367" s="7" t="s">
        <v>808</v>
      </c>
      <c r="C367" s="7">
        <v>44636</v>
      </c>
      <c r="D367" s="7">
        <v>44655</v>
      </c>
      <c r="E367" s="7" t="s">
        <v>24</v>
      </c>
      <c r="F367" s="7" t="s">
        <v>33</v>
      </c>
      <c r="G367" s="7">
        <v>58</v>
      </c>
      <c r="H367" s="7">
        <v>82.57</v>
      </c>
      <c r="I367" s="7">
        <v>76.55</v>
      </c>
      <c r="J367" s="7"/>
      <c r="K367" s="7" t="s">
        <v>15</v>
      </c>
      <c r="L367" s="7">
        <v>19</v>
      </c>
      <c r="M367" s="7">
        <v>11</v>
      </c>
      <c r="N367" s="7">
        <v>8</v>
      </c>
      <c r="O367" s="7" t="s">
        <v>824</v>
      </c>
      <c r="P367" s="7">
        <v>0</v>
      </c>
      <c r="Q367" s="7">
        <v>4789.0599999999995</v>
      </c>
      <c r="R367" s="7">
        <v>4439.8999999999996</v>
      </c>
      <c r="S367" s="7">
        <v>349.15999999999985</v>
      </c>
      <c r="T367" s="7" t="s">
        <v>825</v>
      </c>
      <c r="U367" s="7"/>
    </row>
    <row r="368" spans="1:21" x14ac:dyDescent="0.25">
      <c r="A368" s="7" t="s">
        <v>393</v>
      </c>
      <c r="B368" s="7" t="s">
        <v>807</v>
      </c>
      <c r="C368" s="7">
        <v>44571</v>
      </c>
      <c r="D368" s="7">
        <v>44581</v>
      </c>
      <c r="E368" s="7" t="s">
        <v>21</v>
      </c>
      <c r="F368" s="7" t="s">
        <v>18</v>
      </c>
      <c r="G368" s="7">
        <v>1306</v>
      </c>
      <c r="H368" s="7">
        <v>23.49</v>
      </c>
      <c r="I368" s="7">
        <v>20.170000000000002</v>
      </c>
      <c r="J368" s="7">
        <v>116</v>
      </c>
      <c r="K368" s="7" t="s">
        <v>27</v>
      </c>
      <c r="L368" s="7">
        <v>10</v>
      </c>
      <c r="M368" s="7">
        <v>11</v>
      </c>
      <c r="N368" s="7">
        <v>0</v>
      </c>
      <c r="O368" s="7" t="s">
        <v>824</v>
      </c>
      <c r="P368" s="7">
        <v>0</v>
      </c>
      <c r="Q368" s="7">
        <v>30677.94</v>
      </c>
      <c r="R368" s="7">
        <v>26342.02</v>
      </c>
      <c r="S368" s="7">
        <v>4335.9199999999983</v>
      </c>
      <c r="T368" s="7" t="s">
        <v>823</v>
      </c>
      <c r="U368" s="7"/>
    </row>
    <row r="369" spans="1:21" x14ac:dyDescent="0.25">
      <c r="A369" s="7" t="s">
        <v>394</v>
      </c>
      <c r="B369" s="7" t="s">
        <v>805</v>
      </c>
      <c r="C369" s="7">
        <v>45031</v>
      </c>
      <c r="D369" s="7">
        <v>45044</v>
      </c>
      <c r="E369" s="7" t="s">
        <v>39</v>
      </c>
      <c r="F369" s="7" t="s">
        <v>18</v>
      </c>
      <c r="G369" s="7">
        <v>1172</v>
      </c>
      <c r="H369" s="7">
        <v>32.93</v>
      </c>
      <c r="I369" s="7">
        <v>29.28</v>
      </c>
      <c r="J369" s="7"/>
      <c r="K369" s="7" t="s">
        <v>27</v>
      </c>
      <c r="L369" s="7">
        <v>13</v>
      </c>
      <c r="M369" s="7">
        <v>11</v>
      </c>
      <c r="N369" s="7">
        <v>2</v>
      </c>
      <c r="O369" s="7" t="s">
        <v>824</v>
      </c>
      <c r="P369" s="7">
        <v>0</v>
      </c>
      <c r="Q369" s="7">
        <v>38593.96</v>
      </c>
      <c r="R369" s="7">
        <v>34316.160000000003</v>
      </c>
      <c r="S369" s="7">
        <v>4277.7999999999956</v>
      </c>
      <c r="T369" s="7" t="s">
        <v>826</v>
      </c>
      <c r="U369" s="7"/>
    </row>
    <row r="370" spans="1:21" x14ac:dyDescent="0.25">
      <c r="A370" s="7" t="s">
        <v>395</v>
      </c>
      <c r="B370" s="7" t="s">
        <v>804</v>
      </c>
      <c r="C370" s="7">
        <v>45198</v>
      </c>
      <c r="D370" s="7">
        <v>45209</v>
      </c>
      <c r="E370" s="7" t="s">
        <v>24</v>
      </c>
      <c r="F370" s="7" t="s">
        <v>18</v>
      </c>
      <c r="G370" s="7">
        <v>1732</v>
      </c>
      <c r="H370" s="7">
        <v>82.5</v>
      </c>
      <c r="I370" s="7">
        <v>71.709999999999994</v>
      </c>
      <c r="J370" s="7">
        <v>24</v>
      </c>
      <c r="K370" s="7" t="s">
        <v>15</v>
      </c>
      <c r="L370" s="7">
        <v>11</v>
      </c>
      <c r="M370" s="7">
        <v>11</v>
      </c>
      <c r="N370" s="7">
        <v>0</v>
      </c>
      <c r="O370" s="7" t="s">
        <v>824</v>
      </c>
      <c r="P370" s="7">
        <v>0</v>
      </c>
      <c r="Q370" s="7">
        <v>142890</v>
      </c>
      <c r="R370" s="7">
        <v>124201.71999999999</v>
      </c>
      <c r="S370" s="7">
        <v>18688.280000000013</v>
      </c>
      <c r="T370" s="7" t="s">
        <v>823</v>
      </c>
      <c r="U370" s="7"/>
    </row>
    <row r="371" spans="1:21" x14ac:dyDescent="0.25">
      <c r="A371" s="7" t="s">
        <v>396</v>
      </c>
      <c r="B371" s="7" t="s">
        <v>806</v>
      </c>
      <c r="C371" s="7">
        <v>45138</v>
      </c>
      <c r="D371" s="7">
        <v>45145</v>
      </c>
      <c r="E371" s="7" t="s">
        <v>26</v>
      </c>
      <c r="F371" s="7" t="s">
        <v>18</v>
      </c>
      <c r="G371" s="7">
        <v>865</v>
      </c>
      <c r="H371" s="7">
        <v>81.540000000000006</v>
      </c>
      <c r="I371" s="7">
        <v>71.59</v>
      </c>
      <c r="J371" s="7">
        <v>39</v>
      </c>
      <c r="K371" s="7" t="s">
        <v>15</v>
      </c>
      <c r="L371" s="7">
        <v>7</v>
      </c>
      <c r="M371" s="7">
        <v>11</v>
      </c>
      <c r="N371" s="7">
        <v>0</v>
      </c>
      <c r="O371" s="7" t="s">
        <v>824</v>
      </c>
      <c r="P371" s="7">
        <v>0</v>
      </c>
      <c r="Q371" s="7">
        <v>70532.100000000006</v>
      </c>
      <c r="R371" s="7">
        <v>61925.350000000006</v>
      </c>
      <c r="S371" s="7">
        <v>8606.75</v>
      </c>
      <c r="T371" s="7" t="s">
        <v>823</v>
      </c>
      <c r="U371" s="7"/>
    </row>
    <row r="372" spans="1:21" x14ac:dyDescent="0.25">
      <c r="A372" s="7" t="s">
        <v>397</v>
      </c>
      <c r="B372" s="7" t="s">
        <v>807</v>
      </c>
      <c r="C372" s="7">
        <v>44664</v>
      </c>
      <c r="D372" s="7">
        <v>44671</v>
      </c>
      <c r="E372" s="7" t="s">
        <v>26</v>
      </c>
      <c r="F372" s="7" t="s">
        <v>18</v>
      </c>
      <c r="G372" s="7">
        <v>257</v>
      </c>
      <c r="H372" s="7">
        <v>68.72</v>
      </c>
      <c r="I372" s="7">
        <v>66.92</v>
      </c>
      <c r="J372" s="7">
        <v>22</v>
      </c>
      <c r="K372" s="7" t="s">
        <v>15</v>
      </c>
      <c r="L372" s="7">
        <v>7</v>
      </c>
      <c r="M372" s="7">
        <v>11</v>
      </c>
      <c r="N372" s="7">
        <v>0</v>
      </c>
      <c r="O372" s="7" t="s">
        <v>824</v>
      </c>
      <c r="P372" s="7">
        <v>0</v>
      </c>
      <c r="Q372" s="7">
        <v>17661.04</v>
      </c>
      <c r="R372" s="7">
        <v>17198.439999999999</v>
      </c>
      <c r="S372" s="7">
        <v>462.60000000000218</v>
      </c>
      <c r="T372" s="7" t="s">
        <v>823</v>
      </c>
      <c r="U372" s="7"/>
    </row>
    <row r="373" spans="1:21" x14ac:dyDescent="0.25">
      <c r="A373" s="7" t="s">
        <v>398</v>
      </c>
      <c r="B373" s="7" t="s">
        <v>808</v>
      </c>
      <c r="C373" s="7">
        <v>44637</v>
      </c>
      <c r="D373" s="7">
        <v>44646</v>
      </c>
      <c r="E373" s="7" t="s">
        <v>24</v>
      </c>
      <c r="F373" s="7" t="s">
        <v>18</v>
      </c>
      <c r="G373" s="7">
        <v>1204</v>
      </c>
      <c r="H373" s="7">
        <v>73.180000000000007</v>
      </c>
      <c r="I373" s="7">
        <v>67.59</v>
      </c>
      <c r="J373" s="7">
        <v>31</v>
      </c>
      <c r="K373" s="7" t="s">
        <v>15</v>
      </c>
      <c r="L373" s="7">
        <v>9</v>
      </c>
      <c r="M373" s="7">
        <v>11</v>
      </c>
      <c r="N373" s="7">
        <v>0</v>
      </c>
      <c r="O373" s="7" t="s">
        <v>824</v>
      </c>
      <c r="P373" s="7">
        <v>0</v>
      </c>
      <c r="Q373" s="7">
        <v>88108.72</v>
      </c>
      <c r="R373" s="7">
        <v>81378.36</v>
      </c>
      <c r="S373" s="7">
        <v>6730.3600000000006</v>
      </c>
      <c r="T373" s="7" t="s">
        <v>823</v>
      </c>
      <c r="U373" s="7"/>
    </row>
    <row r="374" spans="1:21" x14ac:dyDescent="0.25">
      <c r="A374" s="7" t="s">
        <v>399</v>
      </c>
      <c r="B374" s="7" t="s">
        <v>807</v>
      </c>
      <c r="C374" s="7">
        <v>45112</v>
      </c>
      <c r="D374" s="7">
        <v>45116</v>
      </c>
      <c r="E374" s="7" t="s">
        <v>39</v>
      </c>
      <c r="F374" s="7" t="s">
        <v>33</v>
      </c>
      <c r="G374" s="7">
        <v>453</v>
      </c>
      <c r="H374" s="7">
        <v>64.14</v>
      </c>
      <c r="I374" s="7">
        <v>60.18</v>
      </c>
      <c r="J374" s="7">
        <v>51</v>
      </c>
      <c r="K374" s="7" t="s">
        <v>15</v>
      </c>
      <c r="L374" s="7">
        <v>4</v>
      </c>
      <c r="M374" s="7">
        <v>11</v>
      </c>
      <c r="N374" s="7">
        <v>0</v>
      </c>
      <c r="O374" s="7" t="s">
        <v>824</v>
      </c>
      <c r="P374" s="7">
        <v>0</v>
      </c>
      <c r="Q374" s="7">
        <v>29055.420000000002</v>
      </c>
      <c r="R374" s="7">
        <v>27261.54</v>
      </c>
      <c r="S374" s="7">
        <v>1793.880000000001</v>
      </c>
      <c r="T374" s="7" t="s">
        <v>823</v>
      </c>
      <c r="U374" s="7"/>
    </row>
    <row r="375" spans="1:21" x14ac:dyDescent="0.25">
      <c r="A375" s="7" t="s">
        <v>400</v>
      </c>
      <c r="B375" s="7" t="s">
        <v>808</v>
      </c>
      <c r="C375" s="7">
        <v>44780</v>
      </c>
      <c r="D375" s="7">
        <v>44794</v>
      </c>
      <c r="E375" s="7" t="s">
        <v>39</v>
      </c>
      <c r="F375" s="7" t="s">
        <v>18</v>
      </c>
      <c r="G375" s="7">
        <v>201</v>
      </c>
      <c r="H375" s="7">
        <v>33.81</v>
      </c>
      <c r="I375" s="7">
        <v>32.54</v>
      </c>
      <c r="J375" s="7">
        <v>3</v>
      </c>
      <c r="K375" s="7" t="s">
        <v>15</v>
      </c>
      <c r="L375" s="7">
        <v>14</v>
      </c>
      <c r="M375" s="7">
        <v>11</v>
      </c>
      <c r="N375" s="7">
        <v>3</v>
      </c>
      <c r="O375" s="7" t="s">
        <v>824</v>
      </c>
      <c r="P375" s="7">
        <v>0</v>
      </c>
      <c r="Q375" s="7">
        <v>6795.81</v>
      </c>
      <c r="R375" s="7">
        <v>6540.54</v>
      </c>
      <c r="S375" s="7">
        <v>255.27000000000044</v>
      </c>
      <c r="T375" s="7" t="s">
        <v>826</v>
      </c>
      <c r="U375" s="7"/>
    </row>
    <row r="376" spans="1:21" x14ac:dyDescent="0.25">
      <c r="A376" s="7" t="s">
        <v>401</v>
      </c>
      <c r="B376" s="7" t="s">
        <v>805</v>
      </c>
      <c r="C376" s="7">
        <v>45080</v>
      </c>
      <c r="D376" s="7">
        <v>45093</v>
      </c>
      <c r="E376" s="7" t="s">
        <v>13</v>
      </c>
      <c r="F376" s="7" t="s">
        <v>18</v>
      </c>
      <c r="G376" s="7">
        <v>103</v>
      </c>
      <c r="H376" s="7">
        <v>44.61</v>
      </c>
      <c r="I376" s="7">
        <v>42.88</v>
      </c>
      <c r="J376" s="7">
        <v>10</v>
      </c>
      <c r="K376" s="7" t="s">
        <v>15</v>
      </c>
      <c r="L376" s="7">
        <v>13</v>
      </c>
      <c r="M376" s="7">
        <v>11</v>
      </c>
      <c r="N376" s="7">
        <v>2</v>
      </c>
      <c r="O376" s="7" t="s">
        <v>824</v>
      </c>
      <c r="P376" s="7">
        <v>0</v>
      </c>
      <c r="Q376" s="7">
        <v>4594.83</v>
      </c>
      <c r="R376" s="7">
        <v>4416.6400000000003</v>
      </c>
      <c r="S376" s="7">
        <v>178.1899999999996</v>
      </c>
      <c r="T376" s="7" t="s">
        <v>826</v>
      </c>
      <c r="U376" s="7"/>
    </row>
    <row r="377" spans="1:21" x14ac:dyDescent="0.25">
      <c r="A377" s="7" t="s">
        <v>402</v>
      </c>
      <c r="B377" s="7" t="s">
        <v>808</v>
      </c>
      <c r="C377" s="7">
        <v>44833</v>
      </c>
      <c r="D377" s="7">
        <v>44841</v>
      </c>
      <c r="E377" s="7" t="s">
        <v>13</v>
      </c>
      <c r="F377" s="7" t="s">
        <v>18</v>
      </c>
      <c r="G377" s="7">
        <v>1193</v>
      </c>
      <c r="H377" s="7">
        <v>27.4</v>
      </c>
      <c r="I377" s="7">
        <v>27.09</v>
      </c>
      <c r="J377" s="7"/>
      <c r="K377" s="7" t="s">
        <v>15</v>
      </c>
      <c r="L377" s="7">
        <v>8</v>
      </c>
      <c r="M377" s="7">
        <v>11</v>
      </c>
      <c r="N377" s="7">
        <v>0</v>
      </c>
      <c r="O377" s="7" t="s">
        <v>822</v>
      </c>
      <c r="P377" s="7">
        <v>1</v>
      </c>
      <c r="Q377" s="7">
        <v>32688.199999999997</v>
      </c>
      <c r="R377" s="7">
        <v>32318.37</v>
      </c>
      <c r="S377" s="7">
        <v>369.82999999999811</v>
      </c>
      <c r="T377" s="7" t="s">
        <v>823</v>
      </c>
      <c r="U377" s="7"/>
    </row>
    <row r="378" spans="1:21" x14ac:dyDescent="0.25">
      <c r="A378" s="7" t="s">
        <v>403</v>
      </c>
      <c r="B378" s="7" t="s">
        <v>806</v>
      </c>
      <c r="C378" s="7">
        <v>44697</v>
      </c>
      <c r="D378" s="7">
        <v>44709</v>
      </c>
      <c r="E378" s="7" t="s">
        <v>13</v>
      </c>
      <c r="F378" s="7" t="s">
        <v>33</v>
      </c>
      <c r="G378" s="7">
        <v>1746</v>
      </c>
      <c r="H378" s="7">
        <v>93.6</v>
      </c>
      <c r="I378" s="7">
        <v>89.81</v>
      </c>
      <c r="J378" s="7">
        <v>85</v>
      </c>
      <c r="K378" s="7" t="s">
        <v>15</v>
      </c>
      <c r="L378" s="7">
        <v>12</v>
      </c>
      <c r="M378" s="7">
        <v>11</v>
      </c>
      <c r="N378" s="7">
        <v>1</v>
      </c>
      <c r="O378" s="7" t="s">
        <v>824</v>
      </c>
      <c r="P378" s="7">
        <v>0</v>
      </c>
      <c r="Q378" s="7">
        <v>163425.59999999998</v>
      </c>
      <c r="R378" s="7">
        <v>156808.26</v>
      </c>
      <c r="S378" s="7">
        <v>6617.3399999999674</v>
      </c>
      <c r="T378" s="7" t="s">
        <v>826</v>
      </c>
      <c r="U378" s="7"/>
    </row>
    <row r="379" spans="1:21" x14ac:dyDescent="0.25">
      <c r="A379" s="7" t="s">
        <v>404</v>
      </c>
      <c r="B379" s="7" t="s">
        <v>805</v>
      </c>
      <c r="C379" s="7">
        <v>44919</v>
      </c>
      <c r="D379" s="7">
        <v>44921</v>
      </c>
      <c r="E379" s="7" t="s">
        <v>39</v>
      </c>
      <c r="F379" s="7" t="s">
        <v>18</v>
      </c>
      <c r="G379" s="7">
        <v>1993</v>
      </c>
      <c r="H379" s="7">
        <v>65.94</v>
      </c>
      <c r="I379" s="7">
        <v>59.36</v>
      </c>
      <c r="J379" s="7"/>
      <c r="K379" s="7" t="s">
        <v>15</v>
      </c>
      <c r="L379" s="7">
        <v>2</v>
      </c>
      <c r="M379" s="7">
        <v>11</v>
      </c>
      <c r="N379" s="7">
        <v>0</v>
      </c>
      <c r="O379" s="7" t="s">
        <v>822</v>
      </c>
      <c r="P379" s="7">
        <v>1</v>
      </c>
      <c r="Q379" s="7">
        <v>131418.41999999998</v>
      </c>
      <c r="R379" s="7">
        <v>118304.48</v>
      </c>
      <c r="S379" s="7">
        <v>13113.939999999988</v>
      </c>
      <c r="T379" s="7" t="s">
        <v>823</v>
      </c>
      <c r="U379" s="7"/>
    </row>
    <row r="380" spans="1:21" x14ac:dyDescent="0.25">
      <c r="A380" s="7" t="s">
        <v>405</v>
      </c>
      <c r="B380" s="7" t="s">
        <v>807</v>
      </c>
      <c r="C380" s="7">
        <v>44632</v>
      </c>
      <c r="D380" s="7">
        <v>44647</v>
      </c>
      <c r="E380" s="7" t="s">
        <v>26</v>
      </c>
      <c r="F380" s="7" t="s">
        <v>18</v>
      </c>
      <c r="G380" s="7">
        <v>677</v>
      </c>
      <c r="H380" s="7">
        <v>46.54</v>
      </c>
      <c r="I380" s="7">
        <v>43.11</v>
      </c>
      <c r="J380" s="7"/>
      <c r="K380" s="7" t="s">
        <v>27</v>
      </c>
      <c r="L380" s="7">
        <v>15</v>
      </c>
      <c r="M380" s="7">
        <v>11</v>
      </c>
      <c r="N380" s="7">
        <v>4</v>
      </c>
      <c r="O380" s="7" t="s">
        <v>824</v>
      </c>
      <c r="P380" s="7">
        <v>0</v>
      </c>
      <c r="Q380" s="7">
        <v>31507.579999999998</v>
      </c>
      <c r="R380" s="7">
        <v>29185.47</v>
      </c>
      <c r="S380" s="7">
        <v>2322.1099999999969</v>
      </c>
      <c r="T380" s="7" t="s">
        <v>826</v>
      </c>
      <c r="U380" s="7"/>
    </row>
    <row r="381" spans="1:21" x14ac:dyDescent="0.25">
      <c r="A381" s="7" t="s">
        <v>406</v>
      </c>
      <c r="B381" s="7" t="s">
        <v>804</v>
      </c>
      <c r="C381" s="7">
        <v>44812</v>
      </c>
      <c r="D381" s="7">
        <v>44823</v>
      </c>
      <c r="E381" s="7" t="s">
        <v>13</v>
      </c>
      <c r="F381" s="7" t="s">
        <v>35</v>
      </c>
      <c r="G381" s="7">
        <v>636</v>
      </c>
      <c r="H381" s="7">
        <v>53.64</v>
      </c>
      <c r="I381" s="7">
        <v>49.23</v>
      </c>
      <c r="J381" s="7">
        <v>18</v>
      </c>
      <c r="K381" s="7" t="s">
        <v>15</v>
      </c>
      <c r="L381" s="7">
        <v>11</v>
      </c>
      <c r="M381" s="7">
        <v>11</v>
      </c>
      <c r="N381" s="7">
        <v>0</v>
      </c>
      <c r="O381" s="7" t="s">
        <v>824</v>
      </c>
      <c r="P381" s="7">
        <v>0</v>
      </c>
      <c r="Q381" s="7">
        <v>34115.040000000001</v>
      </c>
      <c r="R381" s="7">
        <v>31310.28</v>
      </c>
      <c r="S381" s="7">
        <v>2804.760000000002</v>
      </c>
      <c r="T381" s="7" t="s">
        <v>823</v>
      </c>
      <c r="U381" s="7"/>
    </row>
    <row r="382" spans="1:21" x14ac:dyDescent="0.25">
      <c r="A382" s="7" t="s">
        <v>407</v>
      </c>
      <c r="B382" s="7" t="s">
        <v>808</v>
      </c>
      <c r="C382" s="7">
        <v>44940</v>
      </c>
      <c r="D382" s="7">
        <v>44959</v>
      </c>
      <c r="E382" s="7" t="s">
        <v>24</v>
      </c>
      <c r="F382" s="7" t="s">
        <v>18</v>
      </c>
      <c r="G382" s="7">
        <v>1698</v>
      </c>
      <c r="H382" s="7">
        <v>100.97</v>
      </c>
      <c r="I382" s="7">
        <v>98.73</v>
      </c>
      <c r="J382" s="7">
        <v>52</v>
      </c>
      <c r="K382" s="7" t="s">
        <v>15</v>
      </c>
      <c r="L382" s="7">
        <v>19</v>
      </c>
      <c r="M382" s="7">
        <v>11</v>
      </c>
      <c r="N382" s="7">
        <v>8</v>
      </c>
      <c r="O382" s="7" t="s">
        <v>824</v>
      </c>
      <c r="P382" s="7">
        <v>0</v>
      </c>
      <c r="Q382" s="7">
        <v>171447.06</v>
      </c>
      <c r="R382" s="7">
        <v>167643.54</v>
      </c>
      <c r="S382" s="7">
        <v>3803.5199999999895</v>
      </c>
      <c r="T382" s="7" t="s">
        <v>825</v>
      </c>
      <c r="U382" s="7"/>
    </row>
    <row r="383" spans="1:21" x14ac:dyDescent="0.25">
      <c r="A383" s="7" t="s">
        <v>408</v>
      </c>
      <c r="B383" s="7" t="s">
        <v>806</v>
      </c>
      <c r="C383" s="7">
        <v>44853</v>
      </c>
      <c r="D383" s="7">
        <v>44866</v>
      </c>
      <c r="E383" s="7" t="s">
        <v>13</v>
      </c>
      <c r="F383" s="7" t="s">
        <v>18</v>
      </c>
      <c r="G383" s="7">
        <v>1493</v>
      </c>
      <c r="H383" s="7">
        <v>24.87</v>
      </c>
      <c r="I383" s="7">
        <v>22.89</v>
      </c>
      <c r="J383" s="7">
        <v>56</v>
      </c>
      <c r="K383" s="7" t="s">
        <v>15</v>
      </c>
      <c r="L383" s="7">
        <v>13</v>
      </c>
      <c r="M383" s="7">
        <v>11</v>
      </c>
      <c r="N383" s="7">
        <v>2</v>
      </c>
      <c r="O383" s="7" t="s">
        <v>824</v>
      </c>
      <c r="P383" s="7">
        <v>0</v>
      </c>
      <c r="Q383" s="7">
        <v>37130.910000000003</v>
      </c>
      <c r="R383" s="7">
        <v>34174.770000000004</v>
      </c>
      <c r="S383" s="7">
        <v>2956.1399999999994</v>
      </c>
      <c r="T383" s="7" t="s">
        <v>826</v>
      </c>
      <c r="U383" s="7"/>
    </row>
    <row r="384" spans="1:21" x14ac:dyDescent="0.25">
      <c r="A384" s="7" t="s">
        <v>409</v>
      </c>
      <c r="B384" s="7" t="s">
        <v>804</v>
      </c>
      <c r="C384" s="7">
        <v>44723</v>
      </c>
      <c r="D384" s="7">
        <v>44737</v>
      </c>
      <c r="E384" s="7" t="s">
        <v>24</v>
      </c>
      <c r="F384" s="7" t="s">
        <v>18</v>
      </c>
      <c r="G384" s="7">
        <v>1495</v>
      </c>
      <c r="H384" s="7">
        <v>64.33</v>
      </c>
      <c r="I384" s="7">
        <v>58.18</v>
      </c>
      <c r="J384" s="7">
        <v>26</v>
      </c>
      <c r="K384" s="7" t="s">
        <v>15</v>
      </c>
      <c r="L384" s="7">
        <v>14</v>
      </c>
      <c r="M384" s="7">
        <v>11</v>
      </c>
      <c r="N384" s="7">
        <v>3</v>
      </c>
      <c r="O384" s="7" t="s">
        <v>824</v>
      </c>
      <c r="P384" s="7">
        <v>0</v>
      </c>
      <c r="Q384" s="7">
        <v>96173.349999999991</v>
      </c>
      <c r="R384" s="7">
        <v>86979.1</v>
      </c>
      <c r="S384" s="7">
        <v>9194.2499999999854</v>
      </c>
      <c r="T384" s="7" t="s">
        <v>826</v>
      </c>
      <c r="U384" s="7"/>
    </row>
    <row r="385" spans="1:21" x14ac:dyDescent="0.25">
      <c r="A385" s="7" t="s">
        <v>410</v>
      </c>
      <c r="B385" s="7" t="s">
        <v>804</v>
      </c>
      <c r="C385" s="7">
        <v>45010</v>
      </c>
      <c r="D385" s="7">
        <v>45023</v>
      </c>
      <c r="E385" s="7" t="s">
        <v>24</v>
      </c>
      <c r="F385" s="7" t="s">
        <v>14</v>
      </c>
      <c r="G385" s="7">
        <v>153</v>
      </c>
      <c r="H385" s="7">
        <v>59.42</v>
      </c>
      <c r="I385" s="7">
        <v>52</v>
      </c>
      <c r="J385" s="7">
        <v>3</v>
      </c>
      <c r="K385" s="7" t="s">
        <v>15</v>
      </c>
      <c r="L385" s="7">
        <v>13</v>
      </c>
      <c r="M385" s="7">
        <v>11</v>
      </c>
      <c r="N385" s="7">
        <v>2</v>
      </c>
      <c r="O385" s="7" t="s">
        <v>824</v>
      </c>
      <c r="P385" s="7">
        <v>0</v>
      </c>
      <c r="Q385" s="7">
        <v>9091.26</v>
      </c>
      <c r="R385" s="7">
        <v>7956</v>
      </c>
      <c r="S385" s="7">
        <v>1135.2600000000002</v>
      </c>
      <c r="T385" s="7" t="s">
        <v>826</v>
      </c>
      <c r="U385" s="7"/>
    </row>
    <row r="386" spans="1:21" x14ac:dyDescent="0.25">
      <c r="A386" s="7" t="s">
        <v>411</v>
      </c>
      <c r="B386" s="7" t="s">
        <v>805</v>
      </c>
      <c r="C386" s="7">
        <v>45118</v>
      </c>
      <c r="D386" s="7">
        <v>45129</v>
      </c>
      <c r="E386" s="7" t="s">
        <v>26</v>
      </c>
      <c r="F386" s="7" t="s">
        <v>14</v>
      </c>
      <c r="G386" s="7">
        <v>1925</v>
      </c>
      <c r="H386" s="7">
        <v>70.88</v>
      </c>
      <c r="I386" s="7">
        <v>63.41</v>
      </c>
      <c r="J386" s="7">
        <v>292</v>
      </c>
      <c r="K386" s="7" t="s">
        <v>15</v>
      </c>
      <c r="L386" s="7">
        <v>11</v>
      </c>
      <c r="M386" s="7">
        <v>11</v>
      </c>
      <c r="N386" s="7">
        <v>0</v>
      </c>
      <c r="O386" s="7" t="s">
        <v>824</v>
      </c>
      <c r="P386" s="7">
        <v>0</v>
      </c>
      <c r="Q386" s="7">
        <v>136444</v>
      </c>
      <c r="R386" s="7">
        <v>122064.25</v>
      </c>
      <c r="S386" s="7">
        <v>14379.75</v>
      </c>
      <c r="T386" s="7" t="s">
        <v>823</v>
      </c>
      <c r="U386" s="7"/>
    </row>
    <row r="387" spans="1:21" x14ac:dyDescent="0.25">
      <c r="A387" s="7" t="s">
        <v>412</v>
      </c>
      <c r="B387" s="7" t="s">
        <v>807</v>
      </c>
      <c r="C387" s="7">
        <v>45282</v>
      </c>
      <c r="D387" s="7">
        <v>45302</v>
      </c>
      <c r="E387" s="7" t="s">
        <v>24</v>
      </c>
      <c r="F387" s="7" t="s">
        <v>18</v>
      </c>
      <c r="G387" s="7">
        <v>303</v>
      </c>
      <c r="H387" s="7">
        <v>12.97</v>
      </c>
      <c r="I387" s="7">
        <v>11.42</v>
      </c>
      <c r="J387" s="7"/>
      <c r="K387" s="7" t="s">
        <v>27</v>
      </c>
      <c r="L387" s="7">
        <v>20</v>
      </c>
      <c r="M387" s="7">
        <v>11</v>
      </c>
      <c r="N387" s="7">
        <v>9</v>
      </c>
      <c r="O387" s="7" t="s">
        <v>824</v>
      </c>
      <c r="P387" s="7">
        <v>0</v>
      </c>
      <c r="Q387" s="7">
        <v>3929.9100000000003</v>
      </c>
      <c r="R387" s="7">
        <v>3460.2599999999998</v>
      </c>
      <c r="S387" s="7">
        <v>469.65000000000055</v>
      </c>
      <c r="T387" s="7" t="s">
        <v>825</v>
      </c>
      <c r="U387" s="7"/>
    </row>
    <row r="388" spans="1:21" x14ac:dyDescent="0.25">
      <c r="A388" s="7" t="s">
        <v>413</v>
      </c>
      <c r="B388" s="7" t="s">
        <v>804</v>
      </c>
      <c r="C388" s="7">
        <v>44871</v>
      </c>
      <c r="D388" s="7">
        <v>44883</v>
      </c>
      <c r="E388" s="7" t="s">
        <v>13</v>
      </c>
      <c r="F388" s="7" t="s">
        <v>18</v>
      </c>
      <c r="G388" s="7">
        <v>1300</v>
      </c>
      <c r="H388" s="7">
        <v>92.92</v>
      </c>
      <c r="I388" s="7">
        <v>90.63</v>
      </c>
      <c r="J388" s="7"/>
      <c r="K388" s="7" t="s">
        <v>15</v>
      </c>
      <c r="L388" s="7">
        <v>12</v>
      </c>
      <c r="M388" s="7">
        <v>11</v>
      </c>
      <c r="N388" s="7">
        <v>1</v>
      </c>
      <c r="O388" s="7" t="s">
        <v>824</v>
      </c>
      <c r="P388" s="7">
        <v>0</v>
      </c>
      <c r="Q388" s="7">
        <v>120796</v>
      </c>
      <c r="R388" s="7">
        <v>117819</v>
      </c>
      <c r="S388" s="7">
        <v>2977</v>
      </c>
      <c r="T388" s="7" t="s">
        <v>826</v>
      </c>
      <c r="U388" s="7"/>
    </row>
    <row r="389" spans="1:21" x14ac:dyDescent="0.25">
      <c r="A389" s="7" t="s">
        <v>414</v>
      </c>
      <c r="B389" s="7" t="s">
        <v>806</v>
      </c>
      <c r="C389" s="7">
        <v>45188</v>
      </c>
      <c r="D389" s="7">
        <v>45192</v>
      </c>
      <c r="E389" s="7" t="s">
        <v>26</v>
      </c>
      <c r="F389" s="7" t="s">
        <v>18</v>
      </c>
      <c r="G389" s="7">
        <v>1185</v>
      </c>
      <c r="H389" s="7">
        <v>103.28</v>
      </c>
      <c r="I389" s="7">
        <v>99.05</v>
      </c>
      <c r="J389" s="7"/>
      <c r="K389" s="7" t="s">
        <v>15</v>
      </c>
      <c r="L389" s="7">
        <v>4</v>
      </c>
      <c r="M389" s="7">
        <v>11</v>
      </c>
      <c r="N389" s="7">
        <v>0</v>
      </c>
      <c r="O389" s="7" t="s">
        <v>822</v>
      </c>
      <c r="P389" s="7">
        <v>1</v>
      </c>
      <c r="Q389" s="7">
        <v>122386.8</v>
      </c>
      <c r="R389" s="7">
        <v>117374.25</v>
      </c>
      <c r="S389" s="7">
        <v>5012.5500000000029</v>
      </c>
      <c r="T389" s="7" t="s">
        <v>823</v>
      </c>
      <c r="U389" s="7"/>
    </row>
    <row r="390" spans="1:21" x14ac:dyDescent="0.25">
      <c r="A390" s="7" t="s">
        <v>415</v>
      </c>
      <c r="B390" s="7" t="s">
        <v>808</v>
      </c>
      <c r="C390" s="7">
        <v>45231</v>
      </c>
      <c r="D390" s="7">
        <v>45250</v>
      </c>
      <c r="E390" s="7" t="s">
        <v>26</v>
      </c>
      <c r="F390" s="7" t="s">
        <v>18</v>
      </c>
      <c r="G390" s="7">
        <v>559</v>
      </c>
      <c r="H390" s="7">
        <v>67.56</v>
      </c>
      <c r="I390" s="7">
        <v>57.98</v>
      </c>
      <c r="J390" s="7">
        <v>15</v>
      </c>
      <c r="K390" s="7" t="s">
        <v>15</v>
      </c>
      <c r="L390" s="7">
        <v>19</v>
      </c>
      <c r="M390" s="7">
        <v>11</v>
      </c>
      <c r="N390" s="7">
        <v>8</v>
      </c>
      <c r="O390" s="7" t="s">
        <v>824</v>
      </c>
      <c r="P390" s="7">
        <v>0</v>
      </c>
      <c r="Q390" s="7">
        <v>37766.04</v>
      </c>
      <c r="R390" s="7">
        <v>32410.82</v>
      </c>
      <c r="S390" s="7">
        <v>5355.2200000000012</v>
      </c>
      <c r="T390" s="7" t="s">
        <v>825</v>
      </c>
      <c r="U390" s="7"/>
    </row>
    <row r="391" spans="1:21" x14ac:dyDescent="0.25">
      <c r="A391" s="7" t="s">
        <v>416</v>
      </c>
      <c r="B391" s="7" t="s">
        <v>808</v>
      </c>
      <c r="C391" s="7">
        <v>45103</v>
      </c>
      <c r="D391" s="7">
        <v>45106</v>
      </c>
      <c r="E391" s="7" t="s">
        <v>39</v>
      </c>
      <c r="F391" s="7" t="s">
        <v>35</v>
      </c>
      <c r="G391" s="7">
        <v>1546</v>
      </c>
      <c r="H391" s="7">
        <v>78.88</v>
      </c>
      <c r="I391" s="7">
        <v>78</v>
      </c>
      <c r="J391" s="7">
        <v>38</v>
      </c>
      <c r="K391" s="7" t="s">
        <v>15</v>
      </c>
      <c r="L391" s="7">
        <v>3</v>
      </c>
      <c r="M391" s="7">
        <v>11</v>
      </c>
      <c r="N391" s="7">
        <v>0</v>
      </c>
      <c r="O391" s="7" t="s">
        <v>824</v>
      </c>
      <c r="P391" s="7">
        <v>0</v>
      </c>
      <c r="Q391" s="7">
        <v>121948.48</v>
      </c>
      <c r="R391" s="7">
        <v>120588</v>
      </c>
      <c r="S391" s="7">
        <v>1360.4799999999959</v>
      </c>
      <c r="T391" s="7" t="s">
        <v>823</v>
      </c>
      <c r="U391" s="7"/>
    </row>
    <row r="392" spans="1:21" x14ac:dyDescent="0.25">
      <c r="A392" s="7" t="s">
        <v>417</v>
      </c>
      <c r="B392" s="7" t="s">
        <v>808</v>
      </c>
      <c r="C392" s="7">
        <v>44570</v>
      </c>
      <c r="D392" s="7">
        <v>44580</v>
      </c>
      <c r="E392" s="7" t="s">
        <v>24</v>
      </c>
      <c r="F392" s="7" t="s">
        <v>18</v>
      </c>
      <c r="G392" s="7">
        <v>148</v>
      </c>
      <c r="H392" s="7">
        <v>93.02</v>
      </c>
      <c r="I392" s="7">
        <v>85.96</v>
      </c>
      <c r="J392" s="7">
        <v>4</v>
      </c>
      <c r="K392" s="7" t="s">
        <v>15</v>
      </c>
      <c r="L392" s="7">
        <v>10</v>
      </c>
      <c r="M392" s="7">
        <v>11</v>
      </c>
      <c r="N392" s="7">
        <v>0</v>
      </c>
      <c r="O392" s="7" t="s">
        <v>824</v>
      </c>
      <c r="P392" s="7">
        <v>0</v>
      </c>
      <c r="Q392" s="7">
        <v>13766.96</v>
      </c>
      <c r="R392" s="7">
        <v>12722.08</v>
      </c>
      <c r="S392" s="7">
        <v>1044.8799999999992</v>
      </c>
      <c r="T392" s="7" t="s">
        <v>823</v>
      </c>
      <c r="U392" s="7"/>
    </row>
    <row r="393" spans="1:21" x14ac:dyDescent="0.25">
      <c r="A393" s="7" t="s">
        <v>418</v>
      </c>
      <c r="B393" s="7" t="s">
        <v>805</v>
      </c>
      <c r="C393" s="7">
        <v>45245</v>
      </c>
      <c r="D393" s="7">
        <v>45253</v>
      </c>
      <c r="E393" s="7" t="s">
        <v>13</v>
      </c>
      <c r="F393" s="7" t="s">
        <v>18</v>
      </c>
      <c r="G393" s="7">
        <v>202</v>
      </c>
      <c r="H393" s="7">
        <v>81.75</v>
      </c>
      <c r="I393" s="7">
        <v>78.260000000000005</v>
      </c>
      <c r="J393" s="7">
        <v>37</v>
      </c>
      <c r="K393" s="7" t="s">
        <v>27</v>
      </c>
      <c r="L393" s="7">
        <v>8</v>
      </c>
      <c r="M393" s="7">
        <v>11</v>
      </c>
      <c r="N393" s="7">
        <v>0</v>
      </c>
      <c r="O393" s="7" t="s">
        <v>824</v>
      </c>
      <c r="P393" s="7">
        <v>0</v>
      </c>
      <c r="Q393" s="7">
        <v>16513.5</v>
      </c>
      <c r="R393" s="7">
        <v>15808.52</v>
      </c>
      <c r="S393" s="7">
        <v>704.97999999999956</v>
      </c>
      <c r="T393" s="7" t="s">
        <v>823</v>
      </c>
      <c r="U393" s="7"/>
    </row>
    <row r="394" spans="1:21" x14ac:dyDescent="0.25">
      <c r="A394" s="7" t="s">
        <v>419</v>
      </c>
      <c r="B394" s="7" t="s">
        <v>806</v>
      </c>
      <c r="C394" s="7">
        <v>45129</v>
      </c>
      <c r="D394" s="7">
        <v>45135</v>
      </c>
      <c r="E394" s="7" t="s">
        <v>24</v>
      </c>
      <c r="F394" s="7" t="s">
        <v>18</v>
      </c>
      <c r="G394" s="7">
        <v>1934</v>
      </c>
      <c r="H394" s="7">
        <v>25.86</v>
      </c>
      <c r="I394" s="7">
        <v>25.6</v>
      </c>
      <c r="J394" s="7">
        <v>78</v>
      </c>
      <c r="K394" s="7" t="s">
        <v>15</v>
      </c>
      <c r="L394" s="7">
        <v>6</v>
      </c>
      <c r="M394" s="7">
        <v>11</v>
      </c>
      <c r="N394" s="7">
        <v>0</v>
      </c>
      <c r="O394" s="7" t="s">
        <v>824</v>
      </c>
      <c r="P394" s="7">
        <v>0</v>
      </c>
      <c r="Q394" s="7">
        <v>50013.24</v>
      </c>
      <c r="R394" s="7">
        <v>49510.400000000001</v>
      </c>
      <c r="S394" s="7">
        <v>502.83999999999651</v>
      </c>
      <c r="T394" s="7" t="s">
        <v>823</v>
      </c>
      <c r="U394" s="7"/>
    </row>
    <row r="395" spans="1:21" x14ac:dyDescent="0.25">
      <c r="A395" s="7" t="s">
        <v>420</v>
      </c>
      <c r="B395" s="7" t="s">
        <v>804</v>
      </c>
      <c r="C395" s="7">
        <v>44868</v>
      </c>
      <c r="D395" s="7">
        <v>44872</v>
      </c>
      <c r="E395" s="7" t="s">
        <v>13</v>
      </c>
      <c r="F395" s="7" t="s">
        <v>18</v>
      </c>
      <c r="G395" s="7">
        <v>963</v>
      </c>
      <c r="H395" s="7">
        <v>64.959999999999994</v>
      </c>
      <c r="I395" s="7">
        <v>64.069999999999993</v>
      </c>
      <c r="J395" s="7">
        <v>20</v>
      </c>
      <c r="K395" s="7" t="s">
        <v>15</v>
      </c>
      <c r="L395" s="7">
        <v>4</v>
      </c>
      <c r="M395" s="7">
        <v>11</v>
      </c>
      <c r="N395" s="7">
        <v>0</v>
      </c>
      <c r="O395" s="7" t="s">
        <v>824</v>
      </c>
      <c r="P395" s="7">
        <v>0</v>
      </c>
      <c r="Q395" s="7">
        <v>62556.479999999996</v>
      </c>
      <c r="R395" s="7">
        <v>61699.409999999996</v>
      </c>
      <c r="S395" s="7">
        <v>857.06999999999971</v>
      </c>
      <c r="T395" s="7" t="s">
        <v>823</v>
      </c>
      <c r="U395" s="7"/>
    </row>
    <row r="396" spans="1:21" x14ac:dyDescent="0.25">
      <c r="A396" s="7" t="s">
        <v>421</v>
      </c>
      <c r="B396" s="7" t="s">
        <v>806</v>
      </c>
      <c r="C396" s="7">
        <v>45241</v>
      </c>
      <c r="D396" s="7">
        <v>45248</v>
      </c>
      <c r="E396" s="7" t="s">
        <v>21</v>
      </c>
      <c r="F396" s="7" t="s">
        <v>18</v>
      </c>
      <c r="G396" s="7">
        <v>1969</v>
      </c>
      <c r="H396" s="7">
        <v>71.709999999999994</v>
      </c>
      <c r="I396" s="7">
        <v>61.96</v>
      </c>
      <c r="J396" s="7"/>
      <c r="K396" s="7" t="s">
        <v>15</v>
      </c>
      <c r="L396" s="7">
        <v>7</v>
      </c>
      <c r="M396" s="7">
        <v>11</v>
      </c>
      <c r="N396" s="7">
        <v>0</v>
      </c>
      <c r="O396" s="7" t="s">
        <v>822</v>
      </c>
      <c r="P396" s="7">
        <v>1</v>
      </c>
      <c r="Q396" s="7">
        <v>141196.99</v>
      </c>
      <c r="R396" s="7">
        <v>121999.24</v>
      </c>
      <c r="S396" s="7">
        <v>19197.749999999985</v>
      </c>
      <c r="T396" s="7" t="s">
        <v>823</v>
      </c>
      <c r="U396" s="7"/>
    </row>
    <row r="397" spans="1:21" x14ac:dyDescent="0.25">
      <c r="A397" s="7" t="s">
        <v>422</v>
      </c>
      <c r="B397" s="7" t="s">
        <v>805</v>
      </c>
      <c r="C397" s="7">
        <v>44668</v>
      </c>
      <c r="D397" s="7">
        <v>44679</v>
      </c>
      <c r="E397" s="7" t="s">
        <v>39</v>
      </c>
      <c r="F397" s="7" t="s">
        <v>18</v>
      </c>
      <c r="G397" s="7">
        <v>927</v>
      </c>
      <c r="H397" s="7">
        <v>48.89</v>
      </c>
      <c r="I397" s="7">
        <v>46.05</v>
      </c>
      <c r="J397" s="7">
        <v>138</v>
      </c>
      <c r="K397" s="7" t="s">
        <v>15</v>
      </c>
      <c r="L397" s="7">
        <v>11</v>
      </c>
      <c r="M397" s="7">
        <v>11</v>
      </c>
      <c r="N397" s="7">
        <v>0</v>
      </c>
      <c r="O397" s="7" t="s">
        <v>824</v>
      </c>
      <c r="P397" s="7">
        <v>0</v>
      </c>
      <c r="Q397" s="7">
        <v>45321.03</v>
      </c>
      <c r="R397" s="7">
        <v>42688.35</v>
      </c>
      <c r="S397" s="7">
        <v>2632.6800000000003</v>
      </c>
      <c r="T397" s="7" t="s">
        <v>823</v>
      </c>
      <c r="U397" s="7"/>
    </row>
    <row r="398" spans="1:21" x14ac:dyDescent="0.25">
      <c r="A398" s="7" t="s">
        <v>423</v>
      </c>
      <c r="B398" s="7" t="s">
        <v>805</v>
      </c>
      <c r="C398" s="7">
        <v>44699</v>
      </c>
      <c r="D398" s="7">
        <v>44704</v>
      </c>
      <c r="E398" s="7" t="s">
        <v>26</v>
      </c>
      <c r="F398" s="7" t="s">
        <v>14</v>
      </c>
      <c r="G398" s="7">
        <v>387</v>
      </c>
      <c r="H398" s="7">
        <v>77.81</v>
      </c>
      <c r="I398" s="7">
        <v>69.040000000000006</v>
      </c>
      <c r="J398" s="7">
        <v>67</v>
      </c>
      <c r="K398" s="7" t="s">
        <v>15</v>
      </c>
      <c r="L398" s="7">
        <v>5</v>
      </c>
      <c r="M398" s="7">
        <v>11</v>
      </c>
      <c r="N398" s="7">
        <v>0</v>
      </c>
      <c r="O398" s="7" t="s">
        <v>824</v>
      </c>
      <c r="P398" s="7">
        <v>0</v>
      </c>
      <c r="Q398" s="7">
        <v>30112.47</v>
      </c>
      <c r="R398" s="7">
        <v>26718.480000000003</v>
      </c>
      <c r="S398" s="7">
        <v>3393.989999999998</v>
      </c>
      <c r="T398" s="7" t="s">
        <v>823</v>
      </c>
      <c r="U398" s="7"/>
    </row>
    <row r="399" spans="1:21" x14ac:dyDescent="0.25">
      <c r="A399" s="7" t="s">
        <v>424</v>
      </c>
      <c r="B399" s="7" t="s">
        <v>807</v>
      </c>
      <c r="C399" s="7">
        <v>44832</v>
      </c>
      <c r="D399" s="7">
        <v>44837</v>
      </c>
      <c r="E399" s="7" t="s">
        <v>39</v>
      </c>
      <c r="F399" s="7" t="s">
        <v>18</v>
      </c>
      <c r="G399" s="7">
        <v>1779</v>
      </c>
      <c r="H399" s="7">
        <v>97.86</v>
      </c>
      <c r="I399" s="7">
        <v>94.36</v>
      </c>
      <c r="J399" s="7">
        <v>176</v>
      </c>
      <c r="K399" s="7" t="s">
        <v>15</v>
      </c>
      <c r="L399" s="7">
        <v>5</v>
      </c>
      <c r="M399" s="7">
        <v>11</v>
      </c>
      <c r="N399" s="7">
        <v>0</v>
      </c>
      <c r="O399" s="7" t="s">
        <v>824</v>
      </c>
      <c r="P399" s="7">
        <v>0</v>
      </c>
      <c r="Q399" s="7">
        <v>174092.94</v>
      </c>
      <c r="R399" s="7">
        <v>167866.44</v>
      </c>
      <c r="S399" s="7">
        <v>6226.5</v>
      </c>
      <c r="T399" s="7" t="s">
        <v>823</v>
      </c>
      <c r="U399" s="7"/>
    </row>
    <row r="400" spans="1:21" x14ac:dyDescent="0.25">
      <c r="A400" s="7" t="s">
        <v>425</v>
      </c>
      <c r="B400" s="7" t="s">
        <v>806</v>
      </c>
      <c r="C400" s="7">
        <v>44680</v>
      </c>
      <c r="D400" s="7">
        <v>44686</v>
      </c>
      <c r="E400" s="7" t="s">
        <v>21</v>
      </c>
      <c r="F400" s="7" t="s">
        <v>35</v>
      </c>
      <c r="G400" s="7">
        <v>871</v>
      </c>
      <c r="H400" s="7">
        <v>94.7</v>
      </c>
      <c r="I400" s="7">
        <v>92.66</v>
      </c>
      <c r="J400" s="7">
        <v>46</v>
      </c>
      <c r="K400" s="7" t="s">
        <v>15</v>
      </c>
      <c r="L400" s="7">
        <v>6</v>
      </c>
      <c r="M400" s="7">
        <v>11</v>
      </c>
      <c r="N400" s="7">
        <v>0</v>
      </c>
      <c r="O400" s="7" t="s">
        <v>824</v>
      </c>
      <c r="P400" s="7">
        <v>0</v>
      </c>
      <c r="Q400" s="7">
        <v>82483.7</v>
      </c>
      <c r="R400" s="7">
        <v>80706.86</v>
      </c>
      <c r="S400" s="7">
        <v>1776.8399999999965</v>
      </c>
      <c r="T400" s="7" t="s">
        <v>823</v>
      </c>
      <c r="U400" s="7"/>
    </row>
    <row r="401" spans="1:21" x14ac:dyDescent="0.25">
      <c r="A401" s="7" t="s">
        <v>426</v>
      </c>
      <c r="B401" s="7" t="s">
        <v>808</v>
      </c>
      <c r="C401" s="7">
        <v>44671</v>
      </c>
      <c r="D401" s="7">
        <v>44674</v>
      </c>
      <c r="E401" s="7" t="s">
        <v>39</v>
      </c>
      <c r="F401" s="7" t="s">
        <v>18</v>
      </c>
      <c r="G401" s="7">
        <v>1236</v>
      </c>
      <c r="H401" s="7">
        <v>51.33</v>
      </c>
      <c r="I401" s="7">
        <v>44.03</v>
      </c>
      <c r="J401" s="7">
        <v>25</v>
      </c>
      <c r="K401" s="7" t="s">
        <v>15</v>
      </c>
      <c r="L401" s="7">
        <v>3</v>
      </c>
      <c r="M401" s="7">
        <v>11</v>
      </c>
      <c r="N401" s="7">
        <v>0</v>
      </c>
      <c r="O401" s="7" t="s">
        <v>824</v>
      </c>
      <c r="P401" s="7">
        <v>0</v>
      </c>
      <c r="Q401" s="7">
        <v>63443.88</v>
      </c>
      <c r="R401" s="7">
        <v>54421.08</v>
      </c>
      <c r="S401" s="7">
        <v>9022.7999999999956</v>
      </c>
      <c r="T401" s="7" t="s">
        <v>823</v>
      </c>
      <c r="U401" s="7"/>
    </row>
    <row r="402" spans="1:21" x14ac:dyDescent="0.25">
      <c r="A402" s="7" t="s">
        <v>427</v>
      </c>
      <c r="B402" s="7" t="s">
        <v>805</v>
      </c>
      <c r="C402" s="7">
        <v>45128</v>
      </c>
      <c r="D402" s="7">
        <v>45144</v>
      </c>
      <c r="E402" s="7" t="s">
        <v>39</v>
      </c>
      <c r="F402" s="7" t="s">
        <v>18</v>
      </c>
      <c r="G402" s="7">
        <v>1793</v>
      </c>
      <c r="H402" s="7">
        <v>22.01</v>
      </c>
      <c r="I402" s="7">
        <v>21.78</v>
      </c>
      <c r="J402" s="7">
        <v>285</v>
      </c>
      <c r="K402" s="7" t="s">
        <v>15</v>
      </c>
      <c r="L402" s="7">
        <v>16</v>
      </c>
      <c r="M402" s="7">
        <v>11</v>
      </c>
      <c r="N402" s="7">
        <v>5</v>
      </c>
      <c r="O402" s="7" t="s">
        <v>824</v>
      </c>
      <c r="P402" s="7">
        <v>0</v>
      </c>
      <c r="Q402" s="7">
        <v>39463.93</v>
      </c>
      <c r="R402" s="7">
        <v>39051.54</v>
      </c>
      <c r="S402" s="7">
        <v>412.38999999999942</v>
      </c>
      <c r="T402" s="7" t="s">
        <v>825</v>
      </c>
      <c r="U402" s="7"/>
    </row>
    <row r="403" spans="1:21" x14ac:dyDescent="0.25">
      <c r="A403" s="7" t="s">
        <v>428</v>
      </c>
      <c r="B403" s="7" t="s">
        <v>805</v>
      </c>
      <c r="C403" s="7">
        <v>44721</v>
      </c>
      <c r="D403" s="7">
        <v>44740</v>
      </c>
      <c r="E403" s="7" t="s">
        <v>21</v>
      </c>
      <c r="F403" s="7" t="s">
        <v>18</v>
      </c>
      <c r="G403" s="7">
        <v>1006</v>
      </c>
      <c r="H403" s="7">
        <v>101.1</v>
      </c>
      <c r="I403" s="7">
        <v>89.04</v>
      </c>
      <c r="J403" s="7">
        <v>139</v>
      </c>
      <c r="K403" s="7" t="s">
        <v>15</v>
      </c>
      <c r="L403" s="7">
        <v>19</v>
      </c>
      <c r="M403" s="7">
        <v>11</v>
      </c>
      <c r="N403" s="7">
        <v>8</v>
      </c>
      <c r="O403" s="7" t="s">
        <v>824</v>
      </c>
      <c r="P403" s="7">
        <v>0</v>
      </c>
      <c r="Q403" s="7">
        <v>101706.59999999999</v>
      </c>
      <c r="R403" s="7">
        <v>89574.24</v>
      </c>
      <c r="S403" s="7">
        <v>12132.359999999986</v>
      </c>
      <c r="T403" s="7" t="s">
        <v>825</v>
      </c>
      <c r="U403" s="7"/>
    </row>
    <row r="404" spans="1:21" x14ac:dyDescent="0.25">
      <c r="A404" s="7" t="s">
        <v>429</v>
      </c>
      <c r="B404" s="7" t="s">
        <v>807</v>
      </c>
      <c r="C404" s="7">
        <v>44840</v>
      </c>
      <c r="D404" s="7">
        <v>44855</v>
      </c>
      <c r="E404" s="7" t="s">
        <v>39</v>
      </c>
      <c r="F404" s="7" t="s">
        <v>14</v>
      </c>
      <c r="G404" s="7">
        <v>1754</v>
      </c>
      <c r="H404" s="7">
        <v>89.35</v>
      </c>
      <c r="I404" s="7">
        <v>86.54</v>
      </c>
      <c r="J404" s="7">
        <v>161</v>
      </c>
      <c r="K404" s="7" t="s">
        <v>27</v>
      </c>
      <c r="L404" s="7">
        <v>15</v>
      </c>
      <c r="M404" s="7">
        <v>11</v>
      </c>
      <c r="N404" s="7">
        <v>4</v>
      </c>
      <c r="O404" s="7" t="s">
        <v>824</v>
      </c>
      <c r="P404" s="7">
        <v>0</v>
      </c>
      <c r="Q404" s="7">
        <v>156719.9</v>
      </c>
      <c r="R404" s="7">
        <v>151791.16</v>
      </c>
      <c r="S404" s="7">
        <v>4928.7399999999907</v>
      </c>
      <c r="T404" s="7" t="s">
        <v>826</v>
      </c>
      <c r="U404" s="7"/>
    </row>
    <row r="405" spans="1:21" x14ac:dyDescent="0.25">
      <c r="A405" s="7" t="s">
        <v>430</v>
      </c>
      <c r="B405" s="7" t="s">
        <v>808</v>
      </c>
      <c r="C405" s="7">
        <v>44850</v>
      </c>
      <c r="D405" s="7">
        <v>44869</v>
      </c>
      <c r="E405" s="7" t="s">
        <v>39</v>
      </c>
      <c r="F405" s="7" t="s">
        <v>18</v>
      </c>
      <c r="G405" s="7">
        <v>210</v>
      </c>
      <c r="H405" s="7">
        <v>22.17</v>
      </c>
      <c r="I405" s="7">
        <v>21.32</v>
      </c>
      <c r="J405" s="7">
        <v>10</v>
      </c>
      <c r="K405" s="7" t="s">
        <v>15</v>
      </c>
      <c r="L405" s="7">
        <v>19</v>
      </c>
      <c r="M405" s="7">
        <v>11</v>
      </c>
      <c r="N405" s="7">
        <v>8</v>
      </c>
      <c r="O405" s="7" t="s">
        <v>824</v>
      </c>
      <c r="P405" s="7">
        <v>0</v>
      </c>
      <c r="Q405" s="7">
        <v>4655.7000000000007</v>
      </c>
      <c r="R405" s="7">
        <v>4477.2</v>
      </c>
      <c r="S405" s="7">
        <v>178.50000000000091</v>
      </c>
      <c r="T405" s="7" t="s">
        <v>825</v>
      </c>
      <c r="U405" s="7"/>
    </row>
    <row r="406" spans="1:21" x14ac:dyDescent="0.25">
      <c r="A406" s="7" t="s">
        <v>431</v>
      </c>
      <c r="B406" s="7" t="s">
        <v>805</v>
      </c>
      <c r="C406" s="7">
        <v>45181</v>
      </c>
      <c r="D406" s="7">
        <v>45201</v>
      </c>
      <c r="E406" s="7" t="s">
        <v>21</v>
      </c>
      <c r="F406" s="7" t="s">
        <v>18</v>
      </c>
      <c r="G406" s="7">
        <v>1653</v>
      </c>
      <c r="H406" s="7">
        <v>102.16</v>
      </c>
      <c r="I406" s="7">
        <v>91.91</v>
      </c>
      <c r="J406" s="7">
        <v>217</v>
      </c>
      <c r="K406" s="7" t="s">
        <v>15</v>
      </c>
      <c r="L406" s="7">
        <v>20</v>
      </c>
      <c r="M406" s="7">
        <v>11</v>
      </c>
      <c r="N406" s="7">
        <v>9</v>
      </c>
      <c r="O406" s="7" t="s">
        <v>824</v>
      </c>
      <c r="P406" s="7">
        <v>0</v>
      </c>
      <c r="Q406" s="7">
        <v>168870.47999999998</v>
      </c>
      <c r="R406" s="7">
        <v>151927.22999999998</v>
      </c>
      <c r="S406" s="7">
        <v>16943.25</v>
      </c>
      <c r="T406" s="7" t="s">
        <v>825</v>
      </c>
      <c r="U406" s="7"/>
    </row>
    <row r="407" spans="1:21" x14ac:dyDescent="0.25">
      <c r="A407" s="7" t="s">
        <v>432</v>
      </c>
      <c r="B407" s="7" t="s">
        <v>804</v>
      </c>
      <c r="C407" s="7">
        <v>44777</v>
      </c>
      <c r="D407" s="7">
        <v>44788</v>
      </c>
      <c r="E407" s="7" t="s">
        <v>21</v>
      </c>
      <c r="F407" s="7" t="s">
        <v>33</v>
      </c>
      <c r="G407" s="7">
        <v>850</v>
      </c>
      <c r="H407" s="7">
        <v>91.38</v>
      </c>
      <c r="I407" s="7">
        <v>88.41</v>
      </c>
      <c r="J407" s="7">
        <v>24</v>
      </c>
      <c r="K407" s="7" t="s">
        <v>15</v>
      </c>
      <c r="L407" s="7">
        <v>11</v>
      </c>
      <c r="M407" s="7">
        <v>11</v>
      </c>
      <c r="N407" s="7">
        <v>0</v>
      </c>
      <c r="O407" s="7" t="s">
        <v>824</v>
      </c>
      <c r="P407" s="7">
        <v>0</v>
      </c>
      <c r="Q407" s="7">
        <v>77673</v>
      </c>
      <c r="R407" s="7">
        <v>75148.5</v>
      </c>
      <c r="S407" s="7">
        <v>2524.5</v>
      </c>
      <c r="T407" s="7" t="s">
        <v>823</v>
      </c>
      <c r="U407" s="7"/>
    </row>
    <row r="408" spans="1:21" x14ac:dyDescent="0.25">
      <c r="A408" s="7" t="s">
        <v>433</v>
      </c>
      <c r="B408" s="7" t="s">
        <v>808</v>
      </c>
      <c r="C408" s="7">
        <v>44913</v>
      </c>
      <c r="D408" s="7">
        <v>44916</v>
      </c>
      <c r="E408" s="7" t="s">
        <v>26</v>
      </c>
      <c r="F408" s="7" t="s">
        <v>18</v>
      </c>
      <c r="G408" s="7">
        <v>447</v>
      </c>
      <c r="H408" s="7">
        <v>59.81</v>
      </c>
      <c r="I408" s="7">
        <v>57.92</v>
      </c>
      <c r="J408" s="7">
        <v>13</v>
      </c>
      <c r="K408" s="7" t="s">
        <v>15</v>
      </c>
      <c r="L408" s="7">
        <v>3</v>
      </c>
      <c r="M408" s="7">
        <v>11</v>
      </c>
      <c r="N408" s="7">
        <v>0</v>
      </c>
      <c r="O408" s="7" t="s">
        <v>824</v>
      </c>
      <c r="P408" s="7">
        <v>0</v>
      </c>
      <c r="Q408" s="7">
        <v>26735.07</v>
      </c>
      <c r="R408" s="7">
        <v>25890.240000000002</v>
      </c>
      <c r="S408" s="7">
        <v>844.82999999999811</v>
      </c>
      <c r="T408" s="7" t="s">
        <v>823</v>
      </c>
      <c r="U408" s="7"/>
    </row>
    <row r="409" spans="1:21" x14ac:dyDescent="0.25">
      <c r="A409" s="7" t="s">
        <v>434</v>
      </c>
      <c r="B409" s="7" t="s">
        <v>806</v>
      </c>
      <c r="C409" s="7">
        <v>44770</v>
      </c>
      <c r="D409" s="7">
        <v>44780</v>
      </c>
      <c r="E409" s="7" t="s">
        <v>13</v>
      </c>
      <c r="F409" s="7" t="s">
        <v>18</v>
      </c>
      <c r="G409" s="7">
        <v>1350</v>
      </c>
      <c r="H409" s="7">
        <v>65.11</v>
      </c>
      <c r="I409" s="7">
        <v>56.95</v>
      </c>
      <c r="J409" s="7">
        <v>71</v>
      </c>
      <c r="K409" s="7" t="s">
        <v>15</v>
      </c>
      <c r="L409" s="7">
        <v>10</v>
      </c>
      <c r="M409" s="7">
        <v>11</v>
      </c>
      <c r="N409" s="7">
        <v>0</v>
      </c>
      <c r="O409" s="7" t="s">
        <v>824</v>
      </c>
      <c r="P409" s="7">
        <v>0</v>
      </c>
      <c r="Q409" s="7">
        <v>87898.5</v>
      </c>
      <c r="R409" s="7">
        <v>76882.5</v>
      </c>
      <c r="S409" s="7">
        <v>11016</v>
      </c>
      <c r="T409" s="7" t="s">
        <v>823</v>
      </c>
      <c r="U409" s="7"/>
    </row>
    <row r="410" spans="1:21" x14ac:dyDescent="0.25">
      <c r="A410" s="7" t="s">
        <v>435</v>
      </c>
      <c r="B410" s="7" t="s">
        <v>807</v>
      </c>
      <c r="C410" s="7">
        <v>45265</v>
      </c>
      <c r="D410" s="7">
        <v>45284</v>
      </c>
      <c r="E410" s="7" t="s">
        <v>13</v>
      </c>
      <c r="F410" s="7" t="s">
        <v>18</v>
      </c>
      <c r="G410" s="7">
        <v>865</v>
      </c>
      <c r="H410" s="7">
        <v>51.19</v>
      </c>
      <c r="I410" s="7">
        <v>47.76</v>
      </c>
      <c r="J410" s="7">
        <v>83</v>
      </c>
      <c r="K410" s="7" t="s">
        <v>15</v>
      </c>
      <c r="L410" s="7">
        <v>19</v>
      </c>
      <c r="M410" s="7">
        <v>11</v>
      </c>
      <c r="N410" s="7">
        <v>8</v>
      </c>
      <c r="O410" s="7" t="s">
        <v>824</v>
      </c>
      <c r="P410" s="7">
        <v>0</v>
      </c>
      <c r="Q410" s="7">
        <v>44279.35</v>
      </c>
      <c r="R410" s="7">
        <v>41312.400000000001</v>
      </c>
      <c r="S410" s="7">
        <v>2966.9499999999971</v>
      </c>
      <c r="T410" s="7" t="s">
        <v>825</v>
      </c>
      <c r="U410" s="7"/>
    </row>
    <row r="411" spans="1:21" x14ac:dyDescent="0.25">
      <c r="A411" s="7" t="s">
        <v>436</v>
      </c>
      <c r="B411" s="7" t="s">
        <v>804</v>
      </c>
      <c r="C411" s="7">
        <v>45211</v>
      </c>
      <c r="D411" s="7">
        <v>45228</v>
      </c>
      <c r="E411" s="7" t="s">
        <v>21</v>
      </c>
      <c r="F411" s="7" t="s">
        <v>18</v>
      </c>
      <c r="G411" s="7">
        <v>1989</v>
      </c>
      <c r="H411" s="7">
        <v>16.5</v>
      </c>
      <c r="I411" s="7">
        <v>15.89</v>
      </c>
      <c r="J411" s="7">
        <v>57</v>
      </c>
      <c r="K411" s="7" t="s">
        <v>15</v>
      </c>
      <c r="L411" s="7">
        <v>17</v>
      </c>
      <c r="M411" s="7">
        <v>11</v>
      </c>
      <c r="N411" s="7">
        <v>6</v>
      </c>
      <c r="O411" s="7" t="s">
        <v>824</v>
      </c>
      <c r="P411" s="7">
        <v>0</v>
      </c>
      <c r="Q411" s="7">
        <v>32818.5</v>
      </c>
      <c r="R411" s="7">
        <v>31605.210000000003</v>
      </c>
      <c r="S411" s="7">
        <v>1213.2899999999972</v>
      </c>
      <c r="T411" s="7" t="s">
        <v>825</v>
      </c>
      <c r="U411" s="7"/>
    </row>
    <row r="412" spans="1:21" x14ac:dyDescent="0.25">
      <c r="A412" s="7" t="s">
        <v>437</v>
      </c>
      <c r="B412" s="7" t="s">
        <v>804</v>
      </c>
      <c r="C412" s="7">
        <v>44832</v>
      </c>
      <c r="D412" s="7">
        <v>44847</v>
      </c>
      <c r="E412" s="7" t="s">
        <v>13</v>
      </c>
      <c r="F412" s="7" t="s">
        <v>18</v>
      </c>
      <c r="G412" s="7">
        <v>1577</v>
      </c>
      <c r="H412" s="7">
        <v>41.77</v>
      </c>
      <c r="I412" s="7">
        <v>39.58</v>
      </c>
      <c r="J412" s="7">
        <v>32</v>
      </c>
      <c r="K412" s="7" t="s">
        <v>15</v>
      </c>
      <c r="L412" s="7">
        <v>15</v>
      </c>
      <c r="M412" s="7">
        <v>11</v>
      </c>
      <c r="N412" s="7">
        <v>4</v>
      </c>
      <c r="O412" s="7" t="s">
        <v>824</v>
      </c>
      <c r="P412" s="7">
        <v>0</v>
      </c>
      <c r="Q412" s="7">
        <v>65871.290000000008</v>
      </c>
      <c r="R412" s="7">
        <v>62417.659999999996</v>
      </c>
      <c r="S412" s="7">
        <v>3453.6300000000119</v>
      </c>
      <c r="T412" s="7" t="s">
        <v>826</v>
      </c>
      <c r="U412" s="7"/>
    </row>
    <row r="413" spans="1:21" x14ac:dyDescent="0.25">
      <c r="A413" s="7" t="s">
        <v>438</v>
      </c>
      <c r="B413" s="7" t="s">
        <v>806</v>
      </c>
      <c r="C413" s="7">
        <v>45079</v>
      </c>
      <c r="D413" s="7">
        <v>45081</v>
      </c>
      <c r="E413" s="7" t="s">
        <v>24</v>
      </c>
      <c r="F413" s="7" t="s">
        <v>35</v>
      </c>
      <c r="G413" s="7">
        <v>1969</v>
      </c>
      <c r="H413" s="7">
        <v>89.25</v>
      </c>
      <c r="I413" s="7">
        <v>87.28</v>
      </c>
      <c r="J413" s="7">
        <v>108</v>
      </c>
      <c r="K413" s="7" t="s">
        <v>27</v>
      </c>
      <c r="L413" s="7">
        <v>2</v>
      </c>
      <c r="M413" s="7">
        <v>11</v>
      </c>
      <c r="N413" s="7">
        <v>0</v>
      </c>
      <c r="O413" s="7" t="s">
        <v>824</v>
      </c>
      <c r="P413" s="7">
        <v>0</v>
      </c>
      <c r="Q413" s="7">
        <v>175733.25</v>
      </c>
      <c r="R413" s="7">
        <v>171854.32</v>
      </c>
      <c r="S413" s="7">
        <v>3878.929999999993</v>
      </c>
      <c r="T413" s="7" t="s">
        <v>823</v>
      </c>
      <c r="U413" s="7"/>
    </row>
    <row r="414" spans="1:21" x14ac:dyDescent="0.25">
      <c r="A414" s="7" t="s">
        <v>439</v>
      </c>
      <c r="B414" s="7" t="s">
        <v>807</v>
      </c>
      <c r="C414" s="7">
        <v>45062</v>
      </c>
      <c r="D414" s="7">
        <v>45072</v>
      </c>
      <c r="E414" s="7" t="s">
        <v>24</v>
      </c>
      <c r="F414" s="7" t="s">
        <v>33</v>
      </c>
      <c r="G414" s="7">
        <v>1465</v>
      </c>
      <c r="H414" s="7">
        <v>11.25</v>
      </c>
      <c r="I414" s="7">
        <v>9.61</v>
      </c>
      <c r="J414" s="7">
        <v>151</v>
      </c>
      <c r="K414" s="7" t="s">
        <v>15</v>
      </c>
      <c r="L414" s="7">
        <v>10</v>
      </c>
      <c r="M414" s="7">
        <v>11</v>
      </c>
      <c r="N414" s="7">
        <v>0</v>
      </c>
      <c r="O414" s="7" t="s">
        <v>824</v>
      </c>
      <c r="P414" s="7">
        <v>0</v>
      </c>
      <c r="Q414" s="7">
        <v>16481.25</v>
      </c>
      <c r="R414" s="7">
        <v>14078.65</v>
      </c>
      <c r="S414" s="7">
        <v>2402.6000000000004</v>
      </c>
      <c r="T414" s="7" t="s">
        <v>823</v>
      </c>
      <c r="U414" s="7"/>
    </row>
    <row r="415" spans="1:21" x14ac:dyDescent="0.25">
      <c r="A415" s="7" t="s">
        <v>440</v>
      </c>
      <c r="B415" s="7" t="s">
        <v>805</v>
      </c>
      <c r="C415" s="7">
        <v>44819</v>
      </c>
      <c r="D415" s="7">
        <v>44822</v>
      </c>
      <c r="E415" s="7" t="s">
        <v>24</v>
      </c>
      <c r="F415" s="7" t="s">
        <v>35</v>
      </c>
      <c r="G415" s="7">
        <v>1208</v>
      </c>
      <c r="H415" s="7">
        <v>41.62</v>
      </c>
      <c r="I415" s="7">
        <v>39.46</v>
      </c>
      <c r="J415" s="7"/>
      <c r="K415" s="7" t="s">
        <v>15</v>
      </c>
      <c r="L415" s="7">
        <v>3</v>
      </c>
      <c r="M415" s="7">
        <v>11</v>
      </c>
      <c r="N415" s="7">
        <v>0</v>
      </c>
      <c r="O415" s="7" t="s">
        <v>822</v>
      </c>
      <c r="P415" s="7">
        <v>1</v>
      </c>
      <c r="Q415" s="7">
        <v>50276.959999999999</v>
      </c>
      <c r="R415" s="7">
        <v>47667.68</v>
      </c>
      <c r="S415" s="7">
        <v>2609.2799999999988</v>
      </c>
      <c r="T415" s="7" t="s">
        <v>823</v>
      </c>
      <c r="U415" s="7"/>
    </row>
    <row r="416" spans="1:21" x14ac:dyDescent="0.25">
      <c r="A416" s="7" t="s">
        <v>441</v>
      </c>
      <c r="B416" s="7" t="s">
        <v>807</v>
      </c>
      <c r="C416" s="7">
        <v>44614</v>
      </c>
      <c r="D416" s="7">
        <v>44631</v>
      </c>
      <c r="E416" s="7" t="s">
        <v>26</v>
      </c>
      <c r="F416" s="7" t="s">
        <v>18</v>
      </c>
      <c r="G416" s="7">
        <v>1268</v>
      </c>
      <c r="H416" s="7">
        <v>46.06</v>
      </c>
      <c r="I416" s="7">
        <v>45.26</v>
      </c>
      <c r="J416" s="7">
        <v>123</v>
      </c>
      <c r="K416" s="7" t="s">
        <v>15</v>
      </c>
      <c r="L416" s="7">
        <v>17</v>
      </c>
      <c r="M416" s="7">
        <v>11</v>
      </c>
      <c r="N416" s="7">
        <v>6</v>
      </c>
      <c r="O416" s="7" t="s">
        <v>824</v>
      </c>
      <c r="P416" s="7">
        <v>0</v>
      </c>
      <c r="Q416" s="7">
        <v>58404.08</v>
      </c>
      <c r="R416" s="7">
        <v>57389.68</v>
      </c>
      <c r="S416" s="7">
        <v>1014.4000000000015</v>
      </c>
      <c r="T416" s="7" t="s">
        <v>825</v>
      </c>
      <c r="U416" s="7"/>
    </row>
    <row r="417" spans="1:21" x14ac:dyDescent="0.25">
      <c r="A417" s="7" t="s">
        <v>442</v>
      </c>
      <c r="B417" s="7" t="s">
        <v>805</v>
      </c>
      <c r="C417" s="7">
        <v>44656</v>
      </c>
      <c r="D417" s="7">
        <v>44675</v>
      </c>
      <c r="E417" s="7" t="s">
        <v>13</v>
      </c>
      <c r="F417" s="7" t="s">
        <v>18</v>
      </c>
      <c r="G417" s="7">
        <v>450</v>
      </c>
      <c r="H417" s="7">
        <v>59.24</v>
      </c>
      <c r="I417" s="7">
        <v>55.03</v>
      </c>
      <c r="J417" s="7">
        <v>68</v>
      </c>
      <c r="K417" s="7" t="s">
        <v>27</v>
      </c>
      <c r="L417" s="7">
        <v>19</v>
      </c>
      <c r="M417" s="7">
        <v>11</v>
      </c>
      <c r="N417" s="7">
        <v>8</v>
      </c>
      <c r="O417" s="7" t="s">
        <v>824</v>
      </c>
      <c r="P417" s="7">
        <v>0</v>
      </c>
      <c r="Q417" s="7">
        <v>26658</v>
      </c>
      <c r="R417" s="7">
        <v>24763.5</v>
      </c>
      <c r="S417" s="7">
        <v>1894.5</v>
      </c>
      <c r="T417" s="7" t="s">
        <v>825</v>
      </c>
      <c r="U417" s="7"/>
    </row>
    <row r="418" spans="1:21" x14ac:dyDescent="0.25">
      <c r="A418" s="7" t="s">
        <v>443</v>
      </c>
      <c r="B418" s="7" t="s">
        <v>806</v>
      </c>
      <c r="C418" s="7">
        <v>45211</v>
      </c>
      <c r="D418" s="7">
        <v>45213</v>
      </c>
      <c r="E418" s="7" t="s">
        <v>39</v>
      </c>
      <c r="F418" s="7" t="s">
        <v>33</v>
      </c>
      <c r="G418" s="7">
        <v>689</v>
      </c>
      <c r="H418" s="7">
        <v>102.53</v>
      </c>
      <c r="I418" s="7">
        <v>95.23</v>
      </c>
      <c r="J418" s="7">
        <v>38</v>
      </c>
      <c r="K418" s="7" t="s">
        <v>15</v>
      </c>
      <c r="L418" s="7">
        <v>2</v>
      </c>
      <c r="M418" s="7">
        <v>11</v>
      </c>
      <c r="N418" s="7">
        <v>0</v>
      </c>
      <c r="O418" s="7" t="s">
        <v>824</v>
      </c>
      <c r="P418" s="7">
        <v>0</v>
      </c>
      <c r="Q418" s="7">
        <v>70643.17</v>
      </c>
      <c r="R418" s="7">
        <v>65613.47</v>
      </c>
      <c r="S418" s="7">
        <v>5029.6999999999971</v>
      </c>
      <c r="T418" s="7" t="s">
        <v>823</v>
      </c>
      <c r="U418" s="7"/>
    </row>
    <row r="419" spans="1:21" x14ac:dyDescent="0.25">
      <c r="A419" s="7" t="s">
        <v>444</v>
      </c>
      <c r="B419" s="7" t="s">
        <v>806</v>
      </c>
      <c r="C419" s="7">
        <v>44995</v>
      </c>
      <c r="D419" s="7">
        <v>45014</v>
      </c>
      <c r="E419" s="7" t="s">
        <v>21</v>
      </c>
      <c r="F419" s="7" t="s">
        <v>18</v>
      </c>
      <c r="G419" s="7">
        <v>1106</v>
      </c>
      <c r="H419" s="7">
        <v>44.05</v>
      </c>
      <c r="I419" s="7">
        <v>38.6</v>
      </c>
      <c r="J419" s="7">
        <v>51</v>
      </c>
      <c r="K419" s="7" t="s">
        <v>15</v>
      </c>
      <c r="L419" s="7">
        <v>19</v>
      </c>
      <c r="M419" s="7">
        <v>11</v>
      </c>
      <c r="N419" s="7">
        <v>8</v>
      </c>
      <c r="O419" s="7" t="s">
        <v>824</v>
      </c>
      <c r="P419" s="7">
        <v>0</v>
      </c>
      <c r="Q419" s="7">
        <v>48719.299999999996</v>
      </c>
      <c r="R419" s="7">
        <v>42691.6</v>
      </c>
      <c r="S419" s="7">
        <v>6027.6999999999971</v>
      </c>
      <c r="T419" s="7" t="s">
        <v>825</v>
      </c>
      <c r="U419" s="7"/>
    </row>
    <row r="420" spans="1:21" x14ac:dyDescent="0.25">
      <c r="A420" s="7" t="s">
        <v>445</v>
      </c>
      <c r="B420" s="7" t="s">
        <v>804</v>
      </c>
      <c r="C420" s="7">
        <v>44845</v>
      </c>
      <c r="D420" s="7">
        <v>44856</v>
      </c>
      <c r="E420" s="7" t="s">
        <v>13</v>
      </c>
      <c r="F420" s="7" t="s">
        <v>18</v>
      </c>
      <c r="G420" s="7">
        <v>737</v>
      </c>
      <c r="H420" s="7">
        <v>43.08</v>
      </c>
      <c r="I420" s="7">
        <v>42.58</v>
      </c>
      <c r="J420" s="7">
        <v>21</v>
      </c>
      <c r="K420" s="7" t="s">
        <v>15</v>
      </c>
      <c r="L420" s="7">
        <v>11</v>
      </c>
      <c r="M420" s="7">
        <v>11</v>
      </c>
      <c r="N420" s="7">
        <v>0</v>
      </c>
      <c r="O420" s="7" t="s">
        <v>824</v>
      </c>
      <c r="P420" s="7">
        <v>0</v>
      </c>
      <c r="Q420" s="7">
        <v>31749.96</v>
      </c>
      <c r="R420" s="7">
        <v>31381.46</v>
      </c>
      <c r="S420" s="7">
        <v>368.5</v>
      </c>
      <c r="T420" s="7" t="s">
        <v>823</v>
      </c>
      <c r="U420" s="7"/>
    </row>
    <row r="421" spans="1:21" x14ac:dyDescent="0.25">
      <c r="A421" s="7" t="s">
        <v>446</v>
      </c>
      <c r="B421" s="7" t="s">
        <v>804</v>
      </c>
      <c r="C421" s="7">
        <v>44607</v>
      </c>
      <c r="D421" s="7">
        <v>44624</v>
      </c>
      <c r="E421" s="7" t="s">
        <v>26</v>
      </c>
      <c r="F421" s="7" t="s">
        <v>18</v>
      </c>
      <c r="G421" s="7">
        <v>509</v>
      </c>
      <c r="H421" s="7">
        <v>76.760000000000005</v>
      </c>
      <c r="I421" s="7">
        <v>74.72</v>
      </c>
      <c r="J421" s="7">
        <v>7</v>
      </c>
      <c r="K421" s="7" t="s">
        <v>27</v>
      </c>
      <c r="L421" s="7">
        <v>17</v>
      </c>
      <c r="M421" s="7">
        <v>11</v>
      </c>
      <c r="N421" s="7">
        <v>6</v>
      </c>
      <c r="O421" s="7" t="s">
        <v>824</v>
      </c>
      <c r="P421" s="7">
        <v>0</v>
      </c>
      <c r="Q421" s="7">
        <v>39070.840000000004</v>
      </c>
      <c r="R421" s="7">
        <v>38032.479999999996</v>
      </c>
      <c r="S421" s="7">
        <v>1038.3600000000079</v>
      </c>
      <c r="T421" s="7" t="s">
        <v>825</v>
      </c>
      <c r="U421" s="7"/>
    </row>
    <row r="422" spans="1:21" x14ac:dyDescent="0.25">
      <c r="A422" s="7" t="s">
        <v>447</v>
      </c>
      <c r="B422" s="7" t="s">
        <v>804</v>
      </c>
      <c r="C422" s="7">
        <v>44565</v>
      </c>
      <c r="D422" s="7">
        <v>44567</v>
      </c>
      <c r="E422" s="7" t="s">
        <v>39</v>
      </c>
      <c r="F422" s="7" t="s">
        <v>18</v>
      </c>
      <c r="G422" s="7">
        <v>1004</v>
      </c>
      <c r="H422" s="7">
        <v>50.7</v>
      </c>
      <c r="I422" s="7">
        <v>46.59</v>
      </c>
      <c r="J422" s="7">
        <v>27</v>
      </c>
      <c r="K422" s="7" t="s">
        <v>15</v>
      </c>
      <c r="L422" s="7">
        <v>2</v>
      </c>
      <c r="M422" s="7">
        <v>11</v>
      </c>
      <c r="N422" s="7">
        <v>0</v>
      </c>
      <c r="O422" s="7" t="s">
        <v>824</v>
      </c>
      <c r="P422" s="7">
        <v>0</v>
      </c>
      <c r="Q422" s="7">
        <v>50902.8</v>
      </c>
      <c r="R422" s="7">
        <v>46776.36</v>
      </c>
      <c r="S422" s="7">
        <v>4126.4400000000023</v>
      </c>
      <c r="T422" s="7" t="s">
        <v>823</v>
      </c>
      <c r="U422" s="7"/>
    </row>
    <row r="423" spans="1:21" x14ac:dyDescent="0.25">
      <c r="A423" s="7" t="s">
        <v>448</v>
      </c>
      <c r="B423" s="7" t="s">
        <v>806</v>
      </c>
      <c r="C423" s="7">
        <v>44903</v>
      </c>
      <c r="D423" s="7">
        <v>44914</v>
      </c>
      <c r="E423" s="7" t="s">
        <v>21</v>
      </c>
      <c r="F423" s="7" t="s">
        <v>35</v>
      </c>
      <c r="G423" s="7">
        <v>1956</v>
      </c>
      <c r="H423" s="7">
        <v>31.88</v>
      </c>
      <c r="I423" s="7">
        <v>28.48</v>
      </c>
      <c r="J423" s="7">
        <v>86</v>
      </c>
      <c r="K423" s="7" t="s">
        <v>15</v>
      </c>
      <c r="L423" s="7">
        <v>11</v>
      </c>
      <c r="M423" s="7">
        <v>11</v>
      </c>
      <c r="N423" s="7">
        <v>0</v>
      </c>
      <c r="O423" s="7" t="s">
        <v>824</v>
      </c>
      <c r="P423" s="7">
        <v>0</v>
      </c>
      <c r="Q423" s="7">
        <v>62357.279999999999</v>
      </c>
      <c r="R423" s="7">
        <v>55706.879999999997</v>
      </c>
      <c r="S423" s="7">
        <v>6650.4000000000015</v>
      </c>
      <c r="T423" s="7" t="s">
        <v>823</v>
      </c>
      <c r="U423" s="7"/>
    </row>
    <row r="424" spans="1:21" x14ac:dyDescent="0.25">
      <c r="A424" s="7" t="s">
        <v>449</v>
      </c>
      <c r="B424" s="7" t="s">
        <v>805</v>
      </c>
      <c r="C424" s="7">
        <v>44695</v>
      </c>
      <c r="D424" s="7">
        <v>44706</v>
      </c>
      <c r="E424" s="7" t="s">
        <v>39</v>
      </c>
      <c r="F424" s="7" t="s">
        <v>18</v>
      </c>
      <c r="G424" s="7">
        <v>519</v>
      </c>
      <c r="H424" s="7">
        <v>51.73</v>
      </c>
      <c r="I424" s="7">
        <v>47.52</v>
      </c>
      <c r="J424" s="7">
        <v>81</v>
      </c>
      <c r="K424" s="7" t="s">
        <v>27</v>
      </c>
      <c r="L424" s="7">
        <v>11</v>
      </c>
      <c r="M424" s="7">
        <v>11</v>
      </c>
      <c r="N424" s="7">
        <v>0</v>
      </c>
      <c r="O424" s="7" t="s">
        <v>824</v>
      </c>
      <c r="P424" s="7">
        <v>0</v>
      </c>
      <c r="Q424" s="7">
        <v>26847.87</v>
      </c>
      <c r="R424" s="7">
        <v>24662.880000000001</v>
      </c>
      <c r="S424" s="7">
        <v>2184.989999999998</v>
      </c>
      <c r="T424" s="7" t="s">
        <v>823</v>
      </c>
      <c r="U424" s="7"/>
    </row>
    <row r="425" spans="1:21" x14ac:dyDescent="0.25">
      <c r="A425" s="7" t="s">
        <v>450</v>
      </c>
      <c r="B425" s="7" t="s">
        <v>806</v>
      </c>
      <c r="C425" s="7">
        <v>45214</v>
      </c>
      <c r="D425" s="7">
        <v>45220</v>
      </c>
      <c r="E425" s="7" t="s">
        <v>21</v>
      </c>
      <c r="F425" s="7" t="s">
        <v>33</v>
      </c>
      <c r="G425" s="7">
        <v>1448</v>
      </c>
      <c r="H425" s="7">
        <v>25.06</v>
      </c>
      <c r="I425" s="7">
        <v>21.62</v>
      </c>
      <c r="J425" s="7">
        <v>84</v>
      </c>
      <c r="K425" s="7" t="s">
        <v>15</v>
      </c>
      <c r="L425" s="7">
        <v>6</v>
      </c>
      <c r="M425" s="7">
        <v>11</v>
      </c>
      <c r="N425" s="7">
        <v>0</v>
      </c>
      <c r="O425" s="7" t="s">
        <v>824</v>
      </c>
      <c r="P425" s="7">
        <v>0</v>
      </c>
      <c r="Q425" s="7">
        <v>36286.879999999997</v>
      </c>
      <c r="R425" s="7">
        <v>31305.760000000002</v>
      </c>
      <c r="S425" s="7">
        <v>4981.1199999999953</v>
      </c>
      <c r="T425" s="7" t="s">
        <v>823</v>
      </c>
      <c r="U425" s="7"/>
    </row>
    <row r="426" spans="1:21" x14ac:dyDescent="0.25">
      <c r="A426" s="7" t="s">
        <v>451</v>
      </c>
      <c r="B426" s="7" t="s">
        <v>806</v>
      </c>
      <c r="C426" s="7">
        <v>44830</v>
      </c>
      <c r="D426" s="7">
        <v>44845</v>
      </c>
      <c r="E426" s="7" t="s">
        <v>24</v>
      </c>
      <c r="F426" s="7" t="s">
        <v>18</v>
      </c>
      <c r="G426" s="7">
        <v>1095</v>
      </c>
      <c r="H426" s="7">
        <v>26.91</v>
      </c>
      <c r="I426" s="7">
        <v>23.75</v>
      </c>
      <c r="J426" s="7">
        <v>53</v>
      </c>
      <c r="K426" s="7" t="s">
        <v>15</v>
      </c>
      <c r="L426" s="7">
        <v>15</v>
      </c>
      <c r="M426" s="7">
        <v>11</v>
      </c>
      <c r="N426" s="7">
        <v>4</v>
      </c>
      <c r="O426" s="7" t="s">
        <v>824</v>
      </c>
      <c r="P426" s="7">
        <v>0</v>
      </c>
      <c r="Q426" s="7">
        <v>29466.45</v>
      </c>
      <c r="R426" s="7">
        <v>26006.25</v>
      </c>
      <c r="S426" s="7">
        <v>3460.2000000000007</v>
      </c>
      <c r="T426" s="7" t="s">
        <v>826</v>
      </c>
      <c r="U426" s="7"/>
    </row>
    <row r="427" spans="1:21" x14ac:dyDescent="0.25">
      <c r="A427" s="7" t="s">
        <v>452</v>
      </c>
      <c r="B427" s="7" t="s">
        <v>804</v>
      </c>
      <c r="C427" s="7">
        <v>44727</v>
      </c>
      <c r="D427" s="7">
        <v>44738</v>
      </c>
      <c r="E427" s="7" t="s">
        <v>21</v>
      </c>
      <c r="F427" s="7" t="s">
        <v>18</v>
      </c>
      <c r="G427" s="7">
        <v>799</v>
      </c>
      <c r="H427" s="7">
        <v>56.22</v>
      </c>
      <c r="I427" s="7">
        <v>49.51</v>
      </c>
      <c r="J427" s="7">
        <v>18</v>
      </c>
      <c r="K427" s="7" t="s">
        <v>15</v>
      </c>
      <c r="L427" s="7">
        <v>11</v>
      </c>
      <c r="M427" s="7">
        <v>11</v>
      </c>
      <c r="N427" s="7">
        <v>0</v>
      </c>
      <c r="O427" s="7" t="s">
        <v>824</v>
      </c>
      <c r="P427" s="7">
        <v>0</v>
      </c>
      <c r="Q427" s="7">
        <v>44919.78</v>
      </c>
      <c r="R427" s="7">
        <v>39558.49</v>
      </c>
      <c r="S427" s="7">
        <v>5361.2900000000009</v>
      </c>
      <c r="T427" s="7" t="s">
        <v>823</v>
      </c>
      <c r="U427" s="7"/>
    </row>
    <row r="428" spans="1:21" x14ac:dyDescent="0.25">
      <c r="A428" s="7" t="s">
        <v>453</v>
      </c>
      <c r="B428" s="7" t="s">
        <v>807</v>
      </c>
      <c r="C428" s="7">
        <v>45014</v>
      </c>
      <c r="D428" s="7">
        <v>45034</v>
      </c>
      <c r="E428" s="7" t="s">
        <v>21</v>
      </c>
      <c r="F428" s="7" t="s">
        <v>33</v>
      </c>
      <c r="G428" s="7">
        <v>1743</v>
      </c>
      <c r="H428" s="7">
        <v>51.04</v>
      </c>
      <c r="I428" s="7">
        <v>47.15</v>
      </c>
      <c r="J428" s="7">
        <v>160</v>
      </c>
      <c r="K428" s="7" t="s">
        <v>15</v>
      </c>
      <c r="L428" s="7">
        <v>20</v>
      </c>
      <c r="M428" s="7">
        <v>11</v>
      </c>
      <c r="N428" s="7">
        <v>9</v>
      </c>
      <c r="O428" s="7" t="s">
        <v>824</v>
      </c>
      <c r="P428" s="7">
        <v>0</v>
      </c>
      <c r="Q428" s="7">
        <v>88962.72</v>
      </c>
      <c r="R428" s="7">
        <v>82182.45</v>
      </c>
      <c r="S428" s="7">
        <v>6780.2700000000041</v>
      </c>
      <c r="T428" s="7" t="s">
        <v>825</v>
      </c>
      <c r="U428" s="7"/>
    </row>
    <row r="429" spans="1:21" x14ac:dyDescent="0.25">
      <c r="A429" s="7" t="s">
        <v>454</v>
      </c>
      <c r="B429" s="7" t="s">
        <v>804</v>
      </c>
      <c r="C429" s="7">
        <v>45126</v>
      </c>
      <c r="D429" s="7">
        <v>45138</v>
      </c>
      <c r="E429" s="7" t="s">
        <v>26</v>
      </c>
      <c r="F429" s="7" t="s">
        <v>18</v>
      </c>
      <c r="G429" s="7">
        <v>87</v>
      </c>
      <c r="H429" s="7">
        <v>100.65</v>
      </c>
      <c r="I429" s="7">
        <v>85.56</v>
      </c>
      <c r="J429" s="7">
        <v>1</v>
      </c>
      <c r="K429" s="7" t="s">
        <v>15</v>
      </c>
      <c r="L429" s="7">
        <v>12</v>
      </c>
      <c r="M429" s="7">
        <v>11</v>
      </c>
      <c r="N429" s="7">
        <v>1</v>
      </c>
      <c r="O429" s="7" t="s">
        <v>824</v>
      </c>
      <c r="P429" s="7">
        <v>0</v>
      </c>
      <c r="Q429" s="7">
        <v>8756.5500000000011</v>
      </c>
      <c r="R429" s="7">
        <v>7443.72</v>
      </c>
      <c r="S429" s="7">
        <v>1312.8300000000008</v>
      </c>
      <c r="T429" s="7" t="s">
        <v>826</v>
      </c>
      <c r="U429" s="7"/>
    </row>
    <row r="430" spans="1:21" x14ac:dyDescent="0.25">
      <c r="A430" s="7" t="s">
        <v>455</v>
      </c>
      <c r="B430" s="7" t="s">
        <v>807</v>
      </c>
      <c r="C430" s="7">
        <v>45284</v>
      </c>
      <c r="D430" s="7">
        <v>45295</v>
      </c>
      <c r="E430" s="7" t="s">
        <v>26</v>
      </c>
      <c r="F430" s="7" t="s">
        <v>18</v>
      </c>
      <c r="G430" s="7">
        <v>279</v>
      </c>
      <c r="H430" s="7">
        <v>47.52</v>
      </c>
      <c r="I430" s="7">
        <v>46.5</v>
      </c>
      <c r="J430" s="7">
        <v>28</v>
      </c>
      <c r="K430" s="7" t="s">
        <v>27</v>
      </c>
      <c r="L430" s="7">
        <v>11</v>
      </c>
      <c r="M430" s="7">
        <v>11</v>
      </c>
      <c r="N430" s="7">
        <v>0</v>
      </c>
      <c r="O430" s="7" t="s">
        <v>824</v>
      </c>
      <c r="P430" s="7">
        <v>0</v>
      </c>
      <c r="Q430" s="7">
        <v>13258.080000000002</v>
      </c>
      <c r="R430" s="7">
        <v>12973.5</v>
      </c>
      <c r="S430" s="7">
        <v>284.58000000000175</v>
      </c>
      <c r="T430" s="7" t="s">
        <v>823</v>
      </c>
      <c r="U430" s="7"/>
    </row>
    <row r="431" spans="1:21" x14ac:dyDescent="0.25">
      <c r="A431" s="7" t="s">
        <v>456</v>
      </c>
      <c r="B431" s="7" t="s">
        <v>805</v>
      </c>
      <c r="C431" s="7">
        <v>44999</v>
      </c>
      <c r="D431" s="7">
        <v>45010</v>
      </c>
      <c r="E431" s="7" t="s">
        <v>26</v>
      </c>
      <c r="F431" s="7" t="s">
        <v>18</v>
      </c>
      <c r="G431" s="7">
        <v>1438</v>
      </c>
      <c r="H431" s="7">
        <v>66.61</v>
      </c>
      <c r="I431" s="7">
        <v>58.5</v>
      </c>
      <c r="J431" s="7">
        <v>237</v>
      </c>
      <c r="K431" s="7" t="s">
        <v>15</v>
      </c>
      <c r="L431" s="7">
        <v>11</v>
      </c>
      <c r="M431" s="7">
        <v>11</v>
      </c>
      <c r="N431" s="7">
        <v>0</v>
      </c>
      <c r="O431" s="7" t="s">
        <v>824</v>
      </c>
      <c r="P431" s="7">
        <v>0</v>
      </c>
      <c r="Q431" s="7">
        <v>95785.18</v>
      </c>
      <c r="R431" s="7">
        <v>84123</v>
      </c>
      <c r="S431" s="7">
        <v>11662.179999999993</v>
      </c>
      <c r="T431" s="7" t="s">
        <v>823</v>
      </c>
      <c r="U431" s="7"/>
    </row>
    <row r="432" spans="1:21" x14ac:dyDescent="0.25">
      <c r="A432" s="7" t="s">
        <v>457</v>
      </c>
      <c r="B432" s="7" t="s">
        <v>805</v>
      </c>
      <c r="C432" s="7">
        <v>45136</v>
      </c>
      <c r="D432" s="7">
        <v>45138</v>
      </c>
      <c r="E432" s="7" t="s">
        <v>13</v>
      </c>
      <c r="F432" s="7" t="s">
        <v>33</v>
      </c>
      <c r="G432" s="7">
        <v>612</v>
      </c>
      <c r="H432" s="7">
        <v>72.930000000000007</v>
      </c>
      <c r="I432" s="7">
        <v>63.32</v>
      </c>
      <c r="J432" s="7">
        <v>99</v>
      </c>
      <c r="K432" s="7" t="s">
        <v>15</v>
      </c>
      <c r="L432" s="7">
        <v>2</v>
      </c>
      <c r="M432" s="7">
        <v>11</v>
      </c>
      <c r="N432" s="7">
        <v>0</v>
      </c>
      <c r="O432" s="7" t="s">
        <v>824</v>
      </c>
      <c r="P432" s="7">
        <v>0</v>
      </c>
      <c r="Q432" s="7">
        <v>44633.16</v>
      </c>
      <c r="R432" s="7">
        <v>38751.840000000004</v>
      </c>
      <c r="S432" s="7">
        <v>5881.32</v>
      </c>
      <c r="T432" s="7" t="s">
        <v>823</v>
      </c>
      <c r="U432" s="7"/>
    </row>
    <row r="433" spans="1:21" x14ac:dyDescent="0.25">
      <c r="A433" s="7" t="s">
        <v>458</v>
      </c>
      <c r="B433" s="7" t="s">
        <v>808</v>
      </c>
      <c r="C433" s="7">
        <v>44571</v>
      </c>
      <c r="D433" s="7">
        <v>44582</v>
      </c>
      <c r="E433" s="7" t="s">
        <v>24</v>
      </c>
      <c r="F433" s="7" t="s">
        <v>35</v>
      </c>
      <c r="G433" s="7">
        <v>487</v>
      </c>
      <c r="H433" s="7">
        <v>11.18</v>
      </c>
      <c r="I433" s="7">
        <v>10.63</v>
      </c>
      <c r="J433" s="7">
        <v>15</v>
      </c>
      <c r="K433" s="7" t="s">
        <v>15</v>
      </c>
      <c r="L433" s="7">
        <v>11</v>
      </c>
      <c r="M433" s="7">
        <v>11</v>
      </c>
      <c r="N433" s="7">
        <v>0</v>
      </c>
      <c r="O433" s="7" t="s">
        <v>824</v>
      </c>
      <c r="P433" s="7">
        <v>0</v>
      </c>
      <c r="Q433" s="7">
        <v>5444.66</v>
      </c>
      <c r="R433" s="7">
        <v>5176.8100000000004</v>
      </c>
      <c r="S433" s="7">
        <v>267.84999999999945</v>
      </c>
      <c r="T433" s="7" t="s">
        <v>823</v>
      </c>
      <c r="U433" s="7"/>
    </row>
    <row r="434" spans="1:21" x14ac:dyDescent="0.25">
      <c r="A434" s="7" t="s">
        <v>459</v>
      </c>
      <c r="B434" s="7" t="s">
        <v>808</v>
      </c>
      <c r="C434" s="7">
        <v>44676</v>
      </c>
      <c r="D434" s="7">
        <v>44680</v>
      </c>
      <c r="E434" s="7" t="s">
        <v>24</v>
      </c>
      <c r="F434" s="7" t="s">
        <v>33</v>
      </c>
      <c r="G434" s="7">
        <v>1849</v>
      </c>
      <c r="H434" s="7">
        <v>70.760000000000005</v>
      </c>
      <c r="I434" s="7">
        <v>69.25</v>
      </c>
      <c r="J434" s="7">
        <v>51</v>
      </c>
      <c r="K434" s="7" t="s">
        <v>15</v>
      </c>
      <c r="L434" s="7">
        <v>4</v>
      </c>
      <c r="M434" s="7">
        <v>11</v>
      </c>
      <c r="N434" s="7">
        <v>0</v>
      </c>
      <c r="O434" s="7" t="s">
        <v>824</v>
      </c>
      <c r="P434" s="7">
        <v>0</v>
      </c>
      <c r="Q434" s="7">
        <v>130835.24</v>
      </c>
      <c r="R434" s="7">
        <v>128043.25</v>
      </c>
      <c r="S434" s="7">
        <v>2791.9900000000052</v>
      </c>
      <c r="T434" s="7" t="s">
        <v>823</v>
      </c>
      <c r="U434" s="7"/>
    </row>
    <row r="435" spans="1:21" x14ac:dyDescent="0.25">
      <c r="A435" s="7" t="s">
        <v>460</v>
      </c>
      <c r="B435" s="7" t="s">
        <v>808</v>
      </c>
      <c r="C435" s="7">
        <v>44639</v>
      </c>
      <c r="D435" s="7">
        <v>44652</v>
      </c>
      <c r="E435" s="7" t="s">
        <v>21</v>
      </c>
      <c r="F435" s="7" t="s">
        <v>33</v>
      </c>
      <c r="G435" s="7">
        <v>1356</v>
      </c>
      <c r="H435" s="7">
        <v>26.28</v>
      </c>
      <c r="I435" s="7">
        <v>25.44</v>
      </c>
      <c r="J435" s="7">
        <v>47</v>
      </c>
      <c r="K435" s="7" t="s">
        <v>15</v>
      </c>
      <c r="L435" s="7">
        <v>13</v>
      </c>
      <c r="M435" s="7">
        <v>11</v>
      </c>
      <c r="N435" s="7">
        <v>2</v>
      </c>
      <c r="O435" s="7" t="s">
        <v>824</v>
      </c>
      <c r="P435" s="7">
        <v>0</v>
      </c>
      <c r="Q435" s="7">
        <v>35635.68</v>
      </c>
      <c r="R435" s="7">
        <v>34496.639999999999</v>
      </c>
      <c r="S435" s="7">
        <v>1139.0400000000009</v>
      </c>
      <c r="T435" s="7" t="s">
        <v>826</v>
      </c>
      <c r="U435" s="7"/>
    </row>
    <row r="436" spans="1:21" x14ac:dyDescent="0.25">
      <c r="A436" s="7" t="s">
        <v>461</v>
      </c>
      <c r="B436" s="7" t="s">
        <v>805</v>
      </c>
      <c r="C436" s="7">
        <v>45269</v>
      </c>
      <c r="D436" s="7">
        <v>45289</v>
      </c>
      <c r="E436" s="7" t="s">
        <v>26</v>
      </c>
      <c r="F436" s="7" t="s">
        <v>18</v>
      </c>
      <c r="G436" s="7">
        <v>76</v>
      </c>
      <c r="H436" s="7">
        <v>107.59</v>
      </c>
      <c r="I436" s="7">
        <v>96.33</v>
      </c>
      <c r="J436" s="7">
        <v>10</v>
      </c>
      <c r="K436" s="7" t="s">
        <v>15</v>
      </c>
      <c r="L436" s="7">
        <v>20</v>
      </c>
      <c r="M436" s="7">
        <v>11</v>
      </c>
      <c r="N436" s="7">
        <v>9</v>
      </c>
      <c r="O436" s="7" t="s">
        <v>824</v>
      </c>
      <c r="P436" s="7">
        <v>0</v>
      </c>
      <c r="Q436" s="7">
        <v>8176.84</v>
      </c>
      <c r="R436" s="7">
        <v>7321.08</v>
      </c>
      <c r="S436" s="7">
        <v>855.76000000000022</v>
      </c>
      <c r="T436" s="7" t="s">
        <v>825</v>
      </c>
      <c r="U436" s="7"/>
    </row>
    <row r="437" spans="1:21" x14ac:dyDescent="0.25">
      <c r="A437" s="7" t="s">
        <v>462</v>
      </c>
      <c r="B437" s="7" t="s">
        <v>804</v>
      </c>
      <c r="C437" s="7">
        <v>44714</v>
      </c>
      <c r="D437" s="7">
        <v>44725</v>
      </c>
      <c r="E437" s="7" t="s">
        <v>24</v>
      </c>
      <c r="F437" s="7" t="s">
        <v>33</v>
      </c>
      <c r="G437" s="7">
        <v>275</v>
      </c>
      <c r="H437" s="7">
        <v>23.96</v>
      </c>
      <c r="I437" s="7">
        <v>20.440000000000001</v>
      </c>
      <c r="J437" s="7"/>
      <c r="K437" s="7" t="s">
        <v>15</v>
      </c>
      <c r="L437" s="7">
        <v>11</v>
      </c>
      <c r="M437" s="7">
        <v>11</v>
      </c>
      <c r="N437" s="7">
        <v>0</v>
      </c>
      <c r="O437" s="7" t="s">
        <v>822</v>
      </c>
      <c r="P437" s="7">
        <v>1</v>
      </c>
      <c r="Q437" s="7">
        <v>6589</v>
      </c>
      <c r="R437" s="7">
        <v>5621</v>
      </c>
      <c r="S437" s="7">
        <v>968</v>
      </c>
      <c r="T437" s="7" t="s">
        <v>823</v>
      </c>
      <c r="U437" s="7"/>
    </row>
    <row r="438" spans="1:21" x14ac:dyDescent="0.25">
      <c r="A438" s="7" t="s">
        <v>463</v>
      </c>
      <c r="B438" s="7" t="s">
        <v>804</v>
      </c>
      <c r="C438" s="7">
        <v>45120</v>
      </c>
      <c r="D438" s="7">
        <v>45125</v>
      </c>
      <c r="E438" s="7" t="s">
        <v>24</v>
      </c>
      <c r="F438" s="7" t="s">
        <v>18</v>
      </c>
      <c r="G438" s="7">
        <v>1350</v>
      </c>
      <c r="H438" s="7">
        <v>51.57</v>
      </c>
      <c r="I438" s="7">
        <v>48.07</v>
      </c>
      <c r="J438" s="7"/>
      <c r="K438" s="7" t="s">
        <v>15</v>
      </c>
      <c r="L438" s="7">
        <v>5</v>
      </c>
      <c r="M438" s="7">
        <v>11</v>
      </c>
      <c r="N438" s="7">
        <v>0</v>
      </c>
      <c r="O438" s="7" t="s">
        <v>822</v>
      </c>
      <c r="P438" s="7">
        <v>1</v>
      </c>
      <c r="Q438" s="7">
        <v>69619.5</v>
      </c>
      <c r="R438" s="7">
        <v>64894.5</v>
      </c>
      <c r="S438" s="7">
        <v>4725</v>
      </c>
      <c r="T438" s="7" t="s">
        <v>823</v>
      </c>
      <c r="U438" s="7"/>
    </row>
    <row r="439" spans="1:21" x14ac:dyDescent="0.25">
      <c r="A439" s="7" t="s">
        <v>464</v>
      </c>
      <c r="B439" s="7" t="s">
        <v>804</v>
      </c>
      <c r="C439" s="7">
        <v>44598</v>
      </c>
      <c r="D439" s="7">
        <v>44609</v>
      </c>
      <c r="E439" s="7" t="s">
        <v>21</v>
      </c>
      <c r="F439" s="7" t="s">
        <v>18</v>
      </c>
      <c r="G439" s="7">
        <v>847</v>
      </c>
      <c r="H439" s="7">
        <v>17.77</v>
      </c>
      <c r="I439" s="7">
        <v>17.39</v>
      </c>
      <c r="J439" s="7"/>
      <c r="K439" s="7" t="s">
        <v>15</v>
      </c>
      <c r="L439" s="7">
        <v>11</v>
      </c>
      <c r="M439" s="7">
        <v>11</v>
      </c>
      <c r="N439" s="7">
        <v>0</v>
      </c>
      <c r="O439" s="7" t="s">
        <v>822</v>
      </c>
      <c r="P439" s="7">
        <v>1</v>
      </c>
      <c r="Q439" s="7">
        <v>15051.19</v>
      </c>
      <c r="R439" s="7">
        <v>14729.33</v>
      </c>
      <c r="S439" s="7">
        <v>321.86000000000058</v>
      </c>
      <c r="T439" s="7" t="s">
        <v>823</v>
      </c>
      <c r="U439" s="7"/>
    </row>
    <row r="440" spans="1:21" x14ac:dyDescent="0.25">
      <c r="A440" s="7" t="s">
        <v>465</v>
      </c>
      <c r="B440" s="7" t="s">
        <v>806</v>
      </c>
      <c r="C440" s="7">
        <v>44940</v>
      </c>
      <c r="D440" s="7">
        <v>44953</v>
      </c>
      <c r="E440" s="7" t="s">
        <v>21</v>
      </c>
      <c r="F440" s="7" t="s">
        <v>18</v>
      </c>
      <c r="G440" s="7">
        <v>1682</v>
      </c>
      <c r="H440" s="7">
        <v>105.7</v>
      </c>
      <c r="I440" s="7">
        <v>101.3</v>
      </c>
      <c r="J440" s="7">
        <v>94</v>
      </c>
      <c r="K440" s="7" t="s">
        <v>15</v>
      </c>
      <c r="L440" s="7">
        <v>13</v>
      </c>
      <c r="M440" s="7">
        <v>11</v>
      </c>
      <c r="N440" s="7">
        <v>2</v>
      </c>
      <c r="O440" s="7" t="s">
        <v>824</v>
      </c>
      <c r="P440" s="7">
        <v>0</v>
      </c>
      <c r="Q440" s="7">
        <v>177787.4</v>
      </c>
      <c r="R440" s="7">
        <v>170386.6</v>
      </c>
      <c r="S440" s="7">
        <v>7400.7999999999884</v>
      </c>
      <c r="T440" s="7" t="s">
        <v>826</v>
      </c>
      <c r="U440" s="7"/>
    </row>
    <row r="441" spans="1:21" x14ac:dyDescent="0.25">
      <c r="A441" s="7" t="s">
        <v>466</v>
      </c>
      <c r="B441" s="7" t="s">
        <v>808</v>
      </c>
      <c r="C441" s="7">
        <v>45158</v>
      </c>
      <c r="D441" s="7">
        <v>45161</v>
      </c>
      <c r="E441" s="7" t="s">
        <v>39</v>
      </c>
      <c r="F441" s="7" t="s">
        <v>18</v>
      </c>
      <c r="G441" s="7">
        <v>333</v>
      </c>
      <c r="H441" s="7">
        <v>60.44</v>
      </c>
      <c r="I441" s="7">
        <v>58.54</v>
      </c>
      <c r="J441" s="7">
        <v>8</v>
      </c>
      <c r="K441" s="7" t="s">
        <v>15</v>
      </c>
      <c r="L441" s="7">
        <v>3</v>
      </c>
      <c r="M441" s="7">
        <v>11</v>
      </c>
      <c r="N441" s="7">
        <v>0</v>
      </c>
      <c r="O441" s="7" t="s">
        <v>824</v>
      </c>
      <c r="P441" s="7">
        <v>0</v>
      </c>
      <c r="Q441" s="7">
        <v>20126.52</v>
      </c>
      <c r="R441" s="7">
        <v>19493.82</v>
      </c>
      <c r="S441" s="7">
        <v>632.70000000000073</v>
      </c>
      <c r="T441" s="7" t="s">
        <v>823</v>
      </c>
      <c r="U441" s="7"/>
    </row>
    <row r="442" spans="1:21" x14ac:dyDescent="0.25">
      <c r="A442" s="7" t="s">
        <v>467</v>
      </c>
      <c r="B442" s="7" t="s">
        <v>804</v>
      </c>
      <c r="C442" s="7">
        <v>45127</v>
      </c>
      <c r="D442" s="7">
        <v>45140</v>
      </c>
      <c r="E442" s="7" t="s">
        <v>39</v>
      </c>
      <c r="F442" s="7" t="s">
        <v>14</v>
      </c>
      <c r="G442" s="7">
        <v>928</v>
      </c>
      <c r="H442" s="7">
        <v>69.31</v>
      </c>
      <c r="I442" s="7">
        <v>67.260000000000005</v>
      </c>
      <c r="J442" s="7">
        <v>20</v>
      </c>
      <c r="K442" s="7" t="s">
        <v>15</v>
      </c>
      <c r="L442" s="7">
        <v>13</v>
      </c>
      <c r="M442" s="7">
        <v>11</v>
      </c>
      <c r="N442" s="7">
        <v>2</v>
      </c>
      <c r="O442" s="7" t="s">
        <v>824</v>
      </c>
      <c r="P442" s="7">
        <v>0</v>
      </c>
      <c r="Q442" s="7">
        <v>64319.68</v>
      </c>
      <c r="R442" s="7">
        <v>62417.280000000006</v>
      </c>
      <c r="S442" s="7">
        <v>1902.3999999999942</v>
      </c>
      <c r="T442" s="7" t="s">
        <v>826</v>
      </c>
      <c r="U442" s="7"/>
    </row>
    <row r="443" spans="1:21" x14ac:dyDescent="0.25">
      <c r="A443" s="7" t="s">
        <v>468</v>
      </c>
      <c r="B443" s="7" t="s">
        <v>808</v>
      </c>
      <c r="C443" s="7">
        <v>44713</v>
      </c>
      <c r="D443" s="7">
        <v>44724</v>
      </c>
      <c r="E443" s="7" t="s">
        <v>21</v>
      </c>
      <c r="F443" s="7" t="s">
        <v>33</v>
      </c>
      <c r="G443" s="7">
        <v>1009</v>
      </c>
      <c r="H443" s="7">
        <v>16.440000000000001</v>
      </c>
      <c r="I443" s="7">
        <v>16.18</v>
      </c>
      <c r="J443" s="7"/>
      <c r="K443" s="7" t="s">
        <v>15</v>
      </c>
      <c r="L443" s="7">
        <v>11</v>
      </c>
      <c r="M443" s="7">
        <v>11</v>
      </c>
      <c r="N443" s="7">
        <v>0</v>
      </c>
      <c r="O443" s="7" t="s">
        <v>822</v>
      </c>
      <c r="P443" s="7">
        <v>1</v>
      </c>
      <c r="Q443" s="7">
        <v>16587.960000000003</v>
      </c>
      <c r="R443" s="7">
        <v>16325.619999999999</v>
      </c>
      <c r="S443" s="7">
        <v>262.34000000000378</v>
      </c>
      <c r="T443" s="7" t="s">
        <v>823</v>
      </c>
      <c r="U443" s="7"/>
    </row>
    <row r="444" spans="1:21" x14ac:dyDescent="0.25">
      <c r="A444" s="7" t="s">
        <v>469</v>
      </c>
      <c r="B444" s="7" t="s">
        <v>808</v>
      </c>
      <c r="C444" s="7">
        <v>45002</v>
      </c>
      <c r="D444" s="7">
        <v>45019</v>
      </c>
      <c r="E444" s="7" t="s">
        <v>39</v>
      </c>
      <c r="F444" s="7" t="s">
        <v>35</v>
      </c>
      <c r="G444" s="7">
        <v>1554</v>
      </c>
      <c r="H444" s="7">
        <v>82.92</v>
      </c>
      <c r="I444" s="7">
        <v>74.819999999999993</v>
      </c>
      <c r="J444" s="7">
        <v>44</v>
      </c>
      <c r="K444" s="7" t="s">
        <v>15</v>
      </c>
      <c r="L444" s="7">
        <v>17</v>
      </c>
      <c r="M444" s="7">
        <v>11</v>
      </c>
      <c r="N444" s="7">
        <v>6</v>
      </c>
      <c r="O444" s="7" t="s">
        <v>824</v>
      </c>
      <c r="P444" s="7">
        <v>0</v>
      </c>
      <c r="Q444" s="7">
        <v>128857.68000000001</v>
      </c>
      <c r="R444" s="7">
        <v>116270.27999999998</v>
      </c>
      <c r="S444" s="7">
        <v>12587.400000000023</v>
      </c>
      <c r="T444" s="7" t="s">
        <v>825</v>
      </c>
      <c r="U444" s="7"/>
    </row>
    <row r="445" spans="1:21" x14ac:dyDescent="0.25">
      <c r="A445" s="7" t="s">
        <v>470</v>
      </c>
      <c r="B445" s="7" t="s">
        <v>806</v>
      </c>
      <c r="C445" s="7">
        <v>44692</v>
      </c>
      <c r="D445" s="7">
        <v>44706</v>
      </c>
      <c r="E445" s="7" t="s">
        <v>24</v>
      </c>
      <c r="F445" s="7" t="s">
        <v>33</v>
      </c>
      <c r="G445" s="7">
        <v>502</v>
      </c>
      <c r="H445" s="7">
        <v>29.47</v>
      </c>
      <c r="I445" s="7">
        <v>28.94</v>
      </c>
      <c r="J445" s="7">
        <v>27</v>
      </c>
      <c r="K445" s="7" t="s">
        <v>15</v>
      </c>
      <c r="L445" s="7">
        <v>14</v>
      </c>
      <c r="M445" s="7">
        <v>11</v>
      </c>
      <c r="N445" s="7">
        <v>3</v>
      </c>
      <c r="O445" s="7" t="s">
        <v>824</v>
      </c>
      <c r="P445" s="7">
        <v>0</v>
      </c>
      <c r="Q445" s="7">
        <v>14793.939999999999</v>
      </c>
      <c r="R445" s="7">
        <v>14527.880000000001</v>
      </c>
      <c r="S445" s="7">
        <v>266.05999999999767</v>
      </c>
      <c r="T445" s="7" t="s">
        <v>826</v>
      </c>
      <c r="U445" s="7"/>
    </row>
    <row r="446" spans="1:21" x14ac:dyDescent="0.25">
      <c r="A446" s="7" t="s">
        <v>471</v>
      </c>
      <c r="B446" s="7" t="s">
        <v>805</v>
      </c>
      <c r="C446" s="7">
        <v>44604</v>
      </c>
      <c r="D446" s="7">
        <v>44605</v>
      </c>
      <c r="E446" s="7" t="s">
        <v>21</v>
      </c>
      <c r="F446" s="7" t="s">
        <v>18</v>
      </c>
      <c r="G446" s="7">
        <v>1069</v>
      </c>
      <c r="H446" s="7">
        <v>91.28</v>
      </c>
      <c r="I446" s="7">
        <v>82.64</v>
      </c>
      <c r="J446" s="7"/>
      <c r="K446" s="7" t="s">
        <v>15</v>
      </c>
      <c r="L446" s="7">
        <v>1</v>
      </c>
      <c r="M446" s="7">
        <v>11</v>
      </c>
      <c r="N446" s="7">
        <v>0</v>
      </c>
      <c r="O446" s="7" t="s">
        <v>822</v>
      </c>
      <c r="P446" s="7">
        <v>1</v>
      </c>
      <c r="Q446" s="7">
        <v>97578.32</v>
      </c>
      <c r="R446" s="7">
        <v>88342.16</v>
      </c>
      <c r="S446" s="7">
        <v>9236.1600000000035</v>
      </c>
      <c r="T446" s="7" t="s">
        <v>823</v>
      </c>
      <c r="U446" s="7"/>
    </row>
    <row r="447" spans="1:21" x14ac:dyDescent="0.25">
      <c r="A447" s="7" t="s">
        <v>472</v>
      </c>
      <c r="B447" s="7" t="s">
        <v>804</v>
      </c>
      <c r="C447" s="7">
        <v>44877</v>
      </c>
      <c r="D447" s="7">
        <v>44883</v>
      </c>
      <c r="E447" s="7" t="s">
        <v>21</v>
      </c>
      <c r="F447" s="7" t="s">
        <v>35</v>
      </c>
      <c r="G447" s="7">
        <v>1902</v>
      </c>
      <c r="H447" s="7">
        <v>29.89</v>
      </c>
      <c r="I447" s="7">
        <v>25.83</v>
      </c>
      <c r="J447" s="7">
        <v>41</v>
      </c>
      <c r="K447" s="7" t="s">
        <v>15</v>
      </c>
      <c r="L447" s="7">
        <v>6</v>
      </c>
      <c r="M447" s="7">
        <v>11</v>
      </c>
      <c r="N447" s="7">
        <v>0</v>
      </c>
      <c r="O447" s="7" t="s">
        <v>824</v>
      </c>
      <c r="P447" s="7">
        <v>0</v>
      </c>
      <c r="Q447" s="7">
        <v>56850.78</v>
      </c>
      <c r="R447" s="7">
        <v>49128.659999999996</v>
      </c>
      <c r="S447" s="7">
        <v>7722.1200000000026</v>
      </c>
      <c r="T447" s="7" t="s">
        <v>823</v>
      </c>
      <c r="U447" s="7"/>
    </row>
    <row r="448" spans="1:21" x14ac:dyDescent="0.25">
      <c r="A448" s="7" t="s">
        <v>473</v>
      </c>
      <c r="B448" s="7" t="s">
        <v>806</v>
      </c>
      <c r="C448" s="7">
        <v>44935</v>
      </c>
      <c r="D448" s="7">
        <v>44945</v>
      </c>
      <c r="E448" s="7" t="s">
        <v>26</v>
      </c>
      <c r="F448" s="7" t="s">
        <v>35</v>
      </c>
      <c r="G448" s="7">
        <v>865</v>
      </c>
      <c r="H448" s="7">
        <v>28.79</v>
      </c>
      <c r="I448" s="7">
        <v>25.69</v>
      </c>
      <c r="J448" s="7">
        <v>47</v>
      </c>
      <c r="K448" s="7" t="s">
        <v>15</v>
      </c>
      <c r="L448" s="7">
        <v>10</v>
      </c>
      <c r="M448" s="7">
        <v>11</v>
      </c>
      <c r="N448" s="7">
        <v>0</v>
      </c>
      <c r="O448" s="7" t="s">
        <v>824</v>
      </c>
      <c r="P448" s="7">
        <v>0</v>
      </c>
      <c r="Q448" s="7">
        <v>24903.35</v>
      </c>
      <c r="R448" s="7">
        <v>22221.850000000002</v>
      </c>
      <c r="S448" s="7">
        <v>2681.4999999999964</v>
      </c>
      <c r="T448" s="7" t="s">
        <v>823</v>
      </c>
      <c r="U448" s="7"/>
    </row>
    <row r="449" spans="1:21" x14ac:dyDescent="0.25">
      <c r="A449" s="7" t="s">
        <v>474</v>
      </c>
      <c r="B449" s="7" t="s">
        <v>805</v>
      </c>
      <c r="C449" s="7">
        <v>44602</v>
      </c>
      <c r="D449" s="7">
        <v>44618</v>
      </c>
      <c r="E449" s="7" t="s">
        <v>24</v>
      </c>
      <c r="F449" s="7" t="s">
        <v>33</v>
      </c>
      <c r="G449" s="7">
        <v>708</v>
      </c>
      <c r="H449" s="7">
        <v>13.36</v>
      </c>
      <c r="I449" s="7">
        <v>11.61</v>
      </c>
      <c r="J449" s="7"/>
      <c r="K449" s="7" t="s">
        <v>27</v>
      </c>
      <c r="L449" s="7">
        <v>16</v>
      </c>
      <c r="M449" s="7">
        <v>11</v>
      </c>
      <c r="N449" s="7">
        <v>5</v>
      </c>
      <c r="O449" s="7" t="s">
        <v>824</v>
      </c>
      <c r="P449" s="7">
        <v>0</v>
      </c>
      <c r="Q449" s="7">
        <v>9458.8799999999992</v>
      </c>
      <c r="R449" s="7">
        <v>8219.8799999999992</v>
      </c>
      <c r="S449" s="7">
        <v>1239</v>
      </c>
      <c r="T449" s="7" t="s">
        <v>825</v>
      </c>
      <c r="U449" s="7"/>
    </row>
    <row r="450" spans="1:21" x14ac:dyDescent="0.25">
      <c r="A450" s="7" t="s">
        <v>475</v>
      </c>
      <c r="B450" s="7" t="s">
        <v>805</v>
      </c>
      <c r="C450" s="7">
        <v>44928</v>
      </c>
      <c r="D450" s="7">
        <v>44933</v>
      </c>
      <c r="E450" s="7" t="s">
        <v>24</v>
      </c>
      <c r="F450" s="7" t="s">
        <v>18</v>
      </c>
      <c r="G450" s="7">
        <v>1589</v>
      </c>
      <c r="H450" s="7">
        <v>55.64</v>
      </c>
      <c r="I450" s="7">
        <v>48.52</v>
      </c>
      <c r="J450" s="7"/>
      <c r="K450" s="7" t="s">
        <v>15</v>
      </c>
      <c r="L450" s="7">
        <v>5</v>
      </c>
      <c r="M450" s="7">
        <v>11</v>
      </c>
      <c r="N450" s="7">
        <v>0</v>
      </c>
      <c r="O450" s="7" t="s">
        <v>822</v>
      </c>
      <c r="P450" s="7">
        <v>1</v>
      </c>
      <c r="Q450" s="7">
        <v>88411.96</v>
      </c>
      <c r="R450" s="7">
        <v>77098.28</v>
      </c>
      <c r="S450" s="7">
        <v>11313.680000000008</v>
      </c>
      <c r="T450" s="7" t="s">
        <v>823</v>
      </c>
      <c r="U450" s="7"/>
    </row>
    <row r="451" spans="1:21" x14ac:dyDescent="0.25">
      <c r="A451" s="7" t="s">
        <v>476</v>
      </c>
      <c r="B451" s="7" t="s">
        <v>804</v>
      </c>
      <c r="C451" s="7">
        <v>44777</v>
      </c>
      <c r="D451" s="7">
        <v>44787</v>
      </c>
      <c r="E451" s="7" t="s">
        <v>13</v>
      </c>
      <c r="F451" s="7" t="s">
        <v>18</v>
      </c>
      <c r="G451" s="7">
        <v>596</v>
      </c>
      <c r="H451" s="7">
        <v>62.96</v>
      </c>
      <c r="I451" s="7">
        <v>61.88</v>
      </c>
      <c r="J451" s="7">
        <v>9</v>
      </c>
      <c r="K451" s="7" t="s">
        <v>15</v>
      </c>
      <c r="L451" s="7">
        <v>10</v>
      </c>
      <c r="M451" s="7">
        <v>11</v>
      </c>
      <c r="N451" s="7">
        <v>0</v>
      </c>
      <c r="O451" s="7" t="s">
        <v>824</v>
      </c>
      <c r="P451" s="7">
        <v>0</v>
      </c>
      <c r="Q451" s="7">
        <v>37524.160000000003</v>
      </c>
      <c r="R451" s="7">
        <v>36880.480000000003</v>
      </c>
      <c r="S451" s="7">
        <v>643.68000000000029</v>
      </c>
      <c r="T451" s="7" t="s">
        <v>823</v>
      </c>
      <c r="U451" s="7"/>
    </row>
    <row r="452" spans="1:21" x14ac:dyDescent="0.25">
      <c r="A452" s="7" t="s">
        <v>477</v>
      </c>
      <c r="B452" s="7" t="s">
        <v>808</v>
      </c>
      <c r="C452" s="7">
        <v>45260</v>
      </c>
      <c r="D452" s="7">
        <v>45264</v>
      </c>
      <c r="E452" s="7" t="s">
        <v>13</v>
      </c>
      <c r="F452" s="7" t="s">
        <v>18</v>
      </c>
      <c r="G452" s="7">
        <v>1265</v>
      </c>
      <c r="H452" s="7">
        <v>17.66</v>
      </c>
      <c r="I452" s="7">
        <v>16.97</v>
      </c>
      <c r="J452" s="7">
        <v>34</v>
      </c>
      <c r="K452" s="7" t="s">
        <v>15</v>
      </c>
      <c r="L452" s="7">
        <v>4</v>
      </c>
      <c r="M452" s="7">
        <v>11</v>
      </c>
      <c r="N452" s="7">
        <v>0</v>
      </c>
      <c r="O452" s="7" t="s">
        <v>824</v>
      </c>
      <c r="P452" s="7">
        <v>0</v>
      </c>
      <c r="Q452" s="7">
        <v>22339.9</v>
      </c>
      <c r="R452" s="7">
        <v>21467.05</v>
      </c>
      <c r="S452" s="7">
        <v>872.85000000000218</v>
      </c>
      <c r="T452" s="7" t="s">
        <v>823</v>
      </c>
      <c r="U452" s="7"/>
    </row>
    <row r="453" spans="1:21" x14ac:dyDescent="0.25">
      <c r="A453" s="7" t="s">
        <v>478</v>
      </c>
      <c r="B453" s="7" t="s">
        <v>807</v>
      </c>
      <c r="C453" s="7">
        <v>44817</v>
      </c>
      <c r="D453" s="7">
        <v>44835</v>
      </c>
      <c r="E453" s="7" t="s">
        <v>26</v>
      </c>
      <c r="F453" s="7" t="s">
        <v>18</v>
      </c>
      <c r="G453" s="7">
        <v>1122</v>
      </c>
      <c r="H453" s="7">
        <v>82.99</v>
      </c>
      <c r="I453" s="7">
        <v>81.7</v>
      </c>
      <c r="J453" s="7">
        <v>118</v>
      </c>
      <c r="K453" s="7" t="s">
        <v>27</v>
      </c>
      <c r="L453" s="7">
        <v>18</v>
      </c>
      <c r="M453" s="7">
        <v>11</v>
      </c>
      <c r="N453" s="7">
        <v>7</v>
      </c>
      <c r="O453" s="7" t="s">
        <v>824</v>
      </c>
      <c r="P453" s="7">
        <v>0</v>
      </c>
      <c r="Q453" s="7">
        <v>93114.78</v>
      </c>
      <c r="R453" s="7">
        <v>91667.400000000009</v>
      </c>
      <c r="S453" s="7">
        <v>1447.3799999999901</v>
      </c>
      <c r="T453" s="7" t="s">
        <v>825</v>
      </c>
      <c r="U453" s="7"/>
    </row>
    <row r="454" spans="1:21" x14ac:dyDescent="0.25">
      <c r="A454" s="7" t="s">
        <v>479</v>
      </c>
      <c r="B454" s="7" t="s">
        <v>808</v>
      </c>
      <c r="C454" s="7">
        <v>45244</v>
      </c>
      <c r="D454" s="7">
        <v>45261</v>
      </c>
      <c r="E454" s="7" t="s">
        <v>13</v>
      </c>
      <c r="F454" s="7" t="s">
        <v>18</v>
      </c>
      <c r="G454" s="7">
        <v>1585</v>
      </c>
      <c r="H454" s="7">
        <v>56.38</v>
      </c>
      <c r="I454" s="7">
        <v>53.05</v>
      </c>
      <c r="J454" s="7"/>
      <c r="K454" s="7" t="s">
        <v>15</v>
      </c>
      <c r="L454" s="7">
        <v>17</v>
      </c>
      <c r="M454" s="7">
        <v>11</v>
      </c>
      <c r="N454" s="7">
        <v>6</v>
      </c>
      <c r="O454" s="7" t="s">
        <v>824</v>
      </c>
      <c r="P454" s="7">
        <v>0</v>
      </c>
      <c r="Q454" s="7">
        <v>89362.3</v>
      </c>
      <c r="R454" s="7">
        <v>84084.25</v>
      </c>
      <c r="S454" s="7">
        <v>5278.0500000000029</v>
      </c>
      <c r="T454" s="7" t="s">
        <v>825</v>
      </c>
      <c r="U454" s="7"/>
    </row>
    <row r="455" spans="1:21" x14ac:dyDescent="0.25">
      <c r="A455" s="7" t="s">
        <v>480</v>
      </c>
      <c r="B455" s="7" t="s">
        <v>808</v>
      </c>
      <c r="C455" s="7">
        <v>44667</v>
      </c>
      <c r="D455" s="7">
        <v>44678</v>
      </c>
      <c r="E455" s="7" t="s">
        <v>39</v>
      </c>
      <c r="F455" s="7" t="s">
        <v>18</v>
      </c>
      <c r="G455" s="7">
        <v>66</v>
      </c>
      <c r="H455" s="7">
        <v>58.05</v>
      </c>
      <c r="I455" s="7">
        <v>50.76</v>
      </c>
      <c r="J455" s="7"/>
      <c r="K455" s="7" t="s">
        <v>15</v>
      </c>
      <c r="L455" s="7">
        <v>11</v>
      </c>
      <c r="M455" s="7">
        <v>11</v>
      </c>
      <c r="N455" s="7">
        <v>0</v>
      </c>
      <c r="O455" s="7" t="s">
        <v>822</v>
      </c>
      <c r="P455" s="7">
        <v>1</v>
      </c>
      <c r="Q455" s="7">
        <v>3831.2999999999997</v>
      </c>
      <c r="R455" s="7">
        <v>3350.16</v>
      </c>
      <c r="S455" s="7">
        <v>481.13999999999987</v>
      </c>
      <c r="T455" s="7" t="s">
        <v>823</v>
      </c>
      <c r="U455" s="7"/>
    </row>
    <row r="456" spans="1:21" x14ac:dyDescent="0.25">
      <c r="A456" s="7" t="s">
        <v>481</v>
      </c>
      <c r="B456" s="7" t="s">
        <v>807</v>
      </c>
      <c r="C456" s="7">
        <v>44924</v>
      </c>
      <c r="D456" s="7">
        <v>44944</v>
      </c>
      <c r="E456" s="7" t="s">
        <v>21</v>
      </c>
      <c r="F456" s="7" t="s">
        <v>18</v>
      </c>
      <c r="G456" s="7">
        <v>1245</v>
      </c>
      <c r="H456" s="7">
        <v>52.4</v>
      </c>
      <c r="I456" s="7">
        <v>51.65</v>
      </c>
      <c r="J456" s="7">
        <v>118</v>
      </c>
      <c r="K456" s="7" t="s">
        <v>27</v>
      </c>
      <c r="L456" s="7">
        <v>20</v>
      </c>
      <c r="M456" s="7">
        <v>11</v>
      </c>
      <c r="N456" s="7">
        <v>9</v>
      </c>
      <c r="O456" s="7" t="s">
        <v>824</v>
      </c>
      <c r="P456" s="7">
        <v>0</v>
      </c>
      <c r="Q456" s="7">
        <v>65238</v>
      </c>
      <c r="R456" s="7">
        <v>64304.25</v>
      </c>
      <c r="S456" s="7">
        <v>933.75</v>
      </c>
      <c r="T456" s="7" t="s">
        <v>825</v>
      </c>
      <c r="U456" s="7"/>
    </row>
    <row r="457" spans="1:21" x14ac:dyDescent="0.25">
      <c r="A457" s="7" t="s">
        <v>482</v>
      </c>
      <c r="B457" s="7" t="s">
        <v>805</v>
      </c>
      <c r="C457" s="7">
        <v>45135</v>
      </c>
      <c r="D457" s="7">
        <v>45148</v>
      </c>
      <c r="E457" s="7" t="s">
        <v>39</v>
      </c>
      <c r="F457" s="7" t="s">
        <v>18</v>
      </c>
      <c r="G457" s="7">
        <v>1293</v>
      </c>
      <c r="H457" s="7">
        <v>50.21</v>
      </c>
      <c r="I457" s="7">
        <v>47.55</v>
      </c>
      <c r="J457" s="7"/>
      <c r="K457" s="7" t="s">
        <v>27</v>
      </c>
      <c r="L457" s="7">
        <v>13</v>
      </c>
      <c r="M457" s="7">
        <v>11</v>
      </c>
      <c r="N457" s="7">
        <v>2</v>
      </c>
      <c r="O457" s="7" t="s">
        <v>824</v>
      </c>
      <c r="P457" s="7">
        <v>0</v>
      </c>
      <c r="Q457" s="7">
        <v>64921.53</v>
      </c>
      <c r="R457" s="7">
        <v>61482.149999999994</v>
      </c>
      <c r="S457" s="7">
        <v>3439.3800000000047</v>
      </c>
      <c r="T457" s="7" t="s">
        <v>826</v>
      </c>
      <c r="U457" s="7"/>
    </row>
    <row r="458" spans="1:21" x14ac:dyDescent="0.25">
      <c r="A458" s="7" t="s">
        <v>483</v>
      </c>
      <c r="B458" s="7" t="s">
        <v>807</v>
      </c>
      <c r="C458" s="7">
        <v>44978</v>
      </c>
      <c r="D458" s="7">
        <v>44984</v>
      </c>
      <c r="E458" s="7" t="s">
        <v>24</v>
      </c>
      <c r="F458" s="7" t="s">
        <v>18</v>
      </c>
      <c r="G458" s="7">
        <v>207</v>
      </c>
      <c r="H458" s="7">
        <v>64.290000000000006</v>
      </c>
      <c r="I458" s="7">
        <v>63.01</v>
      </c>
      <c r="J458" s="7">
        <v>25</v>
      </c>
      <c r="K458" s="7" t="s">
        <v>15</v>
      </c>
      <c r="L458" s="7">
        <v>6</v>
      </c>
      <c r="M458" s="7">
        <v>11</v>
      </c>
      <c r="N458" s="7">
        <v>0</v>
      </c>
      <c r="O458" s="7" t="s">
        <v>824</v>
      </c>
      <c r="P458" s="7">
        <v>0</v>
      </c>
      <c r="Q458" s="7">
        <v>13308.03</v>
      </c>
      <c r="R458" s="7">
        <v>13043.07</v>
      </c>
      <c r="S458" s="7">
        <v>264.96000000000095</v>
      </c>
      <c r="T458" s="7" t="s">
        <v>823</v>
      </c>
      <c r="U458" s="7"/>
    </row>
    <row r="459" spans="1:21" x14ac:dyDescent="0.25">
      <c r="A459" s="7" t="s">
        <v>484</v>
      </c>
      <c r="B459" s="7" t="s">
        <v>807</v>
      </c>
      <c r="C459" s="7">
        <v>45197</v>
      </c>
      <c r="D459" s="7">
        <v>45217</v>
      </c>
      <c r="E459" s="7" t="s">
        <v>13</v>
      </c>
      <c r="F459" s="7" t="s">
        <v>18</v>
      </c>
      <c r="G459" s="7">
        <v>526</v>
      </c>
      <c r="H459" s="7">
        <v>26.37</v>
      </c>
      <c r="I459" s="7">
        <v>25.32</v>
      </c>
      <c r="J459" s="7">
        <v>47</v>
      </c>
      <c r="K459" s="7" t="s">
        <v>15</v>
      </c>
      <c r="L459" s="7">
        <v>20</v>
      </c>
      <c r="M459" s="7">
        <v>11</v>
      </c>
      <c r="N459" s="7">
        <v>9</v>
      </c>
      <c r="O459" s="7" t="s">
        <v>824</v>
      </c>
      <c r="P459" s="7">
        <v>0</v>
      </c>
      <c r="Q459" s="7">
        <v>13870.62</v>
      </c>
      <c r="R459" s="7">
        <v>13318.32</v>
      </c>
      <c r="S459" s="7">
        <v>552.30000000000109</v>
      </c>
      <c r="T459" s="7" t="s">
        <v>825</v>
      </c>
      <c r="U459" s="7"/>
    </row>
    <row r="460" spans="1:21" x14ac:dyDescent="0.25">
      <c r="A460" s="7" t="s">
        <v>485</v>
      </c>
      <c r="B460" s="7" t="s">
        <v>806</v>
      </c>
      <c r="C460" s="7">
        <v>44720</v>
      </c>
      <c r="D460" s="7">
        <v>44726</v>
      </c>
      <c r="E460" s="7" t="s">
        <v>39</v>
      </c>
      <c r="F460" s="7" t="s">
        <v>18</v>
      </c>
      <c r="G460" s="7">
        <v>1119</v>
      </c>
      <c r="H460" s="7">
        <v>27.03</v>
      </c>
      <c r="I460" s="7">
        <v>23.82</v>
      </c>
      <c r="J460" s="7"/>
      <c r="K460" s="7" t="s">
        <v>15</v>
      </c>
      <c r="L460" s="7">
        <v>6</v>
      </c>
      <c r="M460" s="7">
        <v>11</v>
      </c>
      <c r="N460" s="7">
        <v>0</v>
      </c>
      <c r="O460" s="7" t="s">
        <v>822</v>
      </c>
      <c r="P460" s="7">
        <v>1</v>
      </c>
      <c r="Q460" s="7">
        <v>30246.57</v>
      </c>
      <c r="R460" s="7">
        <v>26654.58</v>
      </c>
      <c r="S460" s="7">
        <v>3591.989999999998</v>
      </c>
      <c r="T460" s="7" t="s">
        <v>823</v>
      </c>
      <c r="U460" s="7"/>
    </row>
    <row r="461" spans="1:21" x14ac:dyDescent="0.25">
      <c r="A461" s="7" t="s">
        <v>486</v>
      </c>
      <c r="B461" s="7" t="s">
        <v>806</v>
      </c>
      <c r="C461" s="7">
        <v>44804</v>
      </c>
      <c r="D461" s="7">
        <v>44806</v>
      </c>
      <c r="E461" s="7" t="s">
        <v>24</v>
      </c>
      <c r="F461" s="7" t="s">
        <v>18</v>
      </c>
      <c r="G461" s="7">
        <v>1446</v>
      </c>
      <c r="H461" s="7">
        <v>90.63</v>
      </c>
      <c r="I461" s="7">
        <v>84.51</v>
      </c>
      <c r="J461" s="7">
        <v>77</v>
      </c>
      <c r="K461" s="7" t="s">
        <v>15</v>
      </c>
      <c r="L461" s="7">
        <v>2</v>
      </c>
      <c r="M461" s="7">
        <v>11</v>
      </c>
      <c r="N461" s="7">
        <v>0</v>
      </c>
      <c r="O461" s="7" t="s">
        <v>824</v>
      </c>
      <c r="P461" s="7">
        <v>0</v>
      </c>
      <c r="Q461" s="7">
        <v>131050.98</v>
      </c>
      <c r="R461" s="7">
        <v>122201.46</v>
      </c>
      <c r="S461" s="7">
        <v>8849.5199999999895</v>
      </c>
      <c r="T461" s="7" t="s">
        <v>823</v>
      </c>
      <c r="U461" s="7"/>
    </row>
    <row r="462" spans="1:21" x14ac:dyDescent="0.25">
      <c r="A462" s="7" t="s">
        <v>487</v>
      </c>
      <c r="B462" s="7" t="s">
        <v>806</v>
      </c>
      <c r="C462" s="7">
        <v>44728</v>
      </c>
      <c r="D462" s="7">
        <v>44736</v>
      </c>
      <c r="E462" s="7" t="s">
        <v>13</v>
      </c>
      <c r="F462" s="7" t="s">
        <v>18</v>
      </c>
      <c r="G462" s="7">
        <v>567</v>
      </c>
      <c r="H462" s="7">
        <v>97.53</v>
      </c>
      <c r="I462" s="7">
        <v>85.29</v>
      </c>
      <c r="J462" s="7">
        <v>21</v>
      </c>
      <c r="K462" s="7" t="s">
        <v>15</v>
      </c>
      <c r="L462" s="7">
        <v>8</v>
      </c>
      <c r="M462" s="7">
        <v>11</v>
      </c>
      <c r="N462" s="7">
        <v>0</v>
      </c>
      <c r="O462" s="7" t="s">
        <v>824</v>
      </c>
      <c r="P462" s="7">
        <v>0</v>
      </c>
      <c r="Q462" s="7">
        <v>55299.51</v>
      </c>
      <c r="R462" s="7">
        <v>48359.43</v>
      </c>
      <c r="S462" s="7">
        <v>6940.0800000000017</v>
      </c>
      <c r="T462" s="7" t="s">
        <v>823</v>
      </c>
      <c r="U462" s="7"/>
    </row>
    <row r="463" spans="1:21" x14ac:dyDescent="0.25">
      <c r="A463" s="7" t="s">
        <v>488</v>
      </c>
      <c r="B463" s="7" t="s">
        <v>805</v>
      </c>
      <c r="C463" s="7">
        <v>44743</v>
      </c>
      <c r="D463" s="7">
        <v>44754</v>
      </c>
      <c r="E463" s="7" t="s">
        <v>21</v>
      </c>
      <c r="F463" s="7" t="s">
        <v>18</v>
      </c>
      <c r="G463" s="7">
        <v>148</v>
      </c>
      <c r="H463" s="7">
        <v>44.91</v>
      </c>
      <c r="I463" s="7">
        <v>40.1</v>
      </c>
      <c r="J463" s="7"/>
      <c r="K463" s="7" t="s">
        <v>27</v>
      </c>
      <c r="L463" s="7">
        <v>11</v>
      </c>
      <c r="M463" s="7">
        <v>11</v>
      </c>
      <c r="N463" s="7">
        <v>0</v>
      </c>
      <c r="O463" s="7" t="s">
        <v>822</v>
      </c>
      <c r="P463" s="7">
        <v>1</v>
      </c>
      <c r="Q463" s="7">
        <v>6646.6799999999994</v>
      </c>
      <c r="R463" s="7">
        <v>5934.8</v>
      </c>
      <c r="S463" s="7">
        <v>711.8799999999992</v>
      </c>
      <c r="T463" s="7" t="s">
        <v>823</v>
      </c>
      <c r="U463" s="7"/>
    </row>
    <row r="464" spans="1:21" x14ac:dyDescent="0.25">
      <c r="A464" s="7" t="s">
        <v>489</v>
      </c>
      <c r="B464" s="7" t="s">
        <v>807</v>
      </c>
      <c r="C464" s="7">
        <v>44984</v>
      </c>
      <c r="D464" s="7">
        <v>44999</v>
      </c>
      <c r="E464" s="7" t="s">
        <v>21</v>
      </c>
      <c r="F464" s="7" t="s">
        <v>35</v>
      </c>
      <c r="G464" s="7">
        <v>1965</v>
      </c>
      <c r="H464" s="7">
        <v>36.6</v>
      </c>
      <c r="I464" s="7">
        <v>34.64</v>
      </c>
      <c r="J464" s="7">
        <v>195</v>
      </c>
      <c r="K464" s="7" t="s">
        <v>15</v>
      </c>
      <c r="L464" s="7">
        <v>15</v>
      </c>
      <c r="M464" s="7">
        <v>11</v>
      </c>
      <c r="N464" s="7">
        <v>4</v>
      </c>
      <c r="O464" s="7" t="s">
        <v>824</v>
      </c>
      <c r="P464" s="7">
        <v>0</v>
      </c>
      <c r="Q464" s="7">
        <v>71919</v>
      </c>
      <c r="R464" s="7">
        <v>68067.600000000006</v>
      </c>
      <c r="S464" s="7">
        <v>3851.3999999999942</v>
      </c>
      <c r="T464" s="7" t="s">
        <v>826</v>
      </c>
      <c r="U464" s="7"/>
    </row>
    <row r="465" spans="1:21" x14ac:dyDescent="0.25">
      <c r="A465" s="7" t="s">
        <v>490</v>
      </c>
      <c r="B465" s="7" t="s">
        <v>804</v>
      </c>
      <c r="C465" s="7">
        <v>44587</v>
      </c>
      <c r="D465" s="7">
        <v>44595</v>
      </c>
      <c r="E465" s="7" t="s">
        <v>13</v>
      </c>
      <c r="F465" s="7" t="s">
        <v>35</v>
      </c>
      <c r="G465" s="7">
        <v>1818</v>
      </c>
      <c r="H465" s="7">
        <v>67.959999999999994</v>
      </c>
      <c r="I465" s="7">
        <v>58.98</v>
      </c>
      <c r="J465" s="7"/>
      <c r="K465" s="7" t="s">
        <v>15</v>
      </c>
      <c r="L465" s="7">
        <v>8</v>
      </c>
      <c r="M465" s="7">
        <v>11</v>
      </c>
      <c r="N465" s="7">
        <v>0</v>
      </c>
      <c r="O465" s="7" t="s">
        <v>822</v>
      </c>
      <c r="P465" s="7">
        <v>1</v>
      </c>
      <c r="Q465" s="7">
        <v>123551.27999999998</v>
      </c>
      <c r="R465" s="7">
        <v>107225.64</v>
      </c>
      <c r="S465" s="7">
        <v>16325.639999999985</v>
      </c>
      <c r="T465" s="7" t="s">
        <v>823</v>
      </c>
      <c r="U465" s="7"/>
    </row>
    <row r="466" spans="1:21" x14ac:dyDescent="0.25">
      <c r="A466" s="7" t="s">
        <v>491</v>
      </c>
      <c r="B466" s="7" t="s">
        <v>807</v>
      </c>
      <c r="C466" s="7">
        <v>44745</v>
      </c>
      <c r="D466" s="7">
        <v>44761</v>
      </c>
      <c r="E466" s="7" t="s">
        <v>21</v>
      </c>
      <c r="F466" s="7" t="s">
        <v>18</v>
      </c>
      <c r="G466" s="7">
        <v>1110</v>
      </c>
      <c r="H466" s="7">
        <v>48.19</v>
      </c>
      <c r="I466" s="7">
        <v>45.88</v>
      </c>
      <c r="J466" s="7">
        <v>112</v>
      </c>
      <c r="K466" s="7" t="s">
        <v>15</v>
      </c>
      <c r="L466" s="7">
        <v>16</v>
      </c>
      <c r="M466" s="7">
        <v>11</v>
      </c>
      <c r="N466" s="7">
        <v>5</v>
      </c>
      <c r="O466" s="7" t="s">
        <v>824</v>
      </c>
      <c r="P466" s="7">
        <v>0</v>
      </c>
      <c r="Q466" s="7">
        <v>53490.899999999994</v>
      </c>
      <c r="R466" s="7">
        <v>50926.8</v>
      </c>
      <c r="S466" s="7">
        <v>2564.0999999999913</v>
      </c>
      <c r="T466" s="7" t="s">
        <v>825</v>
      </c>
      <c r="U466" s="7"/>
    </row>
    <row r="467" spans="1:21" x14ac:dyDescent="0.25">
      <c r="A467" s="7" t="s">
        <v>492</v>
      </c>
      <c r="B467" s="7" t="s">
        <v>805</v>
      </c>
      <c r="C467" s="7">
        <v>44902</v>
      </c>
      <c r="D467" s="7">
        <v>44913</v>
      </c>
      <c r="E467" s="7" t="s">
        <v>26</v>
      </c>
      <c r="F467" s="7" t="s">
        <v>18</v>
      </c>
      <c r="G467" s="7">
        <v>329</v>
      </c>
      <c r="H467" s="7">
        <v>12.96</v>
      </c>
      <c r="I467" s="7">
        <v>12.74</v>
      </c>
      <c r="J467" s="7">
        <v>48</v>
      </c>
      <c r="K467" s="7" t="s">
        <v>15</v>
      </c>
      <c r="L467" s="7">
        <v>11</v>
      </c>
      <c r="M467" s="7">
        <v>11</v>
      </c>
      <c r="N467" s="7">
        <v>0</v>
      </c>
      <c r="O467" s="7" t="s">
        <v>824</v>
      </c>
      <c r="P467" s="7">
        <v>0</v>
      </c>
      <c r="Q467" s="7">
        <v>4263.84</v>
      </c>
      <c r="R467" s="7">
        <v>4191.46</v>
      </c>
      <c r="S467" s="7">
        <v>72.380000000000109</v>
      </c>
      <c r="T467" s="7" t="s">
        <v>823</v>
      </c>
      <c r="U467" s="7"/>
    </row>
    <row r="468" spans="1:21" x14ac:dyDescent="0.25">
      <c r="A468" s="7" t="s">
        <v>493</v>
      </c>
      <c r="B468" s="7" t="s">
        <v>806</v>
      </c>
      <c r="C468" s="7">
        <v>44983</v>
      </c>
      <c r="D468" s="7">
        <v>45002</v>
      </c>
      <c r="E468" s="7" t="s">
        <v>13</v>
      </c>
      <c r="F468" s="7" t="s">
        <v>14</v>
      </c>
      <c r="G468" s="7">
        <v>1422</v>
      </c>
      <c r="H468" s="7">
        <v>25.62</v>
      </c>
      <c r="I468" s="7">
        <v>25.18</v>
      </c>
      <c r="J468" s="7">
        <v>65</v>
      </c>
      <c r="K468" s="7" t="s">
        <v>15</v>
      </c>
      <c r="L468" s="7">
        <v>19</v>
      </c>
      <c r="M468" s="7">
        <v>11</v>
      </c>
      <c r="N468" s="7">
        <v>8</v>
      </c>
      <c r="O468" s="7" t="s">
        <v>824</v>
      </c>
      <c r="P468" s="7">
        <v>0</v>
      </c>
      <c r="Q468" s="7">
        <v>36431.64</v>
      </c>
      <c r="R468" s="7">
        <v>35805.96</v>
      </c>
      <c r="S468" s="7">
        <v>625.68000000000029</v>
      </c>
      <c r="T468" s="7" t="s">
        <v>825</v>
      </c>
      <c r="U468" s="7"/>
    </row>
    <row r="469" spans="1:21" x14ac:dyDescent="0.25">
      <c r="A469" s="7" t="s">
        <v>494</v>
      </c>
      <c r="B469" s="7" t="s">
        <v>805</v>
      </c>
      <c r="C469" s="7">
        <v>45247</v>
      </c>
      <c r="D469" s="7">
        <v>45258</v>
      </c>
      <c r="E469" s="7" t="s">
        <v>26</v>
      </c>
      <c r="F469" s="7" t="s">
        <v>18</v>
      </c>
      <c r="G469" s="7">
        <v>546</v>
      </c>
      <c r="H469" s="7">
        <v>82.63</v>
      </c>
      <c r="I469" s="7">
        <v>74.77</v>
      </c>
      <c r="J469" s="7">
        <v>76</v>
      </c>
      <c r="K469" s="7" t="s">
        <v>27</v>
      </c>
      <c r="L469" s="7">
        <v>11</v>
      </c>
      <c r="M469" s="7">
        <v>11</v>
      </c>
      <c r="N469" s="7">
        <v>0</v>
      </c>
      <c r="O469" s="7" t="s">
        <v>824</v>
      </c>
      <c r="P469" s="7">
        <v>0</v>
      </c>
      <c r="Q469" s="7">
        <v>45115.979999999996</v>
      </c>
      <c r="R469" s="7">
        <v>40824.42</v>
      </c>
      <c r="S469" s="7">
        <v>4291.5599999999977</v>
      </c>
      <c r="T469" s="7" t="s">
        <v>823</v>
      </c>
      <c r="U469" s="7"/>
    </row>
    <row r="470" spans="1:21" x14ac:dyDescent="0.25">
      <c r="A470" s="7" t="s">
        <v>495</v>
      </c>
      <c r="B470" s="7" t="s">
        <v>806</v>
      </c>
      <c r="C470" s="7">
        <v>44816</v>
      </c>
      <c r="D470" s="7">
        <v>44826</v>
      </c>
      <c r="E470" s="7" t="s">
        <v>13</v>
      </c>
      <c r="F470" s="7" t="s">
        <v>33</v>
      </c>
      <c r="G470" s="7">
        <v>351</v>
      </c>
      <c r="H470" s="7">
        <v>72.08</v>
      </c>
      <c r="I470" s="7">
        <v>71.3</v>
      </c>
      <c r="J470" s="7">
        <v>20</v>
      </c>
      <c r="K470" s="7" t="s">
        <v>15</v>
      </c>
      <c r="L470" s="7">
        <v>10</v>
      </c>
      <c r="M470" s="7">
        <v>11</v>
      </c>
      <c r="N470" s="7">
        <v>0</v>
      </c>
      <c r="O470" s="7" t="s">
        <v>824</v>
      </c>
      <c r="P470" s="7">
        <v>0</v>
      </c>
      <c r="Q470" s="7">
        <v>25300.079999999998</v>
      </c>
      <c r="R470" s="7">
        <v>25026.3</v>
      </c>
      <c r="S470" s="7">
        <v>273.77999999999884</v>
      </c>
      <c r="T470" s="7" t="s">
        <v>823</v>
      </c>
      <c r="U470" s="7"/>
    </row>
    <row r="471" spans="1:21" x14ac:dyDescent="0.25">
      <c r="A471" s="7" t="s">
        <v>496</v>
      </c>
      <c r="B471" s="7" t="s">
        <v>805</v>
      </c>
      <c r="C471" s="7">
        <v>44835</v>
      </c>
      <c r="D471" s="7">
        <v>44852</v>
      </c>
      <c r="E471" s="7" t="s">
        <v>26</v>
      </c>
      <c r="F471" s="7" t="s">
        <v>33</v>
      </c>
      <c r="G471" s="7">
        <v>230</v>
      </c>
      <c r="H471" s="7">
        <v>13</v>
      </c>
      <c r="I471" s="7">
        <v>12.81</v>
      </c>
      <c r="J471" s="7"/>
      <c r="K471" s="7" t="s">
        <v>27</v>
      </c>
      <c r="L471" s="7">
        <v>17</v>
      </c>
      <c r="M471" s="7">
        <v>11</v>
      </c>
      <c r="N471" s="7">
        <v>6</v>
      </c>
      <c r="O471" s="7" t="s">
        <v>824</v>
      </c>
      <c r="P471" s="7">
        <v>0</v>
      </c>
      <c r="Q471" s="7">
        <v>2990</v>
      </c>
      <c r="R471" s="7">
        <v>2946.3</v>
      </c>
      <c r="S471" s="7">
        <v>43.699999999999818</v>
      </c>
      <c r="T471" s="7" t="s">
        <v>825</v>
      </c>
      <c r="U471" s="7"/>
    </row>
    <row r="472" spans="1:21" x14ac:dyDescent="0.25">
      <c r="A472" s="7" t="s">
        <v>497</v>
      </c>
      <c r="B472" s="7" t="s">
        <v>804</v>
      </c>
      <c r="C472" s="7">
        <v>44725</v>
      </c>
      <c r="D472" s="7">
        <v>44731</v>
      </c>
      <c r="E472" s="7" t="s">
        <v>21</v>
      </c>
      <c r="F472" s="7" t="s">
        <v>18</v>
      </c>
      <c r="G472" s="7">
        <v>656</v>
      </c>
      <c r="H472" s="7">
        <v>30.73</v>
      </c>
      <c r="I472" s="7">
        <v>26.26</v>
      </c>
      <c r="J472" s="7">
        <v>17</v>
      </c>
      <c r="K472" s="7" t="s">
        <v>15</v>
      </c>
      <c r="L472" s="7">
        <v>6</v>
      </c>
      <c r="M472" s="7">
        <v>11</v>
      </c>
      <c r="N472" s="7">
        <v>0</v>
      </c>
      <c r="O472" s="7" t="s">
        <v>824</v>
      </c>
      <c r="P472" s="7">
        <v>0</v>
      </c>
      <c r="Q472" s="7">
        <v>20158.88</v>
      </c>
      <c r="R472" s="7">
        <v>17226.560000000001</v>
      </c>
      <c r="S472" s="7">
        <v>2932.3199999999997</v>
      </c>
      <c r="T472" s="7" t="s">
        <v>823</v>
      </c>
      <c r="U472" s="7"/>
    </row>
    <row r="473" spans="1:21" x14ac:dyDescent="0.25">
      <c r="A473" s="7" t="s">
        <v>498</v>
      </c>
      <c r="B473" s="7" t="s">
        <v>806</v>
      </c>
      <c r="C473" s="7">
        <v>45280</v>
      </c>
      <c r="D473" s="7">
        <v>45300</v>
      </c>
      <c r="E473" s="7" t="s">
        <v>21</v>
      </c>
      <c r="F473" s="7" t="s">
        <v>18</v>
      </c>
      <c r="G473" s="7">
        <v>1172</v>
      </c>
      <c r="H473" s="7">
        <v>34.340000000000003</v>
      </c>
      <c r="I473" s="7">
        <v>32.090000000000003</v>
      </c>
      <c r="J473" s="7">
        <v>69</v>
      </c>
      <c r="K473" s="7" t="s">
        <v>15</v>
      </c>
      <c r="L473" s="7">
        <v>20</v>
      </c>
      <c r="M473" s="7">
        <v>11</v>
      </c>
      <c r="N473" s="7">
        <v>9</v>
      </c>
      <c r="O473" s="7" t="s">
        <v>824</v>
      </c>
      <c r="P473" s="7">
        <v>0</v>
      </c>
      <c r="Q473" s="7">
        <v>40246.480000000003</v>
      </c>
      <c r="R473" s="7">
        <v>37609.480000000003</v>
      </c>
      <c r="S473" s="7">
        <v>2637</v>
      </c>
      <c r="T473" s="7" t="s">
        <v>825</v>
      </c>
      <c r="U473" s="7"/>
    </row>
    <row r="474" spans="1:21" x14ac:dyDescent="0.25">
      <c r="A474" s="7" t="s">
        <v>499</v>
      </c>
      <c r="B474" s="7" t="s">
        <v>806</v>
      </c>
      <c r="C474" s="7">
        <v>44672</v>
      </c>
      <c r="D474" s="7">
        <v>44681</v>
      </c>
      <c r="E474" s="7" t="s">
        <v>39</v>
      </c>
      <c r="F474" s="7" t="s">
        <v>18</v>
      </c>
      <c r="G474" s="7">
        <v>749</v>
      </c>
      <c r="H474" s="7">
        <v>71.53</v>
      </c>
      <c r="I474" s="7">
        <v>70.02</v>
      </c>
      <c r="J474" s="7">
        <v>41</v>
      </c>
      <c r="K474" s="7" t="s">
        <v>15</v>
      </c>
      <c r="L474" s="7">
        <v>9</v>
      </c>
      <c r="M474" s="7">
        <v>11</v>
      </c>
      <c r="N474" s="7">
        <v>0</v>
      </c>
      <c r="O474" s="7" t="s">
        <v>824</v>
      </c>
      <c r="P474" s="7">
        <v>0</v>
      </c>
      <c r="Q474" s="7">
        <v>53575.97</v>
      </c>
      <c r="R474" s="7">
        <v>52444.979999999996</v>
      </c>
      <c r="S474" s="7">
        <v>1130.9900000000052</v>
      </c>
      <c r="T474" s="7" t="s">
        <v>823</v>
      </c>
      <c r="U474" s="7"/>
    </row>
    <row r="475" spans="1:21" x14ac:dyDescent="0.25">
      <c r="A475" s="7" t="s">
        <v>500</v>
      </c>
      <c r="B475" s="7" t="s">
        <v>807</v>
      </c>
      <c r="C475" s="7">
        <v>44953</v>
      </c>
      <c r="D475" s="7">
        <v>44969</v>
      </c>
      <c r="E475" s="7" t="s">
        <v>24</v>
      </c>
      <c r="F475" s="7" t="s">
        <v>18</v>
      </c>
      <c r="G475" s="7">
        <v>1042</v>
      </c>
      <c r="H475" s="7">
        <v>12.48</v>
      </c>
      <c r="I475" s="7">
        <v>12.3</v>
      </c>
      <c r="J475" s="7">
        <v>88</v>
      </c>
      <c r="K475" s="7" t="s">
        <v>15</v>
      </c>
      <c r="L475" s="7">
        <v>16</v>
      </c>
      <c r="M475" s="7">
        <v>11</v>
      </c>
      <c r="N475" s="7">
        <v>5</v>
      </c>
      <c r="O475" s="7" t="s">
        <v>824</v>
      </c>
      <c r="P475" s="7">
        <v>0</v>
      </c>
      <c r="Q475" s="7">
        <v>13004.16</v>
      </c>
      <c r="R475" s="7">
        <v>12816.6</v>
      </c>
      <c r="S475" s="7">
        <v>187.55999999999949</v>
      </c>
      <c r="T475" s="7" t="s">
        <v>825</v>
      </c>
      <c r="U475" s="7"/>
    </row>
    <row r="476" spans="1:21" x14ac:dyDescent="0.25">
      <c r="A476" s="7" t="s">
        <v>501</v>
      </c>
      <c r="B476" s="7" t="s">
        <v>805</v>
      </c>
      <c r="C476" s="7">
        <v>44601</v>
      </c>
      <c r="D476" s="7">
        <v>44619</v>
      </c>
      <c r="E476" s="7" t="s">
        <v>26</v>
      </c>
      <c r="F476" s="7" t="s">
        <v>18</v>
      </c>
      <c r="G476" s="7">
        <v>1189</v>
      </c>
      <c r="H476" s="7">
        <v>19.47</v>
      </c>
      <c r="I476" s="7">
        <v>17.149999999999999</v>
      </c>
      <c r="J476" s="7"/>
      <c r="K476" s="7" t="s">
        <v>27</v>
      </c>
      <c r="L476" s="7">
        <v>18</v>
      </c>
      <c r="M476" s="7">
        <v>11</v>
      </c>
      <c r="N476" s="7">
        <v>7</v>
      </c>
      <c r="O476" s="7" t="s">
        <v>824</v>
      </c>
      <c r="P476" s="7">
        <v>0</v>
      </c>
      <c r="Q476" s="7">
        <v>23149.829999999998</v>
      </c>
      <c r="R476" s="7">
        <v>20391.349999999999</v>
      </c>
      <c r="S476" s="7">
        <v>2758.4799999999996</v>
      </c>
      <c r="T476" s="7" t="s">
        <v>825</v>
      </c>
      <c r="U476" s="7"/>
    </row>
    <row r="477" spans="1:21" x14ac:dyDescent="0.25">
      <c r="A477" s="7" t="s">
        <v>502</v>
      </c>
      <c r="B477" s="7" t="s">
        <v>808</v>
      </c>
      <c r="C477" s="7">
        <v>45043</v>
      </c>
      <c r="D477" s="7">
        <v>45054</v>
      </c>
      <c r="E477" s="7" t="s">
        <v>13</v>
      </c>
      <c r="F477" s="7" t="s">
        <v>18</v>
      </c>
      <c r="G477" s="7">
        <v>240</v>
      </c>
      <c r="H477" s="7">
        <v>88.14</v>
      </c>
      <c r="I477" s="7">
        <v>81.900000000000006</v>
      </c>
      <c r="J477" s="7">
        <v>4</v>
      </c>
      <c r="K477" s="7" t="s">
        <v>15</v>
      </c>
      <c r="L477" s="7">
        <v>11</v>
      </c>
      <c r="M477" s="7">
        <v>11</v>
      </c>
      <c r="N477" s="7">
        <v>0</v>
      </c>
      <c r="O477" s="7" t="s">
        <v>824</v>
      </c>
      <c r="P477" s="7">
        <v>0</v>
      </c>
      <c r="Q477" s="7">
        <v>21153.599999999999</v>
      </c>
      <c r="R477" s="7">
        <v>19656</v>
      </c>
      <c r="S477" s="7">
        <v>1497.5999999999985</v>
      </c>
      <c r="T477" s="7" t="s">
        <v>823</v>
      </c>
      <c r="U477" s="7"/>
    </row>
    <row r="478" spans="1:21" x14ac:dyDescent="0.25">
      <c r="A478" s="7" t="s">
        <v>503</v>
      </c>
      <c r="B478" s="7" t="s">
        <v>808</v>
      </c>
      <c r="C478" s="7">
        <v>44789</v>
      </c>
      <c r="D478" s="7">
        <v>44806</v>
      </c>
      <c r="E478" s="7" t="s">
        <v>21</v>
      </c>
      <c r="F478" s="7" t="s">
        <v>18</v>
      </c>
      <c r="G478" s="7">
        <v>302</v>
      </c>
      <c r="H478" s="7">
        <v>26.98</v>
      </c>
      <c r="I478" s="7">
        <v>26.47</v>
      </c>
      <c r="J478" s="7">
        <v>9</v>
      </c>
      <c r="K478" s="7" t="s">
        <v>15</v>
      </c>
      <c r="L478" s="7">
        <v>17</v>
      </c>
      <c r="M478" s="7">
        <v>11</v>
      </c>
      <c r="N478" s="7">
        <v>6</v>
      </c>
      <c r="O478" s="7" t="s">
        <v>824</v>
      </c>
      <c r="P478" s="7">
        <v>0</v>
      </c>
      <c r="Q478" s="7">
        <v>8147.96</v>
      </c>
      <c r="R478" s="7">
        <v>7993.94</v>
      </c>
      <c r="S478" s="7">
        <v>154.02000000000044</v>
      </c>
      <c r="T478" s="7" t="s">
        <v>825</v>
      </c>
      <c r="U478" s="7"/>
    </row>
    <row r="479" spans="1:21" x14ac:dyDescent="0.25">
      <c r="A479" s="7" t="s">
        <v>504</v>
      </c>
      <c r="B479" s="7" t="s">
        <v>807</v>
      </c>
      <c r="C479" s="7">
        <v>44766</v>
      </c>
      <c r="D479" s="7">
        <v>44776</v>
      </c>
      <c r="E479" s="7" t="s">
        <v>21</v>
      </c>
      <c r="F479" s="7" t="s">
        <v>35</v>
      </c>
      <c r="G479" s="7">
        <v>1030</v>
      </c>
      <c r="H479" s="7">
        <v>70.81</v>
      </c>
      <c r="I479" s="7">
        <v>61.58</v>
      </c>
      <c r="J479" s="7"/>
      <c r="K479" s="7" t="s">
        <v>27</v>
      </c>
      <c r="L479" s="7">
        <v>10</v>
      </c>
      <c r="M479" s="7">
        <v>11</v>
      </c>
      <c r="N479" s="7">
        <v>0</v>
      </c>
      <c r="O479" s="7" t="s">
        <v>822</v>
      </c>
      <c r="P479" s="7">
        <v>1</v>
      </c>
      <c r="Q479" s="7">
        <v>72934.3</v>
      </c>
      <c r="R479" s="7">
        <v>63427.4</v>
      </c>
      <c r="S479" s="7">
        <v>9506.9000000000015</v>
      </c>
      <c r="T479" s="7" t="s">
        <v>823</v>
      </c>
      <c r="U479" s="7"/>
    </row>
    <row r="480" spans="1:21" x14ac:dyDescent="0.25">
      <c r="A480" s="7" t="s">
        <v>505</v>
      </c>
      <c r="B480" s="7" t="s">
        <v>805</v>
      </c>
      <c r="C480" s="7">
        <v>45033</v>
      </c>
      <c r="D480" s="7">
        <v>45039</v>
      </c>
      <c r="E480" s="7" t="s">
        <v>13</v>
      </c>
      <c r="F480" s="7" t="s">
        <v>18</v>
      </c>
      <c r="G480" s="7">
        <v>977</v>
      </c>
      <c r="H480" s="7">
        <v>33.79</v>
      </c>
      <c r="I480" s="7">
        <v>32.25</v>
      </c>
      <c r="J480" s="7">
        <v>137</v>
      </c>
      <c r="K480" s="7" t="s">
        <v>15</v>
      </c>
      <c r="L480" s="7">
        <v>6</v>
      </c>
      <c r="M480" s="7">
        <v>11</v>
      </c>
      <c r="N480" s="7">
        <v>0</v>
      </c>
      <c r="O480" s="7" t="s">
        <v>824</v>
      </c>
      <c r="P480" s="7">
        <v>0</v>
      </c>
      <c r="Q480" s="7">
        <v>33012.83</v>
      </c>
      <c r="R480" s="7">
        <v>31508.25</v>
      </c>
      <c r="S480" s="7">
        <v>1504.5800000000017</v>
      </c>
      <c r="T480" s="7" t="s">
        <v>823</v>
      </c>
      <c r="U480" s="7"/>
    </row>
    <row r="481" spans="1:21" x14ac:dyDescent="0.25">
      <c r="A481" s="7" t="s">
        <v>506</v>
      </c>
      <c r="B481" s="7" t="s">
        <v>804</v>
      </c>
      <c r="C481" s="7">
        <v>44920</v>
      </c>
      <c r="D481" s="7">
        <v>44937</v>
      </c>
      <c r="E481" s="7" t="s">
        <v>24</v>
      </c>
      <c r="F481" s="7" t="s">
        <v>18</v>
      </c>
      <c r="G481" s="7">
        <v>1234</v>
      </c>
      <c r="H481" s="7">
        <v>19.989999999999998</v>
      </c>
      <c r="I481" s="7">
        <v>17.66</v>
      </c>
      <c r="J481" s="7">
        <v>25</v>
      </c>
      <c r="K481" s="7" t="s">
        <v>15</v>
      </c>
      <c r="L481" s="7">
        <v>17</v>
      </c>
      <c r="M481" s="7">
        <v>11</v>
      </c>
      <c r="N481" s="7">
        <v>6</v>
      </c>
      <c r="O481" s="7" t="s">
        <v>824</v>
      </c>
      <c r="P481" s="7">
        <v>0</v>
      </c>
      <c r="Q481" s="7">
        <v>24667.66</v>
      </c>
      <c r="R481" s="7">
        <v>21792.44</v>
      </c>
      <c r="S481" s="7">
        <v>2875.2200000000012</v>
      </c>
      <c r="T481" s="7" t="s">
        <v>825</v>
      </c>
      <c r="U481" s="7"/>
    </row>
    <row r="482" spans="1:21" x14ac:dyDescent="0.25">
      <c r="A482" s="7" t="s">
        <v>507</v>
      </c>
      <c r="B482" s="7" t="s">
        <v>807</v>
      </c>
      <c r="C482" s="7">
        <v>44874</v>
      </c>
      <c r="D482" s="7">
        <v>44888</v>
      </c>
      <c r="E482" s="7" t="s">
        <v>13</v>
      </c>
      <c r="F482" s="7" t="s">
        <v>18</v>
      </c>
      <c r="G482" s="7">
        <v>1329</v>
      </c>
      <c r="H482" s="7">
        <v>33.479999999999997</v>
      </c>
      <c r="I482" s="7">
        <v>33.06</v>
      </c>
      <c r="J482" s="7">
        <v>146</v>
      </c>
      <c r="K482" s="7" t="s">
        <v>15</v>
      </c>
      <c r="L482" s="7">
        <v>14</v>
      </c>
      <c r="M482" s="7">
        <v>11</v>
      </c>
      <c r="N482" s="7">
        <v>3</v>
      </c>
      <c r="O482" s="7" t="s">
        <v>824</v>
      </c>
      <c r="P482" s="7">
        <v>0</v>
      </c>
      <c r="Q482" s="7">
        <v>44494.92</v>
      </c>
      <c r="R482" s="7">
        <v>43936.740000000005</v>
      </c>
      <c r="S482" s="7">
        <v>558.17999999999302</v>
      </c>
      <c r="T482" s="7" t="s">
        <v>826</v>
      </c>
      <c r="U482" s="7"/>
    </row>
    <row r="483" spans="1:21" x14ac:dyDescent="0.25">
      <c r="A483" s="7" t="s">
        <v>508</v>
      </c>
      <c r="B483" s="7" t="s">
        <v>806</v>
      </c>
      <c r="C483" s="7">
        <v>44795</v>
      </c>
      <c r="D483" s="7">
        <v>44803</v>
      </c>
      <c r="E483" s="7" t="s">
        <v>26</v>
      </c>
      <c r="F483" s="7" t="s">
        <v>18</v>
      </c>
      <c r="G483" s="7">
        <v>1396</v>
      </c>
      <c r="H483" s="7">
        <v>77.63</v>
      </c>
      <c r="I483" s="7">
        <v>67.81</v>
      </c>
      <c r="J483" s="7">
        <v>58</v>
      </c>
      <c r="K483" s="7" t="s">
        <v>15</v>
      </c>
      <c r="L483" s="7">
        <v>8</v>
      </c>
      <c r="M483" s="7">
        <v>11</v>
      </c>
      <c r="N483" s="7">
        <v>0</v>
      </c>
      <c r="O483" s="7" t="s">
        <v>824</v>
      </c>
      <c r="P483" s="7">
        <v>0</v>
      </c>
      <c r="Q483" s="7">
        <v>108371.48</v>
      </c>
      <c r="R483" s="7">
        <v>94662.760000000009</v>
      </c>
      <c r="S483" s="7">
        <v>13708.719999999987</v>
      </c>
      <c r="T483" s="7" t="s">
        <v>823</v>
      </c>
      <c r="U483" s="7"/>
    </row>
    <row r="484" spans="1:21" x14ac:dyDescent="0.25">
      <c r="A484" s="7" t="s">
        <v>509</v>
      </c>
      <c r="B484" s="7" t="s">
        <v>804</v>
      </c>
      <c r="C484" s="7">
        <v>44790</v>
      </c>
      <c r="D484" s="7">
        <v>44802</v>
      </c>
      <c r="E484" s="7" t="s">
        <v>26</v>
      </c>
      <c r="F484" s="7" t="s">
        <v>18</v>
      </c>
      <c r="G484" s="7">
        <v>177</v>
      </c>
      <c r="H484" s="7">
        <v>90.06</v>
      </c>
      <c r="I484" s="7">
        <v>87.71</v>
      </c>
      <c r="J484" s="7">
        <v>7</v>
      </c>
      <c r="K484" s="7" t="s">
        <v>15</v>
      </c>
      <c r="L484" s="7">
        <v>12</v>
      </c>
      <c r="M484" s="7">
        <v>11</v>
      </c>
      <c r="N484" s="7">
        <v>1</v>
      </c>
      <c r="O484" s="7" t="s">
        <v>824</v>
      </c>
      <c r="P484" s="7">
        <v>0</v>
      </c>
      <c r="Q484" s="7">
        <v>15940.62</v>
      </c>
      <c r="R484" s="7">
        <v>15524.669999999998</v>
      </c>
      <c r="S484" s="7">
        <v>415.95000000000255</v>
      </c>
      <c r="T484" s="7" t="s">
        <v>826</v>
      </c>
      <c r="U484" s="7"/>
    </row>
    <row r="485" spans="1:21" x14ac:dyDescent="0.25">
      <c r="A485" s="7" t="s">
        <v>510</v>
      </c>
      <c r="B485" s="7" t="s">
        <v>805</v>
      </c>
      <c r="C485" s="7">
        <v>44586</v>
      </c>
      <c r="D485" s="7">
        <v>44597</v>
      </c>
      <c r="E485" s="7" t="s">
        <v>39</v>
      </c>
      <c r="F485" s="7" t="s">
        <v>18</v>
      </c>
      <c r="G485" s="7">
        <v>67</v>
      </c>
      <c r="H485" s="7">
        <v>84.72</v>
      </c>
      <c r="I485" s="7">
        <v>73.06</v>
      </c>
      <c r="J485" s="7">
        <v>9</v>
      </c>
      <c r="K485" s="7" t="s">
        <v>15</v>
      </c>
      <c r="L485" s="7">
        <v>11</v>
      </c>
      <c r="M485" s="7">
        <v>11</v>
      </c>
      <c r="N485" s="7">
        <v>0</v>
      </c>
      <c r="O485" s="7" t="s">
        <v>824</v>
      </c>
      <c r="P485" s="7">
        <v>0</v>
      </c>
      <c r="Q485" s="7">
        <v>5676.24</v>
      </c>
      <c r="R485" s="7">
        <v>4895.0200000000004</v>
      </c>
      <c r="S485" s="7">
        <v>781.21999999999935</v>
      </c>
      <c r="T485" s="7" t="s">
        <v>823</v>
      </c>
      <c r="U485" s="7"/>
    </row>
    <row r="486" spans="1:21" x14ac:dyDescent="0.25">
      <c r="A486" s="7" t="s">
        <v>511</v>
      </c>
      <c r="B486" s="7" t="s">
        <v>806</v>
      </c>
      <c r="C486" s="7">
        <v>45237</v>
      </c>
      <c r="D486" s="7">
        <v>45250</v>
      </c>
      <c r="E486" s="7" t="s">
        <v>13</v>
      </c>
      <c r="F486" s="7" t="s">
        <v>18</v>
      </c>
      <c r="G486" s="7">
        <v>1866</v>
      </c>
      <c r="H486" s="7">
        <v>50.78</v>
      </c>
      <c r="I486" s="7">
        <v>48.2</v>
      </c>
      <c r="J486" s="7">
        <v>96</v>
      </c>
      <c r="K486" s="7" t="s">
        <v>15</v>
      </c>
      <c r="L486" s="7">
        <v>13</v>
      </c>
      <c r="M486" s="7">
        <v>11</v>
      </c>
      <c r="N486" s="7">
        <v>2</v>
      </c>
      <c r="O486" s="7" t="s">
        <v>824</v>
      </c>
      <c r="P486" s="7">
        <v>0</v>
      </c>
      <c r="Q486" s="7">
        <v>94755.48</v>
      </c>
      <c r="R486" s="7">
        <v>89941.200000000012</v>
      </c>
      <c r="S486" s="7">
        <v>4814.2799999999843</v>
      </c>
      <c r="T486" s="7" t="s">
        <v>826</v>
      </c>
      <c r="U486" s="7"/>
    </row>
    <row r="487" spans="1:21" x14ac:dyDescent="0.25">
      <c r="A487" s="7" t="s">
        <v>512</v>
      </c>
      <c r="B487" s="7" t="s">
        <v>808</v>
      </c>
      <c r="C487" s="7">
        <v>44759</v>
      </c>
      <c r="D487" s="7">
        <v>44767</v>
      </c>
      <c r="E487" s="7" t="s">
        <v>21</v>
      </c>
      <c r="F487" s="7" t="s">
        <v>18</v>
      </c>
      <c r="G487" s="7">
        <v>1808</v>
      </c>
      <c r="H487" s="7">
        <v>72.23</v>
      </c>
      <c r="I487" s="7">
        <v>67.86</v>
      </c>
      <c r="J487" s="7">
        <v>53</v>
      </c>
      <c r="K487" s="7" t="s">
        <v>15</v>
      </c>
      <c r="L487" s="7">
        <v>8</v>
      </c>
      <c r="M487" s="7">
        <v>11</v>
      </c>
      <c r="N487" s="7">
        <v>0</v>
      </c>
      <c r="O487" s="7" t="s">
        <v>824</v>
      </c>
      <c r="P487" s="7">
        <v>0</v>
      </c>
      <c r="Q487" s="7">
        <v>130591.84000000001</v>
      </c>
      <c r="R487" s="7">
        <v>122690.88</v>
      </c>
      <c r="S487" s="7">
        <v>7900.9600000000064</v>
      </c>
      <c r="T487" s="7" t="s">
        <v>823</v>
      </c>
      <c r="U487" s="7"/>
    </row>
    <row r="488" spans="1:21" x14ac:dyDescent="0.25">
      <c r="A488" s="7" t="s">
        <v>513</v>
      </c>
      <c r="B488" s="7" t="s">
        <v>805</v>
      </c>
      <c r="C488" s="7">
        <v>44970</v>
      </c>
      <c r="D488" s="7">
        <v>44973</v>
      </c>
      <c r="E488" s="7" t="s">
        <v>39</v>
      </c>
      <c r="F488" s="7" t="s">
        <v>14</v>
      </c>
      <c r="G488" s="7">
        <v>615</v>
      </c>
      <c r="H488" s="7">
        <v>30.3</v>
      </c>
      <c r="I488" s="7">
        <v>29.52</v>
      </c>
      <c r="J488" s="7">
        <v>96</v>
      </c>
      <c r="K488" s="7" t="s">
        <v>15</v>
      </c>
      <c r="L488" s="7">
        <v>3</v>
      </c>
      <c r="M488" s="7">
        <v>11</v>
      </c>
      <c r="N488" s="7">
        <v>0</v>
      </c>
      <c r="O488" s="7" t="s">
        <v>824</v>
      </c>
      <c r="P488" s="7">
        <v>0</v>
      </c>
      <c r="Q488" s="7">
        <v>18634.5</v>
      </c>
      <c r="R488" s="7">
        <v>18154.8</v>
      </c>
      <c r="S488" s="7">
        <v>479.70000000000073</v>
      </c>
      <c r="T488" s="7" t="s">
        <v>823</v>
      </c>
      <c r="U488" s="7"/>
    </row>
    <row r="489" spans="1:21" x14ac:dyDescent="0.25">
      <c r="A489" s="7" t="s">
        <v>514</v>
      </c>
      <c r="B489" s="7" t="s">
        <v>806</v>
      </c>
      <c r="C489" s="7">
        <v>44898</v>
      </c>
      <c r="D489" s="7">
        <v>44899</v>
      </c>
      <c r="E489" s="7" t="s">
        <v>13</v>
      </c>
      <c r="F489" s="7" t="s">
        <v>35</v>
      </c>
      <c r="G489" s="7">
        <v>619</v>
      </c>
      <c r="H489" s="7">
        <v>38.380000000000003</v>
      </c>
      <c r="I489" s="7">
        <v>35.020000000000003</v>
      </c>
      <c r="J489" s="7">
        <v>34</v>
      </c>
      <c r="K489" s="7" t="s">
        <v>15</v>
      </c>
      <c r="L489" s="7">
        <v>1</v>
      </c>
      <c r="M489" s="7">
        <v>11</v>
      </c>
      <c r="N489" s="7">
        <v>0</v>
      </c>
      <c r="O489" s="7" t="s">
        <v>824</v>
      </c>
      <c r="P489" s="7">
        <v>0</v>
      </c>
      <c r="Q489" s="7">
        <v>23757.22</v>
      </c>
      <c r="R489" s="7">
        <v>21677.38</v>
      </c>
      <c r="S489" s="7">
        <v>2079.84</v>
      </c>
      <c r="T489" s="7" t="s">
        <v>823</v>
      </c>
      <c r="U489" s="7"/>
    </row>
    <row r="490" spans="1:21" x14ac:dyDescent="0.25">
      <c r="A490" s="7" t="s">
        <v>515</v>
      </c>
      <c r="B490" s="7" t="s">
        <v>805</v>
      </c>
      <c r="C490" s="7">
        <v>44847</v>
      </c>
      <c r="D490" s="7">
        <v>44851</v>
      </c>
      <c r="E490" s="7" t="s">
        <v>13</v>
      </c>
      <c r="F490" s="7" t="s">
        <v>18</v>
      </c>
      <c r="G490" s="7">
        <v>1396</v>
      </c>
      <c r="H490" s="7">
        <v>94.75</v>
      </c>
      <c r="I490" s="7">
        <v>84.06</v>
      </c>
      <c r="J490" s="7">
        <v>210</v>
      </c>
      <c r="K490" s="7" t="s">
        <v>15</v>
      </c>
      <c r="L490" s="7">
        <v>4</v>
      </c>
      <c r="M490" s="7">
        <v>11</v>
      </c>
      <c r="N490" s="7">
        <v>0</v>
      </c>
      <c r="O490" s="7" t="s">
        <v>824</v>
      </c>
      <c r="P490" s="7">
        <v>0</v>
      </c>
      <c r="Q490" s="7">
        <v>132271</v>
      </c>
      <c r="R490" s="7">
        <v>117347.76000000001</v>
      </c>
      <c r="S490" s="7">
        <v>14923.239999999991</v>
      </c>
      <c r="T490" s="7" t="s">
        <v>823</v>
      </c>
      <c r="U490" s="7"/>
    </row>
    <row r="491" spans="1:21" x14ac:dyDescent="0.25">
      <c r="A491" s="7" t="s">
        <v>516</v>
      </c>
      <c r="B491" s="7" t="s">
        <v>806</v>
      </c>
      <c r="C491" s="7">
        <v>44633</v>
      </c>
      <c r="D491" s="7">
        <v>44644</v>
      </c>
      <c r="E491" s="7" t="s">
        <v>21</v>
      </c>
      <c r="F491" s="7" t="s">
        <v>18</v>
      </c>
      <c r="G491" s="7">
        <v>1945</v>
      </c>
      <c r="H491" s="7">
        <v>11.28</v>
      </c>
      <c r="I491" s="7">
        <v>9.98</v>
      </c>
      <c r="J491" s="7">
        <v>94</v>
      </c>
      <c r="K491" s="7" t="s">
        <v>15</v>
      </c>
      <c r="L491" s="7">
        <v>11</v>
      </c>
      <c r="M491" s="7">
        <v>11</v>
      </c>
      <c r="N491" s="7">
        <v>0</v>
      </c>
      <c r="O491" s="7" t="s">
        <v>824</v>
      </c>
      <c r="P491" s="7">
        <v>0</v>
      </c>
      <c r="Q491" s="7">
        <v>21939.599999999999</v>
      </c>
      <c r="R491" s="7">
        <v>19411.100000000002</v>
      </c>
      <c r="S491" s="7">
        <v>2528.4999999999964</v>
      </c>
      <c r="T491" s="7" t="s">
        <v>823</v>
      </c>
      <c r="U491" s="7"/>
    </row>
    <row r="492" spans="1:21" x14ac:dyDescent="0.25">
      <c r="A492" s="7" t="s">
        <v>517</v>
      </c>
      <c r="B492" s="7" t="s">
        <v>805</v>
      </c>
      <c r="C492" s="7">
        <v>44847</v>
      </c>
      <c r="D492" s="7">
        <v>44852</v>
      </c>
      <c r="E492" s="7" t="s">
        <v>24</v>
      </c>
      <c r="F492" s="7" t="s">
        <v>18</v>
      </c>
      <c r="G492" s="7">
        <v>735</v>
      </c>
      <c r="H492" s="7">
        <v>18.489999999999998</v>
      </c>
      <c r="I492" s="7">
        <v>15.89</v>
      </c>
      <c r="J492" s="7">
        <v>113</v>
      </c>
      <c r="K492" s="7" t="s">
        <v>27</v>
      </c>
      <c r="L492" s="7">
        <v>5</v>
      </c>
      <c r="M492" s="7">
        <v>11</v>
      </c>
      <c r="N492" s="7">
        <v>0</v>
      </c>
      <c r="O492" s="7" t="s">
        <v>824</v>
      </c>
      <c r="P492" s="7">
        <v>0</v>
      </c>
      <c r="Q492" s="7">
        <v>13590.15</v>
      </c>
      <c r="R492" s="7">
        <v>11679.15</v>
      </c>
      <c r="S492" s="7">
        <v>1911</v>
      </c>
      <c r="T492" s="7" t="s">
        <v>823</v>
      </c>
      <c r="U492" s="7"/>
    </row>
    <row r="493" spans="1:21" x14ac:dyDescent="0.25">
      <c r="A493" s="7" t="s">
        <v>518</v>
      </c>
      <c r="B493" s="7" t="s">
        <v>808</v>
      </c>
      <c r="C493" s="7">
        <v>44921</v>
      </c>
      <c r="D493" s="7">
        <v>44937</v>
      </c>
      <c r="E493" s="7" t="s">
        <v>13</v>
      </c>
      <c r="F493" s="7" t="s">
        <v>35</v>
      </c>
      <c r="G493" s="7">
        <v>1865</v>
      </c>
      <c r="H493" s="7">
        <v>30.29</v>
      </c>
      <c r="I493" s="7">
        <v>26.83</v>
      </c>
      <c r="J493" s="7">
        <v>56</v>
      </c>
      <c r="K493" s="7" t="s">
        <v>15</v>
      </c>
      <c r="L493" s="7">
        <v>16</v>
      </c>
      <c r="M493" s="7">
        <v>11</v>
      </c>
      <c r="N493" s="7">
        <v>5</v>
      </c>
      <c r="O493" s="7" t="s">
        <v>824</v>
      </c>
      <c r="P493" s="7">
        <v>0</v>
      </c>
      <c r="Q493" s="7">
        <v>56490.85</v>
      </c>
      <c r="R493" s="7">
        <v>50037.95</v>
      </c>
      <c r="S493" s="7">
        <v>6452.9000000000015</v>
      </c>
      <c r="T493" s="7" t="s">
        <v>825</v>
      </c>
      <c r="U493" s="7"/>
    </row>
    <row r="494" spans="1:21" x14ac:dyDescent="0.25">
      <c r="A494" s="7" t="s">
        <v>519</v>
      </c>
      <c r="B494" s="7" t="s">
        <v>807</v>
      </c>
      <c r="C494" s="7">
        <v>45218</v>
      </c>
      <c r="D494" s="7">
        <v>45223</v>
      </c>
      <c r="E494" s="7" t="s">
        <v>39</v>
      </c>
      <c r="F494" s="7" t="s">
        <v>14</v>
      </c>
      <c r="G494" s="7">
        <v>675</v>
      </c>
      <c r="H494" s="7">
        <v>13.69</v>
      </c>
      <c r="I494" s="7">
        <v>11.84</v>
      </c>
      <c r="J494" s="7">
        <v>52</v>
      </c>
      <c r="K494" s="7" t="s">
        <v>15</v>
      </c>
      <c r="L494" s="7">
        <v>5</v>
      </c>
      <c r="M494" s="7">
        <v>11</v>
      </c>
      <c r="N494" s="7">
        <v>0</v>
      </c>
      <c r="O494" s="7" t="s">
        <v>824</v>
      </c>
      <c r="P494" s="7">
        <v>0</v>
      </c>
      <c r="Q494" s="7">
        <v>9240.75</v>
      </c>
      <c r="R494" s="7">
        <v>7992</v>
      </c>
      <c r="S494" s="7">
        <v>1248.75</v>
      </c>
      <c r="T494" s="7" t="s">
        <v>823</v>
      </c>
      <c r="U494" s="7"/>
    </row>
    <row r="495" spans="1:21" x14ac:dyDescent="0.25">
      <c r="A495" s="7" t="s">
        <v>520</v>
      </c>
      <c r="B495" s="7" t="s">
        <v>806</v>
      </c>
      <c r="C495" s="7">
        <v>45083</v>
      </c>
      <c r="D495" s="7">
        <v>45099</v>
      </c>
      <c r="E495" s="7" t="s">
        <v>21</v>
      </c>
      <c r="F495" s="7" t="s">
        <v>35</v>
      </c>
      <c r="G495" s="7">
        <v>1361</v>
      </c>
      <c r="H495" s="7">
        <v>28.57</v>
      </c>
      <c r="I495" s="7">
        <v>24.29</v>
      </c>
      <c r="J495" s="7">
        <v>65</v>
      </c>
      <c r="K495" s="7" t="s">
        <v>15</v>
      </c>
      <c r="L495" s="7">
        <v>16</v>
      </c>
      <c r="M495" s="7">
        <v>11</v>
      </c>
      <c r="N495" s="7">
        <v>5</v>
      </c>
      <c r="O495" s="7" t="s">
        <v>824</v>
      </c>
      <c r="P495" s="7">
        <v>0</v>
      </c>
      <c r="Q495" s="7">
        <v>38883.769999999997</v>
      </c>
      <c r="R495" s="7">
        <v>33058.69</v>
      </c>
      <c r="S495" s="7">
        <v>5825.0799999999945</v>
      </c>
      <c r="T495" s="7" t="s">
        <v>825</v>
      </c>
      <c r="U495" s="7"/>
    </row>
    <row r="496" spans="1:21" x14ac:dyDescent="0.25">
      <c r="A496" s="7" t="s">
        <v>521</v>
      </c>
      <c r="B496" s="7" t="s">
        <v>806</v>
      </c>
      <c r="C496" s="7">
        <v>44971</v>
      </c>
      <c r="D496" s="7">
        <v>44972</v>
      </c>
      <c r="E496" s="7" t="s">
        <v>26</v>
      </c>
      <c r="F496" s="7" t="s">
        <v>18</v>
      </c>
      <c r="G496" s="7">
        <v>903</v>
      </c>
      <c r="H496" s="7">
        <v>66.53</v>
      </c>
      <c r="I496" s="7">
        <v>60.15</v>
      </c>
      <c r="J496" s="7">
        <v>29</v>
      </c>
      <c r="K496" s="7" t="s">
        <v>15</v>
      </c>
      <c r="L496" s="7">
        <v>1</v>
      </c>
      <c r="M496" s="7">
        <v>11</v>
      </c>
      <c r="N496" s="7">
        <v>0</v>
      </c>
      <c r="O496" s="7" t="s">
        <v>824</v>
      </c>
      <c r="P496" s="7">
        <v>0</v>
      </c>
      <c r="Q496" s="7">
        <v>60076.590000000004</v>
      </c>
      <c r="R496" s="7">
        <v>54315.45</v>
      </c>
      <c r="S496" s="7">
        <v>5761.1400000000067</v>
      </c>
      <c r="T496" s="7" t="s">
        <v>823</v>
      </c>
      <c r="U496" s="7"/>
    </row>
    <row r="497" spans="1:21" x14ac:dyDescent="0.25">
      <c r="A497" s="7" t="s">
        <v>522</v>
      </c>
      <c r="B497" s="7" t="s">
        <v>808</v>
      </c>
      <c r="C497" s="7">
        <v>45257</v>
      </c>
      <c r="D497" s="7">
        <v>45268</v>
      </c>
      <c r="E497" s="7" t="s">
        <v>24</v>
      </c>
      <c r="F497" s="7" t="s">
        <v>14</v>
      </c>
      <c r="G497" s="7">
        <v>1736</v>
      </c>
      <c r="H497" s="7">
        <v>53.2</v>
      </c>
      <c r="I497" s="7">
        <v>50.68</v>
      </c>
      <c r="J497" s="7">
        <v>48</v>
      </c>
      <c r="K497" s="7" t="s">
        <v>15</v>
      </c>
      <c r="L497" s="7">
        <v>11</v>
      </c>
      <c r="M497" s="7">
        <v>11</v>
      </c>
      <c r="N497" s="7">
        <v>0</v>
      </c>
      <c r="O497" s="7" t="s">
        <v>824</v>
      </c>
      <c r="P497" s="7">
        <v>0</v>
      </c>
      <c r="Q497" s="7">
        <v>92355.200000000012</v>
      </c>
      <c r="R497" s="7">
        <v>87980.479999999996</v>
      </c>
      <c r="S497" s="7">
        <v>4374.7200000000157</v>
      </c>
      <c r="T497" s="7" t="s">
        <v>823</v>
      </c>
      <c r="U497" s="7"/>
    </row>
    <row r="498" spans="1:21" x14ac:dyDescent="0.25">
      <c r="A498" s="7" t="s">
        <v>523</v>
      </c>
      <c r="B498" s="7" t="s">
        <v>807</v>
      </c>
      <c r="C498" s="7">
        <v>45111</v>
      </c>
      <c r="D498" s="7">
        <v>45118</v>
      </c>
      <c r="E498" s="7" t="s">
        <v>21</v>
      </c>
      <c r="F498" s="7" t="s">
        <v>18</v>
      </c>
      <c r="G498" s="7">
        <v>1011</v>
      </c>
      <c r="H498" s="7">
        <v>98.47</v>
      </c>
      <c r="I498" s="7">
        <v>97.06</v>
      </c>
      <c r="J498" s="7">
        <v>91</v>
      </c>
      <c r="K498" s="7" t="s">
        <v>15</v>
      </c>
      <c r="L498" s="7">
        <v>7</v>
      </c>
      <c r="M498" s="7">
        <v>11</v>
      </c>
      <c r="N498" s="7">
        <v>0</v>
      </c>
      <c r="O498" s="7" t="s">
        <v>824</v>
      </c>
      <c r="P498" s="7">
        <v>0</v>
      </c>
      <c r="Q498" s="7">
        <v>99553.17</v>
      </c>
      <c r="R498" s="7">
        <v>98127.66</v>
      </c>
      <c r="S498" s="7">
        <v>1425.5099999999948</v>
      </c>
      <c r="T498" s="7" t="s">
        <v>823</v>
      </c>
      <c r="U498" s="7"/>
    </row>
    <row r="499" spans="1:21" x14ac:dyDescent="0.25">
      <c r="A499" s="7" t="s">
        <v>524</v>
      </c>
      <c r="B499" s="7" t="s">
        <v>805</v>
      </c>
      <c r="C499" s="7">
        <v>44901</v>
      </c>
      <c r="D499" s="7">
        <v>44919</v>
      </c>
      <c r="E499" s="7" t="s">
        <v>39</v>
      </c>
      <c r="F499" s="7" t="s">
        <v>18</v>
      </c>
      <c r="G499" s="7">
        <v>1712</v>
      </c>
      <c r="H499" s="7">
        <v>88.17</v>
      </c>
      <c r="I499" s="7">
        <v>85.86</v>
      </c>
      <c r="J499" s="7">
        <v>246</v>
      </c>
      <c r="K499" s="7" t="s">
        <v>15</v>
      </c>
      <c r="L499" s="7">
        <v>18</v>
      </c>
      <c r="M499" s="7">
        <v>11</v>
      </c>
      <c r="N499" s="7">
        <v>7</v>
      </c>
      <c r="O499" s="7" t="s">
        <v>824</v>
      </c>
      <c r="P499" s="7">
        <v>0</v>
      </c>
      <c r="Q499" s="7">
        <v>150947.04</v>
      </c>
      <c r="R499" s="7">
        <v>146992.32000000001</v>
      </c>
      <c r="S499" s="7">
        <v>3954.7200000000012</v>
      </c>
      <c r="T499" s="7" t="s">
        <v>825</v>
      </c>
      <c r="U499" s="7"/>
    </row>
    <row r="500" spans="1:21" x14ac:dyDescent="0.25">
      <c r="A500" s="7" t="s">
        <v>525</v>
      </c>
      <c r="B500" s="7" t="s">
        <v>806</v>
      </c>
      <c r="C500" s="7">
        <v>44590</v>
      </c>
      <c r="D500" s="7">
        <v>44600</v>
      </c>
      <c r="E500" s="7" t="s">
        <v>13</v>
      </c>
      <c r="F500" s="7" t="s">
        <v>18</v>
      </c>
      <c r="G500" s="7">
        <v>204</v>
      </c>
      <c r="H500" s="7">
        <v>40.76</v>
      </c>
      <c r="I500" s="7">
        <v>37.46</v>
      </c>
      <c r="J500" s="7">
        <v>10</v>
      </c>
      <c r="K500" s="7" t="s">
        <v>15</v>
      </c>
      <c r="L500" s="7">
        <v>10</v>
      </c>
      <c r="M500" s="7">
        <v>11</v>
      </c>
      <c r="N500" s="7">
        <v>0</v>
      </c>
      <c r="O500" s="7" t="s">
        <v>824</v>
      </c>
      <c r="P500" s="7">
        <v>0</v>
      </c>
      <c r="Q500" s="7">
        <v>8315.0399999999991</v>
      </c>
      <c r="R500" s="7">
        <v>7641.84</v>
      </c>
      <c r="S500" s="7">
        <v>673.19999999999891</v>
      </c>
      <c r="T500" s="7" t="s">
        <v>823</v>
      </c>
      <c r="U500" s="7"/>
    </row>
    <row r="501" spans="1:21" x14ac:dyDescent="0.25">
      <c r="A501" s="7" t="s">
        <v>526</v>
      </c>
      <c r="B501" s="7" t="s">
        <v>807</v>
      </c>
      <c r="C501" s="7">
        <v>44680</v>
      </c>
      <c r="D501" s="7">
        <v>44694</v>
      </c>
      <c r="E501" s="7" t="s">
        <v>39</v>
      </c>
      <c r="F501" s="7" t="s">
        <v>33</v>
      </c>
      <c r="G501" s="7">
        <v>539</v>
      </c>
      <c r="H501" s="7">
        <v>33.85</v>
      </c>
      <c r="I501" s="7">
        <v>30.57</v>
      </c>
      <c r="J501" s="7">
        <v>34</v>
      </c>
      <c r="K501" s="7" t="s">
        <v>27</v>
      </c>
      <c r="L501" s="7">
        <v>14</v>
      </c>
      <c r="M501" s="7">
        <v>11</v>
      </c>
      <c r="N501" s="7">
        <v>3</v>
      </c>
      <c r="O501" s="7" t="s">
        <v>824</v>
      </c>
      <c r="P501" s="7">
        <v>0</v>
      </c>
      <c r="Q501" s="7">
        <v>18245.150000000001</v>
      </c>
      <c r="R501" s="7">
        <v>16477.23</v>
      </c>
      <c r="S501" s="7">
        <v>1767.9200000000019</v>
      </c>
      <c r="T501" s="7" t="s">
        <v>826</v>
      </c>
      <c r="U501" s="7"/>
    </row>
    <row r="502" spans="1:21" x14ac:dyDescent="0.25">
      <c r="A502" s="7" t="s">
        <v>527</v>
      </c>
      <c r="B502" s="7" t="s">
        <v>805</v>
      </c>
      <c r="C502" s="7">
        <v>44829</v>
      </c>
      <c r="D502" s="7">
        <v>44839</v>
      </c>
      <c r="E502" s="7" t="s">
        <v>13</v>
      </c>
      <c r="F502" s="7" t="s">
        <v>18</v>
      </c>
      <c r="G502" s="7">
        <v>1459</v>
      </c>
      <c r="H502" s="7">
        <v>45.94</v>
      </c>
      <c r="I502" s="7">
        <v>42.56</v>
      </c>
      <c r="J502" s="7">
        <v>212</v>
      </c>
      <c r="K502" s="7" t="s">
        <v>27</v>
      </c>
      <c r="L502" s="7">
        <v>10</v>
      </c>
      <c r="M502" s="7">
        <v>11</v>
      </c>
      <c r="N502" s="7">
        <v>0</v>
      </c>
      <c r="O502" s="7" t="s">
        <v>824</v>
      </c>
      <c r="P502" s="7">
        <v>0</v>
      </c>
      <c r="Q502" s="7">
        <v>67026.459999999992</v>
      </c>
      <c r="R502" s="7">
        <v>62095.040000000001</v>
      </c>
      <c r="S502" s="7">
        <v>4931.419999999991</v>
      </c>
      <c r="T502" s="7" t="s">
        <v>823</v>
      </c>
      <c r="U502" s="7"/>
    </row>
    <row r="503" spans="1:21" x14ac:dyDescent="0.25">
      <c r="A503" s="7" t="s">
        <v>528</v>
      </c>
      <c r="B503" s="7" t="s">
        <v>806</v>
      </c>
      <c r="C503" s="7">
        <v>44744</v>
      </c>
      <c r="D503" s="7">
        <v>44748</v>
      </c>
      <c r="E503" s="7" t="s">
        <v>21</v>
      </c>
      <c r="F503" s="7" t="s">
        <v>18</v>
      </c>
      <c r="G503" s="7">
        <v>834</v>
      </c>
      <c r="H503" s="7">
        <v>65.02</v>
      </c>
      <c r="I503" s="7">
        <v>56.19</v>
      </c>
      <c r="J503" s="7"/>
      <c r="K503" s="7" t="s">
        <v>15</v>
      </c>
      <c r="L503" s="7">
        <v>4</v>
      </c>
      <c r="M503" s="7">
        <v>11</v>
      </c>
      <c r="N503" s="7">
        <v>0</v>
      </c>
      <c r="O503" s="7" t="s">
        <v>822</v>
      </c>
      <c r="P503" s="7">
        <v>1</v>
      </c>
      <c r="Q503" s="7">
        <v>54226.68</v>
      </c>
      <c r="R503" s="7">
        <v>46862.46</v>
      </c>
      <c r="S503" s="7">
        <v>7364.2200000000012</v>
      </c>
      <c r="T503" s="7" t="s">
        <v>823</v>
      </c>
      <c r="U503" s="7"/>
    </row>
    <row r="504" spans="1:21" x14ac:dyDescent="0.25">
      <c r="A504" s="7" t="s">
        <v>529</v>
      </c>
      <c r="B504" s="7" t="s">
        <v>806</v>
      </c>
      <c r="C504" s="7">
        <v>45156</v>
      </c>
      <c r="D504" s="7">
        <v>45170</v>
      </c>
      <c r="E504" s="7" t="s">
        <v>24</v>
      </c>
      <c r="F504" s="7" t="s">
        <v>33</v>
      </c>
      <c r="G504" s="7">
        <v>1177</v>
      </c>
      <c r="H504" s="7">
        <v>37.369999999999997</v>
      </c>
      <c r="I504" s="7">
        <v>34.270000000000003</v>
      </c>
      <c r="J504" s="7">
        <v>60</v>
      </c>
      <c r="K504" s="7" t="s">
        <v>15</v>
      </c>
      <c r="L504" s="7">
        <v>14</v>
      </c>
      <c r="M504" s="7">
        <v>11</v>
      </c>
      <c r="N504" s="7">
        <v>3</v>
      </c>
      <c r="O504" s="7" t="s">
        <v>824</v>
      </c>
      <c r="P504" s="7">
        <v>0</v>
      </c>
      <c r="Q504" s="7">
        <v>43984.49</v>
      </c>
      <c r="R504" s="7">
        <v>40335.79</v>
      </c>
      <c r="S504" s="7">
        <v>3648.6999999999971</v>
      </c>
      <c r="T504" s="7" t="s">
        <v>826</v>
      </c>
      <c r="U504" s="7"/>
    </row>
    <row r="505" spans="1:21" x14ac:dyDescent="0.25">
      <c r="A505" s="7" t="s">
        <v>530</v>
      </c>
      <c r="B505" s="7" t="s">
        <v>805</v>
      </c>
      <c r="C505" s="7">
        <v>44833</v>
      </c>
      <c r="D505" s="7">
        <v>44853</v>
      </c>
      <c r="E505" s="7" t="s">
        <v>21</v>
      </c>
      <c r="F505" s="7" t="s">
        <v>18</v>
      </c>
      <c r="G505" s="7">
        <v>1466</v>
      </c>
      <c r="H505" s="7">
        <v>68.819999999999993</v>
      </c>
      <c r="I505" s="7">
        <v>66.819999999999993</v>
      </c>
      <c r="J505" s="7">
        <v>211</v>
      </c>
      <c r="K505" s="7" t="s">
        <v>15</v>
      </c>
      <c r="L505" s="7">
        <v>20</v>
      </c>
      <c r="M505" s="7">
        <v>11</v>
      </c>
      <c r="N505" s="7">
        <v>9</v>
      </c>
      <c r="O505" s="7" t="s">
        <v>824</v>
      </c>
      <c r="P505" s="7">
        <v>0</v>
      </c>
      <c r="Q505" s="7">
        <v>100890.12</v>
      </c>
      <c r="R505" s="7">
        <v>97958.12</v>
      </c>
      <c r="S505" s="7">
        <v>2932</v>
      </c>
      <c r="T505" s="7" t="s">
        <v>825</v>
      </c>
      <c r="U505" s="7"/>
    </row>
    <row r="506" spans="1:21" x14ac:dyDescent="0.25">
      <c r="A506" s="7" t="s">
        <v>531</v>
      </c>
      <c r="B506" s="7" t="s">
        <v>808</v>
      </c>
      <c r="C506" s="7">
        <v>44601</v>
      </c>
      <c r="D506" s="7">
        <v>44605</v>
      </c>
      <c r="E506" s="7" t="s">
        <v>39</v>
      </c>
      <c r="F506" s="7" t="s">
        <v>18</v>
      </c>
      <c r="G506" s="7">
        <v>1884</v>
      </c>
      <c r="H506" s="7">
        <v>47.08</v>
      </c>
      <c r="I506" s="7">
        <v>44.31</v>
      </c>
      <c r="J506" s="7">
        <v>54</v>
      </c>
      <c r="K506" s="7" t="s">
        <v>15</v>
      </c>
      <c r="L506" s="7">
        <v>4</v>
      </c>
      <c r="M506" s="7">
        <v>11</v>
      </c>
      <c r="N506" s="7">
        <v>0</v>
      </c>
      <c r="O506" s="7" t="s">
        <v>824</v>
      </c>
      <c r="P506" s="7">
        <v>0</v>
      </c>
      <c r="Q506" s="7">
        <v>88698.72</v>
      </c>
      <c r="R506" s="7">
        <v>83480.040000000008</v>
      </c>
      <c r="S506" s="7">
        <v>5218.679999999993</v>
      </c>
      <c r="T506" s="7" t="s">
        <v>823</v>
      </c>
      <c r="U506" s="7"/>
    </row>
    <row r="507" spans="1:21" x14ac:dyDescent="0.25">
      <c r="A507" s="7" t="s">
        <v>532</v>
      </c>
      <c r="B507" s="7" t="s">
        <v>807</v>
      </c>
      <c r="C507" s="7">
        <v>44673</v>
      </c>
      <c r="D507" s="7">
        <v>44689</v>
      </c>
      <c r="E507" s="7" t="s">
        <v>39</v>
      </c>
      <c r="F507" s="7" t="s">
        <v>18</v>
      </c>
      <c r="G507" s="7">
        <v>295</v>
      </c>
      <c r="H507" s="7">
        <v>60.58</v>
      </c>
      <c r="I507" s="7">
        <v>57.32</v>
      </c>
      <c r="J507" s="7">
        <v>31</v>
      </c>
      <c r="K507" s="7" t="s">
        <v>15</v>
      </c>
      <c r="L507" s="7">
        <v>16</v>
      </c>
      <c r="M507" s="7">
        <v>11</v>
      </c>
      <c r="N507" s="7">
        <v>5</v>
      </c>
      <c r="O507" s="7" t="s">
        <v>824</v>
      </c>
      <c r="P507" s="7">
        <v>0</v>
      </c>
      <c r="Q507" s="7">
        <v>17871.099999999999</v>
      </c>
      <c r="R507" s="7">
        <v>16909.400000000001</v>
      </c>
      <c r="S507" s="7">
        <v>961.69999999999709</v>
      </c>
      <c r="T507" s="7" t="s">
        <v>825</v>
      </c>
      <c r="U507" s="7"/>
    </row>
    <row r="508" spans="1:21" x14ac:dyDescent="0.25">
      <c r="A508" s="7" t="s">
        <v>533</v>
      </c>
      <c r="B508" s="7" t="s">
        <v>806</v>
      </c>
      <c r="C508" s="7">
        <v>45172</v>
      </c>
      <c r="D508" s="7">
        <v>45173</v>
      </c>
      <c r="E508" s="7" t="s">
        <v>26</v>
      </c>
      <c r="F508" s="7" t="s">
        <v>18</v>
      </c>
      <c r="G508" s="7">
        <v>1249</v>
      </c>
      <c r="H508" s="7">
        <v>54.18</v>
      </c>
      <c r="I508" s="7">
        <v>47.29</v>
      </c>
      <c r="J508" s="7">
        <v>59</v>
      </c>
      <c r="K508" s="7" t="s">
        <v>15</v>
      </c>
      <c r="L508" s="7">
        <v>1</v>
      </c>
      <c r="M508" s="7">
        <v>11</v>
      </c>
      <c r="N508" s="7">
        <v>0</v>
      </c>
      <c r="O508" s="7" t="s">
        <v>824</v>
      </c>
      <c r="P508" s="7">
        <v>0</v>
      </c>
      <c r="Q508" s="7">
        <v>67670.819999999992</v>
      </c>
      <c r="R508" s="7">
        <v>59065.21</v>
      </c>
      <c r="S508" s="7">
        <v>8605.6099999999933</v>
      </c>
      <c r="T508" s="7" t="s">
        <v>823</v>
      </c>
      <c r="U508" s="7"/>
    </row>
    <row r="509" spans="1:21" x14ac:dyDescent="0.25">
      <c r="A509" s="7" t="s">
        <v>534</v>
      </c>
      <c r="B509" s="7" t="s">
        <v>805</v>
      </c>
      <c r="C509" s="7">
        <v>45006</v>
      </c>
      <c r="D509" s="7">
        <v>45025</v>
      </c>
      <c r="E509" s="7" t="s">
        <v>26</v>
      </c>
      <c r="F509" s="7" t="s">
        <v>18</v>
      </c>
      <c r="G509" s="7">
        <v>1112</v>
      </c>
      <c r="H509" s="7">
        <v>39.06</v>
      </c>
      <c r="I509" s="7">
        <v>33.6</v>
      </c>
      <c r="J509" s="7">
        <v>184</v>
      </c>
      <c r="K509" s="7" t="s">
        <v>27</v>
      </c>
      <c r="L509" s="7">
        <v>19</v>
      </c>
      <c r="M509" s="7">
        <v>11</v>
      </c>
      <c r="N509" s="7">
        <v>8</v>
      </c>
      <c r="O509" s="7" t="s">
        <v>824</v>
      </c>
      <c r="P509" s="7">
        <v>0</v>
      </c>
      <c r="Q509" s="7">
        <v>43434.720000000001</v>
      </c>
      <c r="R509" s="7">
        <v>37363.200000000004</v>
      </c>
      <c r="S509" s="7">
        <v>6071.5199999999968</v>
      </c>
      <c r="T509" s="7" t="s">
        <v>825</v>
      </c>
      <c r="U509" s="7"/>
    </row>
    <row r="510" spans="1:21" x14ac:dyDescent="0.25">
      <c r="A510" s="7" t="s">
        <v>535</v>
      </c>
      <c r="B510" s="7" t="s">
        <v>806</v>
      </c>
      <c r="C510" s="7">
        <v>44915</v>
      </c>
      <c r="D510" s="7">
        <v>44920</v>
      </c>
      <c r="E510" s="7" t="s">
        <v>13</v>
      </c>
      <c r="F510" s="7" t="s">
        <v>18</v>
      </c>
      <c r="G510" s="7">
        <v>1550</v>
      </c>
      <c r="H510" s="7">
        <v>100.61</v>
      </c>
      <c r="I510" s="7">
        <v>97.43</v>
      </c>
      <c r="J510" s="7">
        <v>66</v>
      </c>
      <c r="K510" s="7" t="s">
        <v>15</v>
      </c>
      <c r="L510" s="7">
        <v>5</v>
      </c>
      <c r="M510" s="7">
        <v>11</v>
      </c>
      <c r="N510" s="7">
        <v>0</v>
      </c>
      <c r="O510" s="7" t="s">
        <v>824</v>
      </c>
      <c r="P510" s="7">
        <v>0</v>
      </c>
      <c r="Q510" s="7">
        <v>155945.5</v>
      </c>
      <c r="R510" s="7">
        <v>151016.5</v>
      </c>
      <c r="S510" s="7">
        <v>4929</v>
      </c>
      <c r="T510" s="7" t="s">
        <v>823</v>
      </c>
      <c r="U510" s="7"/>
    </row>
    <row r="511" spans="1:21" x14ac:dyDescent="0.25">
      <c r="A511" s="7" t="s">
        <v>536</v>
      </c>
      <c r="B511" s="7" t="s">
        <v>805</v>
      </c>
      <c r="C511" s="7">
        <v>44883</v>
      </c>
      <c r="D511" s="7">
        <v>44884</v>
      </c>
      <c r="E511" s="7" t="s">
        <v>39</v>
      </c>
      <c r="F511" s="7" t="s">
        <v>18</v>
      </c>
      <c r="G511" s="7">
        <v>1755</v>
      </c>
      <c r="H511" s="7">
        <v>82.66</v>
      </c>
      <c r="I511" s="7">
        <v>73.67</v>
      </c>
      <c r="J511" s="7">
        <v>258</v>
      </c>
      <c r="K511" s="7" t="s">
        <v>27</v>
      </c>
      <c r="L511" s="7">
        <v>1</v>
      </c>
      <c r="M511" s="7">
        <v>11</v>
      </c>
      <c r="N511" s="7">
        <v>0</v>
      </c>
      <c r="O511" s="7" t="s">
        <v>824</v>
      </c>
      <c r="P511" s="7">
        <v>0</v>
      </c>
      <c r="Q511" s="7">
        <v>145068.29999999999</v>
      </c>
      <c r="R511" s="7">
        <v>129290.85</v>
      </c>
      <c r="S511" s="7">
        <v>15777.449999999983</v>
      </c>
      <c r="T511" s="7" t="s">
        <v>823</v>
      </c>
      <c r="U511" s="7"/>
    </row>
    <row r="512" spans="1:21" x14ac:dyDescent="0.25">
      <c r="A512" s="7" t="s">
        <v>537</v>
      </c>
      <c r="B512" s="7" t="s">
        <v>806</v>
      </c>
      <c r="C512" s="7">
        <v>45008</v>
      </c>
      <c r="D512" s="7">
        <v>45016</v>
      </c>
      <c r="E512" s="7" t="s">
        <v>26</v>
      </c>
      <c r="F512" s="7" t="s">
        <v>18</v>
      </c>
      <c r="G512" s="7">
        <v>808</v>
      </c>
      <c r="H512" s="7">
        <v>24.19</v>
      </c>
      <c r="I512" s="7">
        <v>21.64</v>
      </c>
      <c r="J512" s="7">
        <v>39</v>
      </c>
      <c r="K512" s="7" t="s">
        <v>15</v>
      </c>
      <c r="L512" s="7">
        <v>8</v>
      </c>
      <c r="M512" s="7">
        <v>11</v>
      </c>
      <c r="N512" s="7">
        <v>0</v>
      </c>
      <c r="O512" s="7" t="s">
        <v>824</v>
      </c>
      <c r="P512" s="7">
        <v>0</v>
      </c>
      <c r="Q512" s="7">
        <v>19545.52</v>
      </c>
      <c r="R512" s="7">
        <v>17485.12</v>
      </c>
      <c r="S512" s="7">
        <v>2060.4000000000015</v>
      </c>
      <c r="T512" s="7" t="s">
        <v>823</v>
      </c>
      <c r="U512" s="7"/>
    </row>
    <row r="513" spans="1:21" x14ac:dyDescent="0.25">
      <c r="A513" s="7" t="s">
        <v>538</v>
      </c>
      <c r="B513" s="7" t="s">
        <v>804</v>
      </c>
      <c r="C513" s="7">
        <v>45182</v>
      </c>
      <c r="D513" s="7">
        <v>45188</v>
      </c>
      <c r="E513" s="7" t="s">
        <v>26</v>
      </c>
      <c r="F513" s="7" t="s">
        <v>33</v>
      </c>
      <c r="G513" s="7">
        <v>587</v>
      </c>
      <c r="H513" s="7">
        <v>96.98</v>
      </c>
      <c r="I513" s="7">
        <v>95.35</v>
      </c>
      <c r="J513" s="7">
        <v>14</v>
      </c>
      <c r="K513" s="7" t="s">
        <v>15</v>
      </c>
      <c r="L513" s="7">
        <v>6</v>
      </c>
      <c r="M513" s="7">
        <v>11</v>
      </c>
      <c r="N513" s="7">
        <v>0</v>
      </c>
      <c r="O513" s="7" t="s">
        <v>824</v>
      </c>
      <c r="P513" s="7">
        <v>0</v>
      </c>
      <c r="Q513" s="7">
        <v>56927.26</v>
      </c>
      <c r="R513" s="7">
        <v>55970.45</v>
      </c>
      <c r="S513" s="7">
        <v>956.81000000000495</v>
      </c>
      <c r="T513" s="7" t="s">
        <v>823</v>
      </c>
      <c r="U513" s="7"/>
    </row>
    <row r="514" spans="1:21" x14ac:dyDescent="0.25">
      <c r="A514" s="7" t="s">
        <v>539</v>
      </c>
      <c r="B514" s="7" t="s">
        <v>808</v>
      </c>
      <c r="C514" s="7">
        <v>45085</v>
      </c>
      <c r="D514" s="7">
        <v>45088</v>
      </c>
      <c r="E514" s="7" t="s">
        <v>21</v>
      </c>
      <c r="F514" s="7" t="s">
        <v>18</v>
      </c>
      <c r="G514" s="7">
        <v>1940</v>
      </c>
      <c r="H514" s="7">
        <v>58.45</v>
      </c>
      <c r="I514" s="7">
        <v>50.29</v>
      </c>
      <c r="J514" s="7">
        <v>54</v>
      </c>
      <c r="K514" s="7" t="s">
        <v>15</v>
      </c>
      <c r="L514" s="7">
        <v>3</v>
      </c>
      <c r="M514" s="7">
        <v>11</v>
      </c>
      <c r="N514" s="7">
        <v>0</v>
      </c>
      <c r="O514" s="7" t="s">
        <v>824</v>
      </c>
      <c r="P514" s="7">
        <v>0</v>
      </c>
      <c r="Q514" s="7">
        <v>113393</v>
      </c>
      <c r="R514" s="7">
        <v>97562.599999999991</v>
      </c>
      <c r="S514" s="7">
        <v>15830.400000000009</v>
      </c>
      <c r="T514" s="7" t="s">
        <v>823</v>
      </c>
      <c r="U514" s="7"/>
    </row>
    <row r="515" spans="1:21" x14ac:dyDescent="0.25">
      <c r="A515" s="7" t="s">
        <v>540</v>
      </c>
      <c r="B515" s="7" t="s">
        <v>807</v>
      </c>
      <c r="C515" s="7">
        <v>44680</v>
      </c>
      <c r="D515" s="7">
        <v>44692</v>
      </c>
      <c r="E515" s="7" t="s">
        <v>13</v>
      </c>
      <c r="F515" s="7" t="s">
        <v>14</v>
      </c>
      <c r="G515" s="7">
        <v>1891</v>
      </c>
      <c r="H515" s="7">
        <v>91.87</v>
      </c>
      <c r="I515" s="7">
        <v>80.28</v>
      </c>
      <c r="J515" s="7">
        <v>158</v>
      </c>
      <c r="K515" s="7" t="s">
        <v>15</v>
      </c>
      <c r="L515" s="7">
        <v>12</v>
      </c>
      <c r="M515" s="7">
        <v>11</v>
      </c>
      <c r="N515" s="7">
        <v>1</v>
      </c>
      <c r="O515" s="7" t="s">
        <v>824</v>
      </c>
      <c r="P515" s="7">
        <v>0</v>
      </c>
      <c r="Q515" s="7">
        <v>173726.17</v>
      </c>
      <c r="R515" s="7">
        <v>151809.48000000001</v>
      </c>
      <c r="S515" s="7">
        <v>21916.690000000002</v>
      </c>
      <c r="T515" s="7" t="s">
        <v>826</v>
      </c>
      <c r="U515" s="7"/>
    </row>
    <row r="516" spans="1:21" x14ac:dyDescent="0.25">
      <c r="A516" s="7" t="s">
        <v>541</v>
      </c>
      <c r="B516" s="7" t="s">
        <v>808</v>
      </c>
      <c r="C516" s="7">
        <v>44956</v>
      </c>
      <c r="D516" s="7">
        <v>44973</v>
      </c>
      <c r="E516" s="7" t="s">
        <v>24</v>
      </c>
      <c r="F516" s="7" t="s">
        <v>18</v>
      </c>
      <c r="G516" s="7">
        <v>970</v>
      </c>
      <c r="H516" s="7">
        <v>86.91</v>
      </c>
      <c r="I516" s="7">
        <v>78.44</v>
      </c>
      <c r="J516" s="7">
        <v>18</v>
      </c>
      <c r="K516" s="7" t="s">
        <v>15</v>
      </c>
      <c r="L516" s="7">
        <v>17</v>
      </c>
      <c r="M516" s="7">
        <v>11</v>
      </c>
      <c r="N516" s="7">
        <v>6</v>
      </c>
      <c r="O516" s="7" t="s">
        <v>824</v>
      </c>
      <c r="P516" s="7">
        <v>0</v>
      </c>
      <c r="Q516" s="7">
        <v>84302.7</v>
      </c>
      <c r="R516" s="7">
        <v>76086.8</v>
      </c>
      <c r="S516" s="7">
        <v>8215.8999999999942</v>
      </c>
      <c r="T516" s="7" t="s">
        <v>825</v>
      </c>
      <c r="U516" s="7"/>
    </row>
    <row r="517" spans="1:21" x14ac:dyDescent="0.25">
      <c r="A517" s="7" t="s">
        <v>542</v>
      </c>
      <c r="B517" s="7" t="s">
        <v>808</v>
      </c>
      <c r="C517" s="7">
        <v>45152</v>
      </c>
      <c r="D517" s="7">
        <v>45169</v>
      </c>
      <c r="E517" s="7" t="s">
        <v>21</v>
      </c>
      <c r="F517" s="7" t="s">
        <v>18</v>
      </c>
      <c r="G517" s="7">
        <v>457</v>
      </c>
      <c r="H517" s="7">
        <v>52.85</v>
      </c>
      <c r="I517" s="7">
        <v>50.34</v>
      </c>
      <c r="J517" s="7">
        <v>16</v>
      </c>
      <c r="K517" s="7" t="s">
        <v>15</v>
      </c>
      <c r="L517" s="7">
        <v>17</v>
      </c>
      <c r="M517" s="7">
        <v>11</v>
      </c>
      <c r="N517" s="7">
        <v>6</v>
      </c>
      <c r="O517" s="7" t="s">
        <v>824</v>
      </c>
      <c r="P517" s="7">
        <v>0</v>
      </c>
      <c r="Q517" s="7">
        <v>24152.45</v>
      </c>
      <c r="R517" s="7">
        <v>23005.38</v>
      </c>
      <c r="S517" s="7">
        <v>1147.0699999999997</v>
      </c>
      <c r="T517" s="7" t="s">
        <v>825</v>
      </c>
      <c r="U517" s="7"/>
    </row>
    <row r="518" spans="1:21" x14ac:dyDescent="0.25">
      <c r="A518" s="7" t="s">
        <v>543</v>
      </c>
      <c r="B518" s="7" t="s">
        <v>807</v>
      </c>
      <c r="C518" s="7">
        <v>44756</v>
      </c>
      <c r="D518" s="7">
        <v>44769</v>
      </c>
      <c r="E518" s="7" t="s">
        <v>13</v>
      </c>
      <c r="F518" s="7" t="s">
        <v>14</v>
      </c>
      <c r="G518" s="7">
        <v>574</v>
      </c>
      <c r="H518" s="7">
        <v>12.38</v>
      </c>
      <c r="I518" s="7">
        <v>11.47</v>
      </c>
      <c r="J518" s="7"/>
      <c r="K518" s="7" t="s">
        <v>27</v>
      </c>
      <c r="L518" s="7">
        <v>13</v>
      </c>
      <c r="M518" s="7">
        <v>11</v>
      </c>
      <c r="N518" s="7">
        <v>2</v>
      </c>
      <c r="O518" s="7" t="s">
        <v>824</v>
      </c>
      <c r="P518" s="7">
        <v>0</v>
      </c>
      <c r="Q518" s="7">
        <v>7106.1200000000008</v>
      </c>
      <c r="R518" s="7">
        <v>6583.7800000000007</v>
      </c>
      <c r="S518" s="7">
        <v>522.34000000000015</v>
      </c>
      <c r="T518" s="7" t="s">
        <v>826</v>
      </c>
      <c r="U518" s="7"/>
    </row>
    <row r="519" spans="1:21" x14ac:dyDescent="0.25">
      <c r="A519" s="7" t="s">
        <v>544</v>
      </c>
      <c r="B519" s="7" t="s">
        <v>808</v>
      </c>
      <c r="C519" s="7">
        <v>44822</v>
      </c>
      <c r="D519" s="7">
        <v>44824</v>
      </c>
      <c r="E519" s="7" t="s">
        <v>13</v>
      </c>
      <c r="F519" s="7" t="s">
        <v>18</v>
      </c>
      <c r="G519" s="7">
        <v>877</v>
      </c>
      <c r="H519" s="7">
        <v>35.549999999999997</v>
      </c>
      <c r="I519" s="7">
        <v>34.69</v>
      </c>
      <c r="J519" s="7">
        <v>24</v>
      </c>
      <c r="K519" s="7" t="s">
        <v>15</v>
      </c>
      <c r="L519" s="7">
        <v>2</v>
      </c>
      <c r="M519" s="7">
        <v>11</v>
      </c>
      <c r="N519" s="7">
        <v>0</v>
      </c>
      <c r="O519" s="7" t="s">
        <v>824</v>
      </c>
      <c r="P519" s="7">
        <v>0</v>
      </c>
      <c r="Q519" s="7">
        <v>31177.35</v>
      </c>
      <c r="R519" s="7">
        <v>30423.129999999997</v>
      </c>
      <c r="S519" s="7">
        <v>754.22000000000116</v>
      </c>
      <c r="T519" s="7" t="s">
        <v>823</v>
      </c>
      <c r="U519" s="7"/>
    </row>
    <row r="520" spans="1:21" x14ac:dyDescent="0.25">
      <c r="A520" s="7" t="s">
        <v>545</v>
      </c>
      <c r="B520" s="7" t="s">
        <v>804</v>
      </c>
      <c r="C520" s="7">
        <v>44607</v>
      </c>
      <c r="D520" s="7">
        <v>44619</v>
      </c>
      <c r="E520" s="7" t="s">
        <v>21</v>
      </c>
      <c r="F520" s="7" t="s">
        <v>18</v>
      </c>
      <c r="G520" s="7">
        <v>1579</v>
      </c>
      <c r="H520" s="7">
        <v>59.04</v>
      </c>
      <c r="I520" s="7">
        <v>50.95</v>
      </c>
      <c r="J520" s="7">
        <v>29</v>
      </c>
      <c r="K520" s="7" t="s">
        <v>15</v>
      </c>
      <c r="L520" s="7">
        <v>12</v>
      </c>
      <c r="M520" s="7">
        <v>11</v>
      </c>
      <c r="N520" s="7">
        <v>1</v>
      </c>
      <c r="O520" s="7" t="s">
        <v>824</v>
      </c>
      <c r="P520" s="7">
        <v>0</v>
      </c>
      <c r="Q520" s="7">
        <v>93224.16</v>
      </c>
      <c r="R520" s="7">
        <v>80450.05</v>
      </c>
      <c r="S520" s="7">
        <v>12774.11</v>
      </c>
      <c r="T520" s="7" t="s">
        <v>826</v>
      </c>
      <c r="U520" s="7"/>
    </row>
    <row r="521" spans="1:21" x14ac:dyDescent="0.25">
      <c r="A521" s="7" t="s">
        <v>546</v>
      </c>
      <c r="B521" s="7" t="s">
        <v>805</v>
      </c>
      <c r="C521" s="7">
        <v>45287</v>
      </c>
      <c r="D521" s="7">
        <v>45288</v>
      </c>
      <c r="E521" s="7" t="s">
        <v>26</v>
      </c>
      <c r="F521" s="7" t="s">
        <v>18</v>
      </c>
      <c r="G521" s="7">
        <v>952</v>
      </c>
      <c r="H521" s="7">
        <v>74.72</v>
      </c>
      <c r="I521" s="7">
        <v>69.73</v>
      </c>
      <c r="J521" s="7"/>
      <c r="K521" s="7" t="s">
        <v>15</v>
      </c>
      <c r="L521" s="7">
        <v>1</v>
      </c>
      <c r="M521" s="7">
        <v>11</v>
      </c>
      <c r="N521" s="7">
        <v>0</v>
      </c>
      <c r="O521" s="7" t="s">
        <v>822</v>
      </c>
      <c r="P521" s="7">
        <v>1</v>
      </c>
      <c r="Q521" s="7">
        <v>71133.440000000002</v>
      </c>
      <c r="R521" s="7">
        <v>66382.960000000006</v>
      </c>
      <c r="S521" s="7">
        <v>4750.4799999999959</v>
      </c>
      <c r="T521" s="7" t="s">
        <v>823</v>
      </c>
      <c r="U521" s="7"/>
    </row>
    <row r="522" spans="1:21" x14ac:dyDescent="0.25">
      <c r="A522" s="7" t="s">
        <v>547</v>
      </c>
      <c r="B522" s="7" t="s">
        <v>807</v>
      </c>
      <c r="C522" s="7">
        <v>45008</v>
      </c>
      <c r="D522" s="7">
        <v>45011</v>
      </c>
      <c r="E522" s="7" t="s">
        <v>26</v>
      </c>
      <c r="F522" s="7" t="s">
        <v>35</v>
      </c>
      <c r="G522" s="7">
        <v>1898</v>
      </c>
      <c r="H522" s="7">
        <v>35.53</v>
      </c>
      <c r="I522" s="7">
        <v>33.25</v>
      </c>
      <c r="J522" s="7">
        <v>187</v>
      </c>
      <c r="K522" s="7" t="s">
        <v>15</v>
      </c>
      <c r="L522" s="7">
        <v>3</v>
      </c>
      <c r="M522" s="7">
        <v>11</v>
      </c>
      <c r="N522" s="7">
        <v>0</v>
      </c>
      <c r="O522" s="7" t="s">
        <v>824</v>
      </c>
      <c r="P522" s="7">
        <v>0</v>
      </c>
      <c r="Q522" s="7">
        <v>67435.94</v>
      </c>
      <c r="R522" s="7">
        <v>63108.5</v>
      </c>
      <c r="S522" s="7">
        <v>4327.4400000000023</v>
      </c>
      <c r="T522" s="7" t="s">
        <v>823</v>
      </c>
      <c r="U522" s="7"/>
    </row>
    <row r="523" spans="1:21" x14ac:dyDescent="0.25">
      <c r="A523" s="7" t="s">
        <v>548</v>
      </c>
      <c r="B523" s="7" t="s">
        <v>805</v>
      </c>
      <c r="C523" s="7">
        <v>44563</v>
      </c>
      <c r="D523" s="7">
        <v>44567</v>
      </c>
      <c r="E523" s="7" t="s">
        <v>24</v>
      </c>
      <c r="F523" s="7" t="s">
        <v>18</v>
      </c>
      <c r="G523" s="7">
        <v>85</v>
      </c>
      <c r="H523" s="7">
        <v>22.54</v>
      </c>
      <c r="I523" s="7">
        <v>20.68</v>
      </c>
      <c r="J523" s="7">
        <v>6</v>
      </c>
      <c r="K523" s="7" t="s">
        <v>15</v>
      </c>
      <c r="L523" s="7">
        <v>4</v>
      </c>
      <c r="M523" s="7">
        <v>11</v>
      </c>
      <c r="N523" s="7">
        <v>0</v>
      </c>
      <c r="O523" s="7" t="s">
        <v>824</v>
      </c>
      <c r="P523" s="7">
        <v>0</v>
      </c>
      <c r="Q523" s="7">
        <v>1915.8999999999999</v>
      </c>
      <c r="R523" s="7">
        <v>1757.8</v>
      </c>
      <c r="S523" s="7">
        <v>158.09999999999991</v>
      </c>
      <c r="T523" s="7" t="s">
        <v>823</v>
      </c>
      <c r="U523" s="7"/>
    </row>
    <row r="524" spans="1:21" x14ac:dyDescent="0.25">
      <c r="A524" s="7" t="s">
        <v>549</v>
      </c>
      <c r="B524" s="7" t="s">
        <v>806</v>
      </c>
      <c r="C524" s="7">
        <v>45094</v>
      </c>
      <c r="D524" s="7">
        <v>45105</v>
      </c>
      <c r="E524" s="7" t="s">
        <v>24</v>
      </c>
      <c r="F524" s="7" t="s">
        <v>35</v>
      </c>
      <c r="G524" s="7">
        <v>734</v>
      </c>
      <c r="H524" s="7">
        <v>92.38</v>
      </c>
      <c r="I524" s="7">
        <v>78.92</v>
      </c>
      <c r="J524" s="7">
        <v>34</v>
      </c>
      <c r="K524" s="7" t="s">
        <v>27</v>
      </c>
      <c r="L524" s="7">
        <v>11</v>
      </c>
      <c r="M524" s="7">
        <v>11</v>
      </c>
      <c r="N524" s="7">
        <v>0</v>
      </c>
      <c r="O524" s="7" t="s">
        <v>824</v>
      </c>
      <c r="P524" s="7">
        <v>0</v>
      </c>
      <c r="Q524" s="7">
        <v>67806.92</v>
      </c>
      <c r="R524" s="7">
        <v>57927.28</v>
      </c>
      <c r="S524" s="7">
        <v>9879.64</v>
      </c>
      <c r="T524" s="7" t="s">
        <v>823</v>
      </c>
      <c r="U524" s="7"/>
    </row>
    <row r="525" spans="1:21" x14ac:dyDescent="0.25">
      <c r="A525" s="7" t="s">
        <v>550</v>
      </c>
      <c r="B525" s="7" t="s">
        <v>804</v>
      </c>
      <c r="C525" s="7">
        <v>45113</v>
      </c>
      <c r="D525" s="7">
        <v>45125</v>
      </c>
      <c r="E525" s="7" t="s">
        <v>13</v>
      </c>
      <c r="F525" s="7" t="s">
        <v>18</v>
      </c>
      <c r="G525" s="7">
        <v>69</v>
      </c>
      <c r="H525" s="7">
        <v>107.47</v>
      </c>
      <c r="I525" s="7">
        <v>105.53</v>
      </c>
      <c r="J525" s="7"/>
      <c r="K525" s="7" t="s">
        <v>15</v>
      </c>
      <c r="L525" s="7">
        <v>12</v>
      </c>
      <c r="M525" s="7">
        <v>11</v>
      </c>
      <c r="N525" s="7">
        <v>1</v>
      </c>
      <c r="O525" s="7" t="s">
        <v>824</v>
      </c>
      <c r="P525" s="7">
        <v>0</v>
      </c>
      <c r="Q525" s="7">
        <v>7415.43</v>
      </c>
      <c r="R525" s="7">
        <v>7281.57</v>
      </c>
      <c r="S525" s="7">
        <v>133.86000000000058</v>
      </c>
      <c r="T525" s="7" t="s">
        <v>826</v>
      </c>
      <c r="U525" s="7"/>
    </row>
    <row r="526" spans="1:21" x14ac:dyDescent="0.25">
      <c r="A526" s="7" t="s">
        <v>551</v>
      </c>
      <c r="B526" s="7" t="s">
        <v>805</v>
      </c>
      <c r="C526" s="7">
        <v>45265</v>
      </c>
      <c r="D526" s="7">
        <v>45271</v>
      </c>
      <c r="E526" s="7" t="s">
        <v>24</v>
      </c>
      <c r="F526" s="7" t="s">
        <v>18</v>
      </c>
      <c r="G526" s="7">
        <v>370</v>
      </c>
      <c r="H526" s="7">
        <v>63.9</v>
      </c>
      <c r="I526" s="7">
        <v>55.79</v>
      </c>
      <c r="J526" s="7">
        <v>59</v>
      </c>
      <c r="K526" s="7" t="s">
        <v>15</v>
      </c>
      <c r="L526" s="7">
        <v>6</v>
      </c>
      <c r="M526" s="7">
        <v>11</v>
      </c>
      <c r="N526" s="7">
        <v>0</v>
      </c>
      <c r="O526" s="7" t="s">
        <v>824</v>
      </c>
      <c r="P526" s="7">
        <v>0</v>
      </c>
      <c r="Q526" s="7">
        <v>23643</v>
      </c>
      <c r="R526" s="7">
        <v>20642.3</v>
      </c>
      <c r="S526" s="7">
        <v>3000.7000000000007</v>
      </c>
      <c r="T526" s="7" t="s">
        <v>823</v>
      </c>
      <c r="U526" s="7"/>
    </row>
    <row r="527" spans="1:21" x14ac:dyDescent="0.25">
      <c r="A527" s="7" t="s">
        <v>552</v>
      </c>
      <c r="B527" s="7" t="s">
        <v>805</v>
      </c>
      <c r="C527" s="7">
        <v>45248</v>
      </c>
      <c r="D527" s="7">
        <v>45263</v>
      </c>
      <c r="E527" s="7" t="s">
        <v>21</v>
      </c>
      <c r="F527" s="7" t="s">
        <v>18</v>
      </c>
      <c r="G527" s="7">
        <v>1849</v>
      </c>
      <c r="H527" s="7">
        <v>28.25</v>
      </c>
      <c r="I527" s="7">
        <v>27.53</v>
      </c>
      <c r="J527" s="7">
        <v>271</v>
      </c>
      <c r="K527" s="7" t="s">
        <v>15</v>
      </c>
      <c r="L527" s="7">
        <v>15</v>
      </c>
      <c r="M527" s="7">
        <v>11</v>
      </c>
      <c r="N527" s="7">
        <v>4</v>
      </c>
      <c r="O527" s="7" t="s">
        <v>824</v>
      </c>
      <c r="P527" s="7">
        <v>0</v>
      </c>
      <c r="Q527" s="7">
        <v>52234.25</v>
      </c>
      <c r="R527" s="7">
        <v>50902.97</v>
      </c>
      <c r="S527" s="7">
        <v>1331.2799999999988</v>
      </c>
      <c r="T527" s="7" t="s">
        <v>826</v>
      </c>
      <c r="U527" s="7"/>
    </row>
    <row r="528" spans="1:21" x14ac:dyDescent="0.25">
      <c r="A528" s="7" t="s">
        <v>553</v>
      </c>
      <c r="B528" s="7" t="s">
        <v>807</v>
      </c>
      <c r="C528" s="7">
        <v>44763</v>
      </c>
      <c r="D528" s="7">
        <v>44774</v>
      </c>
      <c r="E528" s="7" t="s">
        <v>24</v>
      </c>
      <c r="F528" s="7" t="s">
        <v>18</v>
      </c>
      <c r="G528" s="7">
        <v>561</v>
      </c>
      <c r="H528" s="7">
        <v>35.54</v>
      </c>
      <c r="I528" s="7">
        <v>30.99</v>
      </c>
      <c r="J528" s="7">
        <v>68</v>
      </c>
      <c r="K528" s="7" t="s">
        <v>27</v>
      </c>
      <c r="L528" s="7">
        <v>11</v>
      </c>
      <c r="M528" s="7">
        <v>11</v>
      </c>
      <c r="N528" s="7">
        <v>0</v>
      </c>
      <c r="O528" s="7" t="s">
        <v>824</v>
      </c>
      <c r="P528" s="7">
        <v>0</v>
      </c>
      <c r="Q528" s="7">
        <v>19937.939999999999</v>
      </c>
      <c r="R528" s="7">
        <v>17385.39</v>
      </c>
      <c r="S528" s="7">
        <v>2552.5499999999993</v>
      </c>
      <c r="T528" s="7" t="s">
        <v>823</v>
      </c>
      <c r="U528" s="7"/>
    </row>
    <row r="529" spans="1:21" x14ac:dyDescent="0.25">
      <c r="A529" s="7" t="s">
        <v>554</v>
      </c>
      <c r="B529" s="7" t="s">
        <v>806</v>
      </c>
      <c r="C529" s="7">
        <v>44934</v>
      </c>
      <c r="D529" s="7">
        <v>44940</v>
      </c>
      <c r="E529" s="7" t="s">
        <v>39</v>
      </c>
      <c r="F529" s="7" t="s">
        <v>18</v>
      </c>
      <c r="G529" s="7">
        <v>449</v>
      </c>
      <c r="H529" s="7">
        <v>12.35</v>
      </c>
      <c r="I529" s="7">
        <v>10.67</v>
      </c>
      <c r="J529" s="7">
        <v>29</v>
      </c>
      <c r="K529" s="7" t="s">
        <v>15</v>
      </c>
      <c r="L529" s="7">
        <v>6</v>
      </c>
      <c r="M529" s="7">
        <v>11</v>
      </c>
      <c r="N529" s="7">
        <v>0</v>
      </c>
      <c r="O529" s="7" t="s">
        <v>824</v>
      </c>
      <c r="P529" s="7">
        <v>0</v>
      </c>
      <c r="Q529" s="7">
        <v>5545.15</v>
      </c>
      <c r="R529" s="7">
        <v>4790.83</v>
      </c>
      <c r="S529" s="7">
        <v>754.31999999999971</v>
      </c>
      <c r="T529" s="7" t="s">
        <v>823</v>
      </c>
      <c r="U529" s="7"/>
    </row>
    <row r="530" spans="1:21" x14ac:dyDescent="0.25">
      <c r="A530" s="7" t="s">
        <v>555</v>
      </c>
      <c r="B530" s="7" t="s">
        <v>807</v>
      </c>
      <c r="C530" s="7">
        <v>45003</v>
      </c>
      <c r="D530" s="7">
        <v>45006</v>
      </c>
      <c r="E530" s="7" t="s">
        <v>13</v>
      </c>
      <c r="F530" s="7" t="s">
        <v>18</v>
      </c>
      <c r="G530" s="7">
        <v>703</v>
      </c>
      <c r="H530" s="7">
        <v>98.75</v>
      </c>
      <c r="I530" s="7">
        <v>86.78</v>
      </c>
      <c r="J530" s="7">
        <v>59</v>
      </c>
      <c r="K530" s="7" t="s">
        <v>15</v>
      </c>
      <c r="L530" s="7">
        <v>3</v>
      </c>
      <c r="M530" s="7">
        <v>11</v>
      </c>
      <c r="N530" s="7">
        <v>0</v>
      </c>
      <c r="O530" s="7" t="s">
        <v>824</v>
      </c>
      <c r="P530" s="7">
        <v>0</v>
      </c>
      <c r="Q530" s="7">
        <v>69421.25</v>
      </c>
      <c r="R530" s="7">
        <v>61006.340000000004</v>
      </c>
      <c r="S530" s="7">
        <v>8414.9099999999962</v>
      </c>
      <c r="T530" s="7" t="s">
        <v>823</v>
      </c>
      <c r="U530" s="7"/>
    </row>
    <row r="531" spans="1:21" x14ac:dyDescent="0.25">
      <c r="A531" s="7" t="s">
        <v>556</v>
      </c>
      <c r="B531" s="7" t="s">
        <v>806</v>
      </c>
      <c r="C531" s="7">
        <v>44633</v>
      </c>
      <c r="D531" s="7">
        <v>44648</v>
      </c>
      <c r="E531" s="7" t="s">
        <v>39</v>
      </c>
      <c r="F531" s="7" t="s">
        <v>18</v>
      </c>
      <c r="G531" s="7">
        <v>1021</v>
      </c>
      <c r="H531" s="7">
        <v>20.8</v>
      </c>
      <c r="I531" s="7">
        <v>18.23</v>
      </c>
      <c r="J531" s="7">
        <v>37</v>
      </c>
      <c r="K531" s="7" t="s">
        <v>15</v>
      </c>
      <c r="L531" s="7">
        <v>15</v>
      </c>
      <c r="M531" s="7">
        <v>11</v>
      </c>
      <c r="N531" s="7">
        <v>4</v>
      </c>
      <c r="O531" s="7" t="s">
        <v>824</v>
      </c>
      <c r="P531" s="7">
        <v>0</v>
      </c>
      <c r="Q531" s="7">
        <v>21236.799999999999</v>
      </c>
      <c r="R531" s="7">
        <v>18612.830000000002</v>
      </c>
      <c r="S531" s="7">
        <v>2623.9699999999975</v>
      </c>
      <c r="T531" s="7" t="s">
        <v>826</v>
      </c>
      <c r="U531" s="7"/>
    </row>
    <row r="532" spans="1:21" x14ac:dyDescent="0.25">
      <c r="A532" s="7" t="s">
        <v>557</v>
      </c>
      <c r="B532" s="7" t="s">
        <v>807</v>
      </c>
      <c r="C532" s="7">
        <v>45242</v>
      </c>
      <c r="D532" s="7">
        <v>45249</v>
      </c>
      <c r="E532" s="7" t="s">
        <v>13</v>
      </c>
      <c r="F532" s="7" t="s">
        <v>18</v>
      </c>
      <c r="G532" s="7">
        <v>1956</v>
      </c>
      <c r="H532" s="7">
        <v>68.69</v>
      </c>
      <c r="I532" s="7">
        <v>65.09</v>
      </c>
      <c r="J532" s="7"/>
      <c r="K532" s="7" t="s">
        <v>15</v>
      </c>
      <c r="L532" s="7">
        <v>7</v>
      </c>
      <c r="M532" s="7">
        <v>11</v>
      </c>
      <c r="N532" s="7">
        <v>0</v>
      </c>
      <c r="O532" s="7" t="s">
        <v>822</v>
      </c>
      <c r="P532" s="7">
        <v>1</v>
      </c>
      <c r="Q532" s="7">
        <v>134357.63999999998</v>
      </c>
      <c r="R532" s="7">
        <v>127316.04000000001</v>
      </c>
      <c r="S532" s="7">
        <v>7041.5999999999767</v>
      </c>
      <c r="T532" s="7" t="s">
        <v>823</v>
      </c>
      <c r="U532" s="7"/>
    </row>
    <row r="533" spans="1:21" x14ac:dyDescent="0.25">
      <c r="A533" s="7" t="s">
        <v>558</v>
      </c>
      <c r="B533" s="7" t="s">
        <v>805</v>
      </c>
      <c r="C533" s="7">
        <v>44900</v>
      </c>
      <c r="D533" s="7">
        <v>44907</v>
      </c>
      <c r="E533" s="7" t="s">
        <v>13</v>
      </c>
      <c r="F533" s="7" t="s">
        <v>33</v>
      </c>
      <c r="G533" s="7">
        <v>520</v>
      </c>
      <c r="H533" s="7">
        <v>36.57</v>
      </c>
      <c r="I533" s="7">
        <v>34.78</v>
      </c>
      <c r="J533" s="7">
        <v>67</v>
      </c>
      <c r="K533" s="7" t="s">
        <v>27</v>
      </c>
      <c r="L533" s="7">
        <v>7</v>
      </c>
      <c r="M533" s="7">
        <v>11</v>
      </c>
      <c r="N533" s="7">
        <v>0</v>
      </c>
      <c r="O533" s="7" t="s">
        <v>824</v>
      </c>
      <c r="P533" s="7">
        <v>0</v>
      </c>
      <c r="Q533" s="7">
        <v>19016.400000000001</v>
      </c>
      <c r="R533" s="7">
        <v>18085.600000000002</v>
      </c>
      <c r="S533" s="7">
        <v>930.79999999999927</v>
      </c>
      <c r="T533" s="7" t="s">
        <v>823</v>
      </c>
      <c r="U533" s="7"/>
    </row>
    <row r="534" spans="1:21" x14ac:dyDescent="0.25">
      <c r="A534" s="7" t="s">
        <v>559</v>
      </c>
      <c r="B534" s="7" t="s">
        <v>805</v>
      </c>
      <c r="C534" s="7">
        <v>45200</v>
      </c>
      <c r="D534" s="7">
        <v>45211</v>
      </c>
      <c r="E534" s="7" t="s">
        <v>21</v>
      </c>
      <c r="F534" s="7" t="s">
        <v>18</v>
      </c>
      <c r="G534" s="7">
        <v>1216</v>
      </c>
      <c r="H534" s="7">
        <v>66.16</v>
      </c>
      <c r="I534" s="7">
        <v>63</v>
      </c>
      <c r="J534" s="7">
        <v>179</v>
      </c>
      <c r="K534" s="7" t="s">
        <v>27</v>
      </c>
      <c r="L534" s="7">
        <v>11</v>
      </c>
      <c r="M534" s="7">
        <v>11</v>
      </c>
      <c r="N534" s="7">
        <v>0</v>
      </c>
      <c r="O534" s="7" t="s">
        <v>824</v>
      </c>
      <c r="P534" s="7">
        <v>0</v>
      </c>
      <c r="Q534" s="7">
        <v>80450.559999999998</v>
      </c>
      <c r="R534" s="7">
        <v>76608</v>
      </c>
      <c r="S534" s="7">
        <v>3842.5599999999977</v>
      </c>
      <c r="T534" s="7" t="s">
        <v>823</v>
      </c>
      <c r="U534" s="7"/>
    </row>
    <row r="535" spans="1:21" x14ac:dyDescent="0.25">
      <c r="A535" s="7" t="s">
        <v>560</v>
      </c>
      <c r="B535" s="7" t="s">
        <v>804</v>
      </c>
      <c r="C535" s="7">
        <v>44883</v>
      </c>
      <c r="D535" s="7">
        <v>44894</v>
      </c>
      <c r="E535" s="7" t="s">
        <v>26</v>
      </c>
      <c r="F535" s="7" t="s">
        <v>18</v>
      </c>
      <c r="G535" s="7">
        <v>1165</v>
      </c>
      <c r="H535" s="7">
        <v>72.06</v>
      </c>
      <c r="I535" s="7">
        <v>63.93</v>
      </c>
      <c r="J535" s="7"/>
      <c r="K535" s="7" t="s">
        <v>15</v>
      </c>
      <c r="L535" s="7">
        <v>11</v>
      </c>
      <c r="M535" s="7">
        <v>11</v>
      </c>
      <c r="N535" s="7">
        <v>0</v>
      </c>
      <c r="O535" s="7" t="s">
        <v>822</v>
      </c>
      <c r="P535" s="7">
        <v>1</v>
      </c>
      <c r="Q535" s="7">
        <v>83949.900000000009</v>
      </c>
      <c r="R535" s="7">
        <v>74478.45</v>
      </c>
      <c r="S535" s="7">
        <v>9471.4500000000116</v>
      </c>
      <c r="T535" s="7" t="s">
        <v>823</v>
      </c>
      <c r="U535" s="7"/>
    </row>
    <row r="536" spans="1:21" x14ac:dyDescent="0.25">
      <c r="A536" s="7" t="s">
        <v>561</v>
      </c>
      <c r="B536" s="7" t="s">
        <v>805</v>
      </c>
      <c r="C536" s="7">
        <v>45241</v>
      </c>
      <c r="D536" s="7">
        <v>45259</v>
      </c>
      <c r="E536" s="7" t="s">
        <v>24</v>
      </c>
      <c r="F536" s="7" t="s">
        <v>35</v>
      </c>
      <c r="G536" s="7">
        <v>1427</v>
      </c>
      <c r="H536" s="7">
        <v>93.99</v>
      </c>
      <c r="I536" s="7">
        <v>83.6</v>
      </c>
      <c r="J536" s="7">
        <v>213</v>
      </c>
      <c r="K536" s="7" t="s">
        <v>15</v>
      </c>
      <c r="L536" s="7">
        <v>18</v>
      </c>
      <c r="M536" s="7">
        <v>11</v>
      </c>
      <c r="N536" s="7">
        <v>7</v>
      </c>
      <c r="O536" s="7" t="s">
        <v>824</v>
      </c>
      <c r="P536" s="7">
        <v>0</v>
      </c>
      <c r="Q536" s="7">
        <v>134123.72999999998</v>
      </c>
      <c r="R536" s="7">
        <v>119297.2</v>
      </c>
      <c r="S536" s="7">
        <v>14826.529999999984</v>
      </c>
      <c r="T536" s="7" t="s">
        <v>825</v>
      </c>
      <c r="U536" s="7"/>
    </row>
    <row r="537" spans="1:21" x14ac:dyDescent="0.25">
      <c r="A537" s="7" t="s">
        <v>562</v>
      </c>
      <c r="B537" s="7" t="s">
        <v>808</v>
      </c>
      <c r="C537" s="7">
        <v>44689</v>
      </c>
      <c r="D537" s="7">
        <v>44691</v>
      </c>
      <c r="E537" s="7" t="s">
        <v>39</v>
      </c>
      <c r="F537" s="7" t="s">
        <v>18</v>
      </c>
      <c r="G537" s="7">
        <v>883</v>
      </c>
      <c r="H537" s="7">
        <v>29.15</v>
      </c>
      <c r="I537" s="7">
        <v>25.75</v>
      </c>
      <c r="J537" s="7">
        <v>14</v>
      </c>
      <c r="K537" s="7" t="s">
        <v>15</v>
      </c>
      <c r="L537" s="7">
        <v>2</v>
      </c>
      <c r="M537" s="7">
        <v>11</v>
      </c>
      <c r="N537" s="7">
        <v>0</v>
      </c>
      <c r="O537" s="7" t="s">
        <v>824</v>
      </c>
      <c r="P537" s="7">
        <v>0</v>
      </c>
      <c r="Q537" s="7">
        <v>25739.449999999997</v>
      </c>
      <c r="R537" s="7">
        <v>22737.25</v>
      </c>
      <c r="S537" s="7">
        <v>3002.1999999999971</v>
      </c>
      <c r="T537" s="7" t="s">
        <v>823</v>
      </c>
      <c r="U537" s="7"/>
    </row>
    <row r="538" spans="1:21" x14ac:dyDescent="0.25">
      <c r="A538" s="7" t="s">
        <v>563</v>
      </c>
      <c r="B538" s="7" t="s">
        <v>805</v>
      </c>
      <c r="C538" s="7">
        <v>44869</v>
      </c>
      <c r="D538" s="7">
        <v>44876</v>
      </c>
      <c r="E538" s="7" t="s">
        <v>24</v>
      </c>
      <c r="F538" s="7" t="s">
        <v>33</v>
      </c>
      <c r="G538" s="7">
        <v>1873</v>
      </c>
      <c r="H538" s="7">
        <v>11.54</v>
      </c>
      <c r="I538" s="7">
        <v>9.89</v>
      </c>
      <c r="J538" s="7">
        <v>284</v>
      </c>
      <c r="K538" s="7" t="s">
        <v>27</v>
      </c>
      <c r="L538" s="7">
        <v>7</v>
      </c>
      <c r="M538" s="7">
        <v>11</v>
      </c>
      <c r="N538" s="7">
        <v>0</v>
      </c>
      <c r="O538" s="7" t="s">
        <v>824</v>
      </c>
      <c r="P538" s="7">
        <v>0</v>
      </c>
      <c r="Q538" s="7">
        <v>21614.42</v>
      </c>
      <c r="R538" s="7">
        <v>18523.97</v>
      </c>
      <c r="S538" s="7">
        <v>3090.4499999999971</v>
      </c>
      <c r="T538" s="7" t="s">
        <v>823</v>
      </c>
      <c r="U538" s="7"/>
    </row>
    <row r="539" spans="1:21" x14ac:dyDescent="0.25">
      <c r="A539" s="7" t="s">
        <v>564</v>
      </c>
      <c r="B539" s="7" t="s">
        <v>808</v>
      </c>
      <c r="C539" s="7">
        <v>45081</v>
      </c>
      <c r="D539" s="7">
        <v>45083</v>
      </c>
      <c r="E539" s="7" t="s">
        <v>13</v>
      </c>
      <c r="F539" s="7" t="s">
        <v>18</v>
      </c>
      <c r="G539" s="7">
        <v>776</v>
      </c>
      <c r="H539" s="7">
        <v>24.22</v>
      </c>
      <c r="I539" s="7">
        <v>22.53</v>
      </c>
      <c r="J539" s="7">
        <v>27</v>
      </c>
      <c r="K539" s="7" t="s">
        <v>15</v>
      </c>
      <c r="L539" s="7">
        <v>2</v>
      </c>
      <c r="M539" s="7">
        <v>11</v>
      </c>
      <c r="N539" s="7">
        <v>0</v>
      </c>
      <c r="O539" s="7" t="s">
        <v>824</v>
      </c>
      <c r="P539" s="7">
        <v>0</v>
      </c>
      <c r="Q539" s="7">
        <v>18794.719999999998</v>
      </c>
      <c r="R539" s="7">
        <v>17483.280000000002</v>
      </c>
      <c r="S539" s="7">
        <v>1311.4399999999951</v>
      </c>
      <c r="T539" s="7" t="s">
        <v>823</v>
      </c>
      <c r="U539" s="7"/>
    </row>
    <row r="540" spans="1:21" x14ac:dyDescent="0.25">
      <c r="A540" s="7" t="s">
        <v>565</v>
      </c>
      <c r="B540" s="7" t="s">
        <v>805</v>
      </c>
      <c r="C540" s="7">
        <v>44878</v>
      </c>
      <c r="D540" s="7">
        <v>44889</v>
      </c>
      <c r="E540" s="7" t="s">
        <v>39</v>
      </c>
      <c r="F540" s="7" t="s">
        <v>18</v>
      </c>
      <c r="G540" s="7">
        <v>903</v>
      </c>
      <c r="H540" s="7">
        <v>95.55</v>
      </c>
      <c r="I540" s="7">
        <v>92.45</v>
      </c>
      <c r="J540" s="7">
        <v>149</v>
      </c>
      <c r="K540" s="7" t="s">
        <v>27</v>
      </c>
      <c r="L540" s="7">
        <v>11</v>
      </c>
      <c r="M540" s="7">
        <v>11</v>
      </c>
      <c r="N540" s="7">
        <v>0</v>
      </c>
      <c r="O540" s="7" t="s">
        <v>824</v>
      </c>
      <c r="P540" s="7">
        <v>0</v>
      </c>
      <c r="Q540" s="7">
        <v>86281.65</v>
      </c>
      <c r="R540" s="7">
        <v>83482.350000000006</v>
      </c>
      <c r="S540" s="7">
        <v>2799.2999999999884</v>
      </c>
      <c r="T540" s="7" t="s">
        <v>823</v>
      </c>
      <c r="U540" s="7"/>
    </row>
    <row r="541" spans="1:21" x14ac:dyDescent="0.25">
      <c r="A541" s="7" t="s">
        <v>566</v>
      </c>
      <c r="B541" s="7" t="s">
        <v>808</v>
      </c>
      <c r="C541" s="7">
        <v>45244</v>
      </c>
      <c r="D541" s="7">
        <v>45256</v>
      </c>
      <c r="E541" s="7" t="s">
        <v>39</v>
      </c>
      <c r="F541" s="7" t="s">
        <v>18</v>
      </c>
      <c r="G541" s="7">
        <v>100</v>
      </c>
      <c r="H541" s="7">
        <v>98.4</v>
      </c>
      <c r="I541" s="7">
        <v>85.76</v>
      </c>
      <c r="J541" s="7">
        <v>3</v>
      </c>
      <c r="K541" s="7" t="s">
        <v>15</v>
      </c>
      <c r="L541" s="7">
        <v>12</v>
      </c>
      <c r="M541" s="7">
        <v>11</v>
      </c>
      <c r="N541" s="7">
        <v>1</v>
      </c>
      <c r="O541" s="7" t="s">
        <v>824</v>
      </c>
      <c r="P541" s="7">
        <v>0</v>
      </c>
      <c r="Q541" s="7">
        <v>9840</v>
      </c>
      <c r="R541" s="7">
        <v>8576</v>
      </c>
      <c r="S541" s="7">
        <v>1264</v>
      </c>
      <c r="T541" s="7" t="s">
        <v>826</v>
      </c>
      <c r="U541" s="7"/>
    </row>
    <row r="542" spans="1:21" x14ac:dyDescent="0.25">
      <c r="A542" s="7" t="s">
        <v>567</v>
      </c>
      <c r="B542" s="7" t="s">
        <v>808</v>
      </c>
      <c r="C542" s="7">
        <v>44980</v>
      </c>
      <c r="D542" s="7">
        <v>44993</v>
      </c>
      <c r="E542" s="7" t="s">
        <v>13</v>
      </c>
      <c r="F542" s="7" t="s">
        <v>18</v>
      </c>
      <c r="G542" s="7">
        <v>1738</v>
      </c>
      <c r="H542" s="7">
        <v>67.91</v>
      </c>
      <c r="I542" s="7">
        <v>61.15</v>
      </c>
      <c r="J542" s="7"/>
      <c r="K542" s="7" t="s">
        <v>15</v>
      </c>
      <c r="L542" s="7">
        <v>13</v>
      </c>
      <c r="M542" s="7">
        <v>11</v>
      </c>
      <c r="N542" s="7">
        <v>2</v>
      </c>
      <c r="O542" s="7" t="s">
        <v>824</v>
      </c>
      <c r="P542" s="7">
        <v>0</v>
      </c>
      <c r="Q542" s="7">
        <v>118027.57999999999</v>
      </c>
      <c r="R542" s="7">
        <v>106278.7</v>
      </c>
      <c r="S542" s="7">
        <v>11748.87999999999</v>
      </c>
      <c r="T542" s="7" t="s">
        <v>826</v>
      </c>
      <c r="U542" s="7"/>
    </row>
    <row r="543" spans="1:21" x14ac:dyDescent="0.25">
      <c r="A543" s="7" t="s">
        <v>568</v>
      </c>
      <c r="B543" s="7" t="s">
        <v>805</v>
      </c>
      <c r="C543" s="7">
        <v>44896</v>
      </c>
      <c r="D543" s="7">
        <v>44909</v>
      </c>
      <c r="E543" s="7" t="s">
        <v>24</v>
      </c>
      <c r="F543" s="7" t="s">
        <v>18</v>
      </c>
      <c r="G543" s="7">
        <v>1771</v>
      </c>
      <c r="H543" s="7">
        <v>67.569999999999993</v>
      </c>
      <c r="I543" s="7">
        <v>61.48</v>
      </c>
      <c r="J543" s="7">
        <v>280</v>
      </c>
      <c r="K543" s="7" t="s">
        <v>27</v>
      </c>
      <c r="L543" s="7">
        <v>13</v>
      </c>
      <c r="M543" s="7">
        <v>11</v>
      </c>
      <c r="N543" s="7">
        <v>2</v>
      </c>
      <c r="O543" s="7" t="s">
        <v>824</v>
      </c>
      <c r="P543" s="7">
        <v>0</v>
      </c>
      <c r="Q543" s="7">
        <v>119666.46999999999</v>
      </c>
      <c r="R543" s="7">
        <v>108881.07999999999</v>
      </c>
      <c r="S543" s="7">
        <v>10785.39</v>
      </c>
      <c r="T543" s="7" t="s">
        <v>826</v>
      </c>
      <c r="U543" s="7"/>
    </row>
    <row r="544" spans="1:21" x14ac:dyDescent="0.25">
      <c r="A544" s="7" t="s">
        <v>569</v>
      </c>
      <c r="B544" s="7" t="s">
        <v>808</v>
      </c>
      <c r="C544" s="7">
        <v>44974</v>
      </c>
      <c r="D544" s="7">
        <v>44980</v>
      </c>
      <c r="E544" s="7" t="s">
        <v>39</v>
      </c>
      <c r="F544" s="7" t="s">
        <v>18</v>
      </c>
      <c r="G544" s="7">
        <v>624</v>
      </c>
      <c r="H544" s="7">
        <v>74.39</v>
      </c>
      <c r="I544" s="7">
        <v>66.3</v>
      </c>
      <c r="J544" s="7">
        <v>18</v>
      </c>
      <c r="K544" s="7" t="s">
        <v>27</v>
      </c>
      <c r="L544" s="7">
        <v>6</v>
      </c>
      <c r="M544" s="7">
        <v>11</v>
      </c>
      <c r="N544" s="7">
        <v>0</v>
      </c>
      <c r="O544" s="7" t="s">
        <v>824</v>
      </c>
      <c r="P544" s="7">
        <v>0</v>
      </c>
      <c r="Q544" s="7">
        <v>46419.360000000001</v>
      </c>
      <c r="R544" s="7">
        <v>41371.199999999997</v>
      </c>
      <c r="S544" s="7">
        <v>5048.1600000000035</v>
      </c>
      <c r="T544" s="7" t="s">
        <v>823</v>
      </c>
      <c r="U544" s="7"/>
    </row>
    <row r="545" spans="1:21" x14ac:dyDescent="0.25">
      <c r="A545" s="7" t="s">
        <v>570</v>
      </c>
      <c r="B545" s="7" t="s">
        <v>804</v>
      </c>
      <c r="C545" s="7">
        <v>45275</v>
      </c>
      <c r="D545" s="7">
        <v>45291</v>
      </c>
      <c r="E545" s="7" t="s">
        <v>24</v>
      </c>
      <c r="F545" s="7" t="s">
        <v>33</v>
      </c>
      <c r="G545" s="7">
        <v>1263</v>
      </c>
      <c r="H545" s="7">
        <v>28.75</v>
      </c>
      <c r="I545" s="7">
        <v>27.1</v>
      </c>
      <c r="J545" s="7">
        <v>26</v>
      </c>
      <c r="K545" s="7" t="s">
        <v>15</v>
      </c>
      <c r="L545" s="7">
        <v>16</v>
      </c>
      <c r="M545" s="7">
        <v>11</v>
      </c>
      <c r="N545" s="7">
        <v>5</v>
      </c>
      <c r="O545" s="7" t="s">
        <v>824</v>
      </c>
      <c r="P545" s="7">
        <v>0</v>
      </c>
      <c r="Q545" s="7">
        <v>36311.25</v>
      </c>
      <c r="R545" s="7">
        <v>34227.300000000003</v>
      </c>
      <c r="S545" s="7">
        <v>2083.9499999999971</v>
      </c>
      <c r="T545" s="7" t="s">
        <v>825</v>
      </c>
      <c r="U545" s="7"/>
    </row>
    <row r="546" spans="1:21" x14ac:dyDescent="0.25">
      <c r="A546" s="7" t="s">
        <v>571</v>
      </c>
      <c r="B546" s="7" t="s">
        <v>806</v>
      </c>
      <c r="C546" s="7">
        <v>44864</v>
      </c>
      <c r="D546" s="7">
        <v>44881</v>
      </c>
      <c r="E546" s="7" t="s">
        <v>39</v>
      </c>
      <c r="F546" s="7" t="s">
        <v>14</v>
      </c>
      <c r="G546" s="7">
        <v>1198</v>
      </c>
      <c r="H546" s="7">
        <v>96.45</v>
      </c>
      <c r="I546" s="7">
        <v>90.09</v>
      </c>
      <c r="J546" s="7"/>
      <c r="K546" s="7" t="s">
        <v>15</v>
      </c>
      <c r="L546" s="7">
        <v>17</v>
      </c>
      <c r="M546" s="7">
        <v>11</v>
      </c>
      <c r="N546" s="7">
        <v>6</v>
      </c>
      <c r="O546" s="7" t="s">
        <v>824</v>
      </c>
      <c r="P546" s="7">
        <v>0</v>
      </c>
      <c r="Q546" s="7">
        <v>115547.1</v>
      </c>
      <c r="R546" s="7">
        <v>107927.82</v>
      </c>
      <c r="S546" s="7">
        <v>7619.2799999999988</v>
      </c>
      <c r="T546" s="7" t="s">
        <v>825</v>
      </c>
      <c r="U546" s="7"/>
    </row>
    <row r="547" spans="1:21" x14ac:dyDescent="0.25">
      <c r="A547" s="7" t="s">
        <v>572</v>
      </c>
      <c r="B547" s="7" t="s">
        <v>808</v>
      </c>
      <c r="C547" s="7">
        <v>45129</v>
      </c>
      <c r="D547" s="7">
        <v>45132</v>
      </c>
      <c r="E547" s="7" t="s">
        <v>26</v>
      </c>
      <c r="F547" s="7" t="s">
        <v>18</v>
      </c>
      <c r="G547" s="7">
        <v>199</v>
      </c>
      <c r="H547" s="7">
        <v>51.98</v>
      </c>
      <c r="I547" s="7">
        <v>45.64</v>
      </c>
      <c r="J547" s="7"/>
      <c r="K547" s="7" t="s">
        <v>27</v>
      </c>
      <c r="L547" s="7">
        <v>3</v>
      </c>
      <c r="M547" s="7">
        <v>11</v>
      </c>
      <c r="N547" s="7">
        <v>0</v>
      </c>
      <c r="O547" s="7" t="s">
        <v>822</v>
      </c>
      <c r="P547" s="7">
        <v>1</v>
      </c>
      <c r="Q547" s="7">
        <v>10344.019999999999</v>
      </c>
      <c r="R547" s="7">
        <v>9082.36</v>
      </c>
      <c r="S547" s="7">
        <v>1261.659999999998</v>
      </c>
      <c r="T547" s="7" t="s">
        <v>823</v>
      </c>
      <c r="U547" s="7"/>
    </row>
    <row r="548" spans="1:21" x14ac:dyDescent="0.25">
      <c r="A548" s="7" t="s">
        <v>573</v>
      </c>
      <c r="B548" s="7" t="s">
        <v>808</v>
      </c>
      <c r="C548" s="7">
        <v>44692</v>
      </c>
      <c r="D548" s="7">
        <v>44695</v>
      </c>
      <c r="E548" s="7" t="s">
        <v>21</v>
      </c>
      <c r="F548" s="7" t="s">
        <v>35</v>
      </c>
      <c r="G548" s="7">
        <v>363</v>
      </c>
      <c r="H548" s="7">
        <v>45.37</v>
      </c>
      <c r="I548" s="7">
        <v>38.729999999999997</v>
      </c>
      <c r="J548" s="7"/>
      <c r="K548" s="7" t="s">
        <v>15</v>
      </c>
      <c r="L548" s="7">
        <v>3</v>
      </c>
      <c r="M548" s="7">
        <v>11</v>
      </c>
      <c r="N548" s="7">
        <v>0</v>
      </c>
      <c r="O548" s="7" t="s">
        <v>822</v>
      </c>
      <c r="P548" s="7">
        <v>1</v>
      </c>
      <c r="Q548" s="7">
        <v>16469.309999999998</v>
      </c>
      <c r="R548" s="7">
        <v>14058.989999999998</v>
      </c>
      <c r="S548" s="7">
        <v>2410.3199999999997</v>
      </c>
      <c r="T548" s="7" t="s">
        <v>823</v>
      </c>
      <c r="U548" s="7"/>
    </row>
    <row r="549" spans="1:21" x14ac:dyDescent="0.25">
      <c r="A549" s="7" t="s">
        <v>574</v>
      </c>
      <c r="B549" s="7" t="s">
        <v>804</v>
      </c>
      <c r="C549" s="7">
        <v>44758</v>
      </c>
      <c r="D549" s="7">
        <v>44764</v>
      </c>
      <c r="E549" s="7" t="s">
        <v>13</v>
      </c>
      <c r="F549" s="7" t="s">
        <v>18</v>
      </c>
      <c r="G549" s="7">
        <v>619</v>
      </c>
      <c r="H549" s="7">
        <v>58.4</v>
      </c>
      <c r="I549" s="7">
        <v>51.04</v>
      </c>
      <c r="J549" s="7"/>
      <c r="K549" s="7" t="s">
        <v>15</v>
      </c>
      <c r="L549" s="7">
        <v>6</v>
      </c>
      <c r="M549" s="7">
        <v>11</v>
      </c>
      <c r="N549" s="7">
        <v>0</v>
      </c>
      <c r="O549" s="7" t="s">
        <v>822</v>
      </c>
      <c r="P549" s="7">
        <v>1</v>
      </c>
      <c r="Q549" s="7">
        <v>36149.599999999999</v>
      </c>
      <c r="R549" s="7">
        <v>31593.759999999998</v>
      </c>
      <c r="S549" s="7">
        <v>4555.84</v>
      </c>
      <c r="T549" s="7" t="s">
        <v>823</v>
      </c>
      <c r="U549" s="7"/>
    </row>
    <row r="550" spans="1:21" x14ac:dyDescent="0.25">
      <c r="A550" s="7" t="s">
        <v>575</v>
      </c>
      <c r="B550" s="7" t="s">
        <v>804</v>
      </c>
      <c r="C550" s="7">
        <v>44992</v>
      </c>
      <c r="D550" s="7">
        <v>45003</v>
      </c>
      <c r="E550" s="7" t="s">
        <v>21</v>
      </c>
      <c r="F550" s="7" t="s">
        <v>18</v>
      </c>
      <c r="G550" s="7">
        <v>1415</v>
      </c>
      <c r="H550" s="7">
        <v>15.22</v>
      </c>
      <c r="I550" s="7">
        <v>13.56</v>
      </c>
      <c r="J550" s="7">
        <v>30</v>
      </c>
      <c r="K550" s="7" t="s">
        <v>15</v>
      </c>
      <c r="L550" s="7">
        <v>11</v>
      </c>
      <c r="M550" s="7">
        <v>11</v>
      </c>
      <c r="N550" s="7">
        <v>0</v>
      </c>
      <c r="O550" s="7" t="s">
        <v>824</v>
      </c>
      <c r="P550" s="7">
        <v>0</v>
      </c>
      <c r="Q550" s="7">
        <v>21536.3</v>
      </c>
      <c r="R550" s="7">
        <v>19187.400000000001</v>
      </c>
      <c r="S550" s="7">
        <v>2348.8999999999978</v>
      </c>
      <c r="T550" s="7" t="s">
        <v>823</v>
      </c>
      <c r="U550" s="7"/>
    </row>
    <row r="551" spans="1:21" x14ac:dyDescent="0.25">
      <c r="A551" s="7" t="s">
        <v>576</v>
      </c>
      <c r="B551" s="7" t="s">
        <v>807</v>
      </c>
      <c r="C551" s="7">
        <v>45242</v>
      </c>
      <c r="D551" s="7">
        <v>45253</v>
      </c>
      <c r="E551" s="7" t="s">
        <v>24</v>
      </c>
      <c r="F551" s="7" t="s">
        <v>18</v>
      </c>
      <c r="G551" s="7">
        <v>354</v>
      </c>
      <c r="H551" s="7">
        <v>27.71</v>
      </c>
      <c r="I551" s="7">
        <v>23.87</v>
      </c>
      <c r="J551" s="7">
        <v>39</v>
      </c>
      <c r="K551" s="7" t="s">
        <v>27</v>
      </c>
      <c r="L551" s="7">
        <v>11</v>
      </c>
      <c r="M551" s="7">
        <v>11</v>
      </c>
      <c r="N551" s="7">
        <v>0</v>
      </c>
      <c r="O551" s="7" t="s">
        <v>824</v>
      </c>
      <c r="P551" s="7">
        <v>0</v>
      </c>
      <c r="Q551" s="7">
        <v>9809.34</v>
      </c>
      <c r="R551" s="7">
        <v>8449.98</v>
      </c>
      <c r="S551" s="7">
        <v>1359.3600000000006</v>
      </c>
      <c r="T551" s="7" t="s">
        <v>823</v>
      </c>
      <c r="U551" s="7"/>
    </row>
    <row r="552" spans="1:21" x14ac:dyDescent="0.25">
      <c r="A552" s="7" t="s">
        <v>577</v>
      </c>
      <c r="B552" s="7" t="s">
        <v>806</v>
      </c>
      <c r="C552" s="7">
        <v>44950</v>
      </c>
      <c r="D552" s="7">
        <v>44960</v>
      </c>
      <c r="E552" s="7" t="s">
        <v>21</v>
      </c>
      <c r="F552" s="7" t="s">
        <v>18</v>
      </c>
      <c r="G552" s="7">
        <v>1765</v>
      </c>
      <c r="H552" s="7">
        <v>81.010000000000005</v>
      </c>
      <c r="I552" s="7">
        <v>78.430000000000007</v>
      </c>
      <c r="J552" s="7">
        <v>78</v>
      </c>
      <c r="K552" s="7" t="s">
        <v>15</v>
      </c>
      <c r="L552" s="7">
        <v>10</v>
      </c>
      <c r="M552" s="7">
        <v>11</v>
      </c>
      <c r="N552" s="7">
        <v>0</v>
      </c>
      <c r="O552" s="7" t="s">
        <v>824</v>
      </c>
      <c r="P552" s="7">
        <v>0</v>
      </c>
      <c r="Q552" s="7">
        <v>142982.65000000002</v>
      </c>
      <c r="R552" s="7">
        <v>138428.95000000001</v>
      </c>
      <c r="S552" s="7">
        <v>4553.7000000000116</v>
      </c>
      <c r="T552" s="7" t="s">
        <v>823</v>
      </c>
      <c r="U552" s="7"/>
    </row>
    <row r="553" spans="1:21" x14ac:dyDescent="0.25">
      <c r="A553" s="7" t="s">
        <v>578</v>
      </c>
      <c r="B553" s="7" t="s">
        <v>807</v>
      </c>
      <c r="C553" s="7">
        <v>45255</v>
      </c>
      <c r="D553" s="7">
        <v>45269</v>
      </c>
      <c r="E553" s="7" t="s">
        <v>21</v>
      </c>
      <c r="F553" s="7" t="s">
        <v>18</v>
      </c>
      <c r="G553" s="7">
        <v>731</v>
      </c>
      <c r="H553" s="7">
        <v>19.37</v>
      </c>
      <c r="I553" s="7">
        <v>17.3</v>
      </c>
      <c r="J553" s="7">
        <v>69</v>
      </c>
      <c r="K553" s="7" t="s">
        <v>27</v>
      </c>
      <c r="L553" s="7">
        <v>14</v>
      </c>
      <c r="M553" s="7">
        <v>11</v>
      </c>
      <c r="N553" s="7">
        <v>3</v>
      </c>
      <c r="O553" s="7" t="s">
        <v>824</v>
      </c>
      <c r="P553" s="7">
        <v>0</v>
      </c>
      <c r="Q553" s="7">
        <v>14159.470000000001</v>
      </c>
      <c r="R553" s="7">
        <v>12646.300000000001</v>
      </c>
      <c r="S553" s="7">
        <v>1513.17</v>
      </c>
      <c r="T553" s="7" t="s">
        <v>826</v>
      </c>
      <c r="U553" s="7"/>
    </row>
    <row r="554" spans="1:21" x14ac:dyDescent="0.25">
      <c r="A554" s="7" t="s">
        <v>579</v>
      </c>
      <c r="B554" s="7" t="s">
        <v>808</v>
      </c>
      <c r="C554" s="7">
        <v>44740</v>
      </c>
      <c r="D554" s="7">
        <v>44755</v>
      </c>
      <c r="E554" s="7" t="s">
        <v>21</v>
      </c>
      <c r="F554" s="7" t="s">
        <v>18</v>
      </c>
      <c r="G554" s="7">
        <v>887</v>
      </c>
      <c r="H554" s="7">
        <v>65.89</v>
      </c>
      <c r="I554" s="7">
        <v>59.67</v>
      </c>
      <c r="J554" s="7">
        <v>29</v>
      </c>
      <c r="K554" s="7" t="s">
        <v>15</v>
      </c>
      <c r="L554" s="7">
        <v>15</v>
      </c>
      <c r="M554" s="7">
        <v>11</v>
      </c>
      <c r="N554" s="7">
        <v>4</v>
      </c>
      <c r="O554" s="7" t="s">
        <v>824</v>
      </c>
      <c r="P554" s="7">
        <v>0</v>
      </c>
      <c r="Q554" s="7">
        <v>58444.43</v>
      </c>
      <c r="R554" s="7">
        <v>52927.29</v>
      </c>
      <c r="S554" s="7">
        <v>5517.1399999999994</v>
      </c>
      <c r="T554" s="7" t="s">
        <v>826</v>
      </c>
      <c r="U554" s="7"/>
    </row>
    <row r="555" spans="1:21" x14ac:dyDescent="0.25">
      <c r="A555" s="7" t="s">
        <v>580</v>
      </c>
      <c r="B555" s="7" t="s">
        <v>804</v>
      </c>
      <c r="C555" s="7">
        <v>45192</v>
      </c>
      <c r="D555" s="7">
        <v>45194</v>
      </c>
      <c r="E555" s="7" t="s">
        <v>21</v>
      </c>
      <c r="F555" s="7" t="s">
        <v>18</v>
      </c>
      <c r="G555" s="7">
        <v>1856</v>
      </c>
      <c r="H555" s="7">
        <v>35.29</v>
      </c>
      <c r="I555" s="7">
        <v>32.409999999999997</v>
      </c>
      <c r="J555" s="7">
        <v>26</v>
      </c>
      <c r="K555" s="7" t="s">
        <v>15</v>
      </c>
      <c r="L555" s="7">
        <v>2</v>
      </c>
      <c r="M555" s="7">
        <v>11</v>
      </c>
      <c r="N555" s="7">
        <v>0</v>
      </c>
      <c r="O555" s="7" t="s">
        <v>824</v>
      </c>
      <c r="P555" s="7">
        <v>0</v>
      </c>
      <c r="Q555" s="7">
        <v>65498.239999999998</v>
      </c>
      <c r="R555" s="7">
        <v>60152.959999999992</v>
      </c>
      <c r="S555" s="7">
        <v>5345.2800000000061</v>
      </c>
      <c r="T555" s="7" t="s">
        <v>823</v>
      </c>
      <c r="U555" s="7"/>
    </row>
    <row r="556" spans="1:21" x14ac:dyDescent="0.25">
      <c r="A556" s="7" t="s">
        <v>581</v>
      </c>
      <c r="B556" s="7" t="s">
        <v>808</v>
      </c>
      <c r="C556" s="7">
        <v>45144</v>
      </c>
      <c r="D556" s="7">
        <v>45156</v>
      </c>
      <c r="E556" s="7" t="s">
        <v>13</v>
      </c>
      <c r="F556" s="7" t="s">
        <v>18</v>
      </c>
      <c r="G556" s="7">
        <v>1127</v>
      </c>
      <c r="H556" s="7">
        <v>49.32</v>
      </c>
      <c r="I556" s="7">
        <v>46.49</v>
      </c>
      <c r="J556" s="7">
        <v>30</v>
      </c>
      <c r="K556" s="7" t="s">
        <v>15</v>
      </c>
      <c r="L556" s="7">
        <v>12</v>
      </c>
      <c r="M556" s="7">
        <v>11</v>
      </c>
      <c r="N556" s="7">
        <v>1</v>
      </c>
      <c r="O556" s="7" t="s">
        <v>824</v>
      </c>
      <c r="P556" s="7">
        <v>0</v>
      </c>
      <c r="Q556" s="7">
        <v>55583.64</v>
      </c>
      <c r="R556" s="7">
        <v>52394.23</v>
      </c>
      <c r="S556" s="7">
        <v>3189.4099999999962</v>
      </c>
      <c r="T556" s="7" t="s">
        <v>826</v>
      </c>
      <c r="U556" s="7"/>
    </row>
    <row r="557" spans="1:21" x14ac:dyDescent="0.25">
      <c r="A557" s="7" t="s">
        <v>582</v>
      </c>
      <c r="B557" s="7" t="s">
        <v>805</v>
      </c>
      <c r="C557" s="7">
        <v>44870</v>
      </c>
      <c r="D557" s="7">
        <v>44884</v>
      </c>
      <c r="E557" s="7" t="s">
        <v>26</v>
      </c>
      <c r="F557" s="7" t="s">
        <v>18</v>
      </c>
      <c r="G557" s="7">
        <v>1052</v>
      </c>
      <c r="H557" s="7">
        <v>37.78</v>
      </c>
      <c r="I557" s="7">
        <v>32.6</v>
      </c>
      <c r="J557" s="7">
        <v>162</v>
      </c>
      <c r="K557" s="7" t="s">
        <v>15</v>
      </c>
      <c r="L557" s="7">
        <v>14</v>
      </c>
      <c r="M557" s="7">
        <v>11</v>
      </c>
      <c r="N557" s="7">
        <v>3</v>
      </c>
      <c r="O557" s="7" t="s">
        <v>824</v>
      </c>
      <c r="P557" s="7">
        <v>0</v>
      </c>
      <c r="Q557" s="7">
        <v>39744.559999999998</v>
      </c>
      <c r="R557" s="7">
        <v>34295.200000000004</v>
      </c>
      <c r="S557" s="7">
        <v>5449.3599999999933</v>
      </c>
      <c r="T557" s="7" t="s">
        <v>826</v>
      </c>
      <c r="U557" s="7"/>
    </row>
    <row r="558" spans="1:21" x14ac:dyDescent="0.25">
      <c r="A558" s="7" t="s">
        <v>583</v>
      </c>
      <c r="B558" s="7" t="s">
        <v>806</v>
      </c>
      <c r="C558" s="7">
        <v>44977</v>
      </c>
      <c r="D558" s="7">
        <v>44979</v>
      </c>
      <c r="E558" s="7" t="s">
        <v>26</v>
      </c>
      <c r="F558" s="7" t="s">
        <v>18</v>
      </c>
      <c r="G558" s="7">
        <v>493</v>
      </c>
      <c r="H558" s="7">
        <v>44.74</v>
      </c>
      <c r="I558" s="7">
        <v>41.44</v>
      </c>
      <c r="J558" s="7">
        <v>24</v>
      </c>
      <c r="K558" s="7" t="s">
        <v>27</v>
      </c>
      <c r="L558" s="7">
        <v>2</v>
      </c>
      <c r="M558" s="7">
        <v>11</v>
      </c>
      <c r="N558" s="7">
        <v>0</v>
      </c>
      <c r="O558" s="7" t="s">
        <v>824</v>
      </c>
      <c r="P558" s="7">
        <v>0</v>
      </c>
      <c r="Q558" s="7">
        <v>22056.82</v>
      </c>
      <c r="R558" s="7">
        <v>20429.919999999998</v>
      </c>
      <c r="S558" s="7">
        <v>1626.9000000000015</v>
      </c>
      <c r="T558" s="7" t="s">
        <v>823</v>
      </c>
      <c r="U558" s="7"/>
    </row>
    <row r="559" spans="1:21" x14ac:dyDescent="0.25">
      <c r="A559" s="7" t="s">
        <v>584</v>
      </c>
      <c r="B559" s="7" t="s">
        <v>805</v>
      </c>
      <c r="C559" s="7">
        <v>45123</v>
      </c>
      <c r="D559" s="7">
        <v>45136</v>
      </c>
      <c r="E559" s="7" t="s">
        <v>21</v>
      </c>
      <c r="F559" s="7" t="s">
        <v>33</v>
      </c>
      <c r="G559" s="7">
        <v>662</v>
      </c>
      <c r="H559" s="7">
        <v>81.44</v>
      </c>
      <c r="I559" s="7">
        <v>71.33</v>
      </c>
      <c r="J559" s="7">
        <v>87</v>
      </c>
      <c r="K559" s="7" t="s">
        <v>15</v>
      </c>
      <c r="L559" s="7">
        <v>13</v>
      </c>
      <c r="M559" s="7">
        <v>11</v>
      </c>
      <c r="N559" s="7">
        <v>2</v>
      </c>
      <c r="O559" s="7" t="s">
        <v>824</v>
      </c>
      <c r="P559" s="7">
        <v>0</v>
      </c>
      <c r="Q559" s="7">
        <v>53913.279999999999</v>
      </c>
      <c r="R559" s="7">
        <v>47220.46</v>
      </c>
      <c r="S559" s="7">
        <v>6692.82</v>
      </c>
      <c r="T559" s="7" t="s">
        <v>826</v>
      </c>
      <c r="U559" s="7"/>
    </row>
    <row r="560" spans="1:21" x14ac:dyDescent="0.25">
      <c r="A560" s="7" t="s">
        <v>585</v>
      </c>
      <c r="B560" s="7" t="s">
        <v>804</v>
      </c>
      <c r="C560" s="7">
        <v>44562</v>
      </c>
      <c r="D560" s="7">
        <v>44568</v>
      </c>
      <c r="E560" s="7" t="s">
        <v>26</v>
      </c>
      <c r="F560" s="7" t="s">
        <v>18</v>
      </c>
      <c r="G560" s="7">
        <v>1042</v>
      </c>
      <c r="H560" s="7">
        <v>36.74</v>
      </c>
      <c r="I560" s="7">
        <v>35.78</v>
      </c>
      <c r="J560" s="7">
        <v>33</v>
      </c>
      <c r="K560" s="7" t="s">
        <v>15</v>
      </c>
      <c r="L560" s="7">
        <v>6</v>
      </c>
      <c r="M560" s="7">
        <v>11</v>
      </c>
      <c r="N560" s="7">
        <v>0</v>
      </c>
      <c r="O560" s="7" t="s">
        <v>824</v>
      </c>
      <c r="P560" s="7">
        <v>0</v>
      </c>
      <c r="Q560" s="7">
        <v>38283.08</v>
      </c>
      <c r="R560" s="7">
        <v>37282.76</v>
      </c>
      <c r="S560" s="7">
        <v>1000.3199999999997</v>
      </c>
      <c r="T560" s="7" t="s">
        <v>823</v>
      </c>
      <c r="U560" s="7"/>
    </row>
    <row r="561" spans="1:21" x14ac:dyDescent="0.25">
      <c r="A561" s="7" t="s">
        <v>586</v>
      </c>
      <c r="B561" s="7" t="s">
        <v>804</v>
      </c>
      <c r="C561" s="7">
        <v>44873</v>
      </c>
      <c r="D561" s="7">
        <v>44884</v>
      </c>
      <c r="E561" s="7" t="s">
        <v>26</v>
      </c>
      <c r="F561" s="7" t="s">
        <v>18</v>
      </c>
      <c r="G561" s="7">
        <v>313</v>
      </c>
      <c r="H561" s="7">
        <v>64.03</v>
      </c>
      <c r="I561" s="7">
        <v>57.74</v>
      </c>
      <c r="J561" s="7">
        <v>1</v>
      </c>
      <c r="K561" s="7" t="s">
        <v>15</v>
      </c>
      <c r="L561" s="7">
        <v>11</v>
      </c>
      <c r="M561" s="7">
        <v>11</v>
      </c>
      <c r="N561" s="7">
        <v>0</v>
      </c>
      <c r="O561" s="7" t="s">
        <v>824</v>
      </c>
      <c r="P561" s="7">
        <v>0</v>
      </c>
      <c r="Q561" s="7">
        <v>20041.39</v>
      </c>
      <c r="R561" s="7">
        <v>18072.62</v>
      </c>
      <c r="S561" s="7">
        <v>1968.7700000000004</v>
      </c>
      <c r="T561" s="7" t="s">
        <v>823</v>
      </c>
      <c r="U561" s="7"/>
    </row>
    <row r="562" spans="1:21" x14ac:dyDescent="0.25">
      <c r="A562" s="7" t="s">
        <v>587</v>
      </c>
      <c r="B562" s="7" t="s">
        <v>804</v>
      </c>
      <c r="C562" s="7">
        <v>44855</v>
      </c>
      <c r="D562" s="7">
        <v>44875</v>
      </c>
      <c r="E562" s="7" t="s">
        <v>13</v>
      </c>
      <c r="F562" s="7" t="s">
        <v>18</v>
      </c>
      <c r="G562" s="7">
        <v>1126</v>
      </c>
      <c r="H562" s="7">
        <v>55.22</v>
      </c>
      <c r="I562" s="7">
        <v>50.38</v>
      </c>
      <c r="J562" s="7"/>
      <c r="K562" s="7" t="s">
        <v>15</v>
      </c>
      <c r="L562" s="7">
        <v>20</v>
      </c>
      <c r="M562" s="7">
        <v>11</v>
      </c>
      <c r="N562" s="7">
        <v>9</v>
      </c>
      <c r="O562" s="7" t="s">
        <v>824</v>
      </c>
      <c r="P562" s="7">
        <v>0</v>
      </c>
      <c r="Q562" s="7">
        <v>62177.72</v>
      </c>
      <c r="R562" s="7">
        <v>56727.880000000005</v>
      </c>
      <c r="S562" s="7">
        <v>5449.8399999999965</v>
      </c>
      <c r="T562" s="7" t="s">
        <v>825</v>
      </c>
      <c r="U562" s="7"/>
    </row>
    <row r="563" spans="1:21" x14ac:dyDescent="0.25">
      <c r="A563" s="7" t="s">
        <v>588</v>
      </c>
      <c r="B563" s="7" t="s">
        <v>806</v>
      </c>
      <c r="C563" s="7">
        <v>44777</v>
      </c>
      <c r="D563" s="7">
        <v>44792</v>
      </c>
      <c r="E563" s="7" t="s">
        <v>21</v>
      </c>
      <c r="F563" s="7" t="s">
        <v>18</v>
      </c>
      <c r="G563" s="7">
        <v>1645</v>
      </c>
      <c r="H563" s="7">
        <v>72.17</v>
      </c>
      <c r="I563" s="7">
        <v>64</v>
      </c>
      <c r="J563" s="7">
        <v>79</v>
      </c>
      <c r="K563" s="7" t="s">
        <v>15</v>
      </c>
      <c r="L563" s="7">
        <v>15</v>
      </c>
      <c r="M563" s="7">
        <v>11</v>
      </c>
      <c r="N563" s="7">
        <v>4</v>
      </c>
      <c r="O563" s="7" t="s">
        <v>824</v>
      </c>
      <c r="P563" s="7">
        <v>0</v>
      </c>
      <c r="Q563" s="7">
        <v>118719.65000000001</v>
      </c>
      <c r="R563" s="7">
        <v>105280</v>
      </c>
      <c r="S563" s="7">
        <v>13439.650000000009</v>
      </c>
      <c r="T563" s="7" t="s">
        <v>826</v>
      </c>
      <c r="U563" s="7"/>
    </row>
    <row r="564" spans="1:21" x14ac:dyDescent="0.25">
      <c r="A564" s="7" t="s">
        <v>589</v>
      </c>
      <c r="B564" s="7" t="s">
        <v>807</v>
      </c>
      <c r="C564" s="7">
        <v>45002</v>
      </c>
      <c r="D564" s="7">
        <v>45005</v>
      </c>
      <c r="E564" s="7" t="s">
        <v>24</v>
      </c>
      <c r="F564" s="7" t="s">
        <v>18</v>
      </c>
      <c r="G564" s="7">
        <v>1053</v>
      </c>
      <c r="H564" s="7">
        <v>100.92</v>
      </c>
      <c r="I564" s="7">
        <v>92.35</v>
      </c>
      <c r="J564" s="7">
        <v>104</v>
      </c>
      <c r="K564" s="7" t="s">
        <v>15</v>
      </c>
      <c r="L564" s="7">
        <v>3</v>
      </c>
      <c r="M564" s="7">
        <v>11</v>
      </c>
      <c r="N564" s="7">
        <v>0</v>
      </c>
      <c r="O564" s="7" t="s">
        <v>824</v>
      </c>
      <c r="P564" s="7">
        <v>0</v>
      </c>
      <c r="Q564" s="7">
        <v>106268.76</v>
      </c>
      <c r="R564" s="7">
        <v>97244.549999999988</v>
      </c>
      <c r="S564" s="7">
        <v>9024.2100000000064</v>
      </c>
      <c r="T564" s="7" t="s">
        <v>823</v>
      </c>
      <c r="U564" s="7"/>
    </row>
    <row r="565" spans="1:21" x14ac:dyDescent="0.25">
      <c r="A565" s="7" t="s">
        <v>590</v>
      </c>
      <c r="B565" s="7" t="s">
        <v>808</v>
      </c>
      <c r="C565" s="7">
        <v>45155</v>
      </c>
      <c r="D565" s="7">
        <v>45167</v>
      </c>
      <c r="E565" s="7" t="s">
        <v>21</v>
      </c>
      <c r="F565" s="7" t="s">
        <v>18</v>
      </c>
      <c r="G565" s="7">
        <v>1693</v>
      </c>
      <c r="H565" s="7">
        <v>83.14</v>
      </c>
      <c r="I565" s="7">
        <v>73.3</v>
      </c>
      <c r="J565" s="7">
        <v>62</v>
      </c>
      <c r="K565" s="7" t="s">
        <v>15</v>
      </c>
      <c r="L565" s="7">
        <v>12</v>
      </c>
      <c r="M565" s="7">
        <v>11</v>
      </c>
      <c r="N565" s="7">
        <v>1</v>
      </c>
      <c r="O565" s="7" t="s">
        <v>824</v>
      </c>
      <c r="P565" s="7">
        <v>0</v>
      </c>
      <c r="Q565" s="7">
        <v>140756.01999999999</v>
      </c>
      <c r="R565" s="7">
        <v>124096.9</v>
      </c>
      <c r="S565" s="7">
        <v>16659.119999999995</v>
      </c>
      <c r="T565" s="7" t="s">
        <v>826</v>
      </c>
      <c r="U565" s="7"/>
    </row>
    <row r="566" spans="1:21" x14ac:dyDescent="0.25">
      <c r="A566" s="7" t="s">
        <v>591</v>
      </c>
      <c r="B566" s="7" t="s">
        <v>808</v>
      </c>
      <c r="C566" s="7">
        <v>45183</v>
      </c>
      <c r="D566" s="7">
        <v>45202</v>
      </c>
      <c r="E566" s="7" t="s">
        <v>26</v>
      </c>
      <c r="F566" s="7" t="s">
        <v>35</v>
      </c>
      <c r="G566" s="7">
        <v>54</v>
      </c>
      <c r="H566" s="7">
        <v>32.28</v>
      </c>
      <c r="I566" s="7">
        <v>28.65</v>
      </c>
      <c r="J566" s="7">
        <v>3</v>
      </c>
      <c r="K566" s="7" t="s">
        <v>15</v>
      </c>
      <c r="L566" s="7">
        <v>19</v>
      </c>
      <c r="M566" s="7">
        <v>11</v>
      </c>
      <c r="N566" s="7">
        <v>8</v>
      </c>
      <c r="O566" s="7" t="s">
        <v>824</v>
      </c>
      <c r="P566" s="7">
        <v>0</v>
      </c>
      <c r="Q566" s="7">
        <v>1743.1200000000001</v>
      </c>
      <c r="R566" s="7">
        <v>1547.1</v>
      </c>
      <c r="S566" s="7">
        <v>196.02000000000021</v>
      </c>
      <c r="T566" s="7" t="s">
        <v>825</v>
      </c>
      <c r="U566" s="7"/>
    </row>
    <row r="567" spans="1:21" x14ac:dyDescent="0.25">
      <c r="A567" s="7" t="s">
        <v>592</v>
      </c>
      <c r="B567" s="7" t="s">
        <v>808</v>
      </c>
      <c r="C567" s="7">
        <v>45232</v>
      </c>
      <c r="D567" s="7">
        <v>45237</v>
      </c>
      <c r="E567" s="7" t="s">
        <v>24</v>
      </c>
      <c r="F567" s="7" t="s">
        <v>18</v>
      </c>
      <c r="G567" s="7">
        <v>1176</v>
      </c>
      <c r="H567" s="7">
        <v>14.22</v>
      </c>
      <c r="I567" s="7">
        <v>12.21</v>
      </c>
      <c r="J567" s="7">
        <v>33</v>
      </c>
      <c r="K567" s="7" t="s">
        <v>15</v>
      </c>
      <c r="L567" s="7">
        <v>5</v>
      </c>
      <c r="M567" s="7">
        <v>11</v>
      </c>
      <c r="N567" s="7">
        <v>0</v>
      </c>
      <c r="O567" s="7" t="s">
        <v>824</v>
      </c>
      <c r="P567" s="7">
        <v>0</v>
      </c>
      <c r="Q567" s="7">
        <v>16722.72</v>
      </c>
      <c r="R567" s="7">
        <v>14358.960000000001</v>
      </c>
      <c r="S567" s="7">
        <v>2363.7600000000002</v>
      </c>
      <c r="T567" s="7" t="s">
        <v>823</v>
      </c>
      <c r="U567" s="7"/>
    </row>
    <row r="568" spans="1:21" x14ac:dyDescent="0.25">
      <c r="A568" s="7" t="s">
        <v>593</v>
      </c>
      <c r="B568" s="7" t="s">
        <v>808</v>
      </c>
      <c r="C568" s="7">
        <v>44891</v>
      </c>
      <c r="D568" s="7">
        <v>44903</v>
      </c>
      <c r="E568" s="7" t="s">
        <v>26</v>
      </c>
      <c r="F568" s="7" t="s">
        <v>18</v>
      </c>
      <c r="G568" s="7">
        <v>1269</v>
      </c>
      <c r="H568" s="7">
        <v>35.28</v>
      </c>
      <c r="I568" s="7">
        <v>33.700000000000003</v>
      </c>
      <c r="J568" s="7">
        <v>35</v>
      </c>
      <c r="K568" s="7" t="s">
        <v>15</v>
      </c>
      <c r="L568" s="7">
        <v>12</v>
      </c>
      <c r="M568" s="7">
        <v>11</v>
      </c>
      <c r="N568" s="7">
        <v>1</v>
      </c>
      <c r="O568" s="7" t="s">
        <v>824</v>
      </c>
      <c r="P568" s="7">
        <v>0</v>
      </c>
      <c r="Q568" s="7">
        <v>44770.32</v>
      </c>
      <c r="R568" s="7">
        <v>42765.3</v>
      </c>
      <c r="S568" s="7">
        <v>2005.0199999999968</v>
      </c>
      <c r="T568" s="7" t="s">
        <v>826</v>
      </c>
      <c r="U568" s="7"/>
    </row>
    <row r="569" spans="1:21" x14ac:dyDescent="0.25">
      <c r="A569" s="7" t="s">
        <v>594</v>
      </c>
      <c r="B569" s="7" t="s">
        <v>808</v>
      </c>
      <c r="C569" s="7">
        <v>45038</v>
      </c>
      <c r="D569" s="7">
        <v>45041</v>
      </c>
      <c r="E569" s="7" t="s">
        <v>26</v>
      </c>
      <c r="F569" s="7" t="s">
        <v>18</v>
      </c>
      <c r="G569" s="7">
        <v>823</v>
      </c>
      <c r="H569" s="7">
        <v>68.319999999999993</v>
      </c>
      <c r="I569" s="7">
        <v>64.459999999999994</v>
      </c>
      <c r="J569" s="7">
        <v>19</v>
      </c>
      <c r="K569" s="7" t="s">
        <v>15</v>
      </c>
      <c r="L569" s="7">
        <v>3</v>
      </c>
      <c r="M569" s="7">
        <v>11</v>
      </c>
      <c r="N569" s="7">
        <v>0</v>
      </c>
      <c r="O569" s="7" t="s">
        <v>824</v>
      </c>
      <c r="P569" s="7">
        <v>0</v>
      </c>
      <c r="Q569" s="7">
        <v>56227.359999999993</v>
      </c>
      <c r="R569" s="7">
        <v>53050.579999999994</v>
      </c>
      <c r="S569" s="7">
        <v>3176.7799999999988</v>
      </c>
      <c r="T569" s="7" t="s">
        <v>823</v>
      </c>
      <c r="U569" s="7"/>
    </row>
    <row r="570" spans="1:21" x14ac:dyDescent="0.25">
      <c r="A570" s="7" t="s">
        <v>595</v>
      </c>
      <c r="B570" s="7" t="s">
        <v>807</v>
      </c>
      <c r="C570" s="7">
        <v>45014</v>
      </c>
      <c r="D570" s="7">
        <v>45031</v>
      </c>
      <c r="E570" s="7" t="s">
        <v>39</v>
      </c>
      <c r="F570" s="7" t="s">
        <v>18</v>
      </c>
      <c r="G570" s="7">
        <v>926</v>
      </c>
      <c r="H570" s="7">
        <v>15.65</v>
      </c>
      <c r="I570" s="7">
        <v>13.49</v>
      </c>
      <c r="J570" s="7">
        <v>94</v>
      </c>
      <c r="K570" s="7" t="s">
        <v>27</v>
      </c>
      <c r="L570" s="7">
        <v>17</v>
      </c>
      <c r="M570" s="7">
        <v>11</v>
      </c>
      <c r="N570" s="7">
        <v>6</v>
      </c>
      <c r="O570" s="7" t="s">
        <v>824</v>
      </c>
      <c r="P570" s="7">
        <v>0</v>
      </c>
      <c r="Q570" s="7">
        <v>14491.9</v>
      </c>
      <c r="R570" s="7">
        <v>12491.74</v>
      </c>
      <c r="S570" s="7">
        <v>2000.1599999999999</v>
      </c>
      <c r="T570" s="7" t="s">
        <v>825</v>
      </c>
      <c r="U570" s="7"/>
    </row>
    <row r="571" spans="1:21" x14ac:dyDescent="0.25">
      <c r="A571" s="7" t="s">
        <v>596</v>
      </c>
      <c r="B571" s="7" t="s">
        <v>805</v>
      </c>
      <c r="C571" s="7">
        <v>45014</v>
      </c>
      <c r="D571" s="7">
        <v>45025</v>
      </c>
      <c r="E571" s="7" t="s">
        <v>39</v>
      </c>
      <c r="F571" s="7" t="s">
        <v>14</v>
      </c>
      <c r="G571" s="7">
        <v>1041</v>
      </c>
      <c r="H571" s="7">
        <v>58.5</v>
      </c>
      <c r="I571" s="7">
        <v>52.54</v>
      </c>
      <c r="J571" s="7">
        <v>170</v>
      </c>
      <c r="K571" s="7" t="s">
        <v>27</v>
      </c>
      <c r="L571" s="7">
        <v>11</v>
      </c>
      <c r="M571" s="7">
        <v>11</v>
      </c>
      <c r="N571" s="7">
        <v>0</v>
      </c>
      <c r="O571" s="7" t="s">
        <v>824</v>
      </c>
      <c r="P571" s="7">
        <v>0</v>
      </c>
      <c r="Q571" s="7">
        <v>60898.5</v>
      </c>
      <c r="R571" s="7">
        <v>54694.14</v>
      </c>
      <c r="S571" s="7">
        <v>6204.3600000000006</v>
      </c>
      <c r="T571" s="7" t="s">
        <v>823</v>
      </c>
      <c r="U571" s="7"/>
    </row>
    <row r="572" spans="1:21" x14ac:dyDescent="0.25">
      <c r="A572" s="7" t="s">
        <v>597</v>
      </c>
      <c r="B572" s="7" t="s">
        <v>806</v>
      </c>
      <c r="C572" s="7">
        <v>45253</v>
      </c>
      <c r="D572" s="7">
        <v>45261</v>
      </c>
      <c r="E572" s="7" t="s">
        <v>39</v>
      </c>
      <c r="F572" s="7" t="s">
        <v>35</v>
      </c>
      <c r="G572" s="7">
        <v>933</v>
      </c>
      <c r="H572" s="7">
        <v>70.72</v>
      </c>
      <c r="I572" s="7">
        <v>65.47</v>
      </c>
      <c r="J572" s="7">
        <v>42</v>
      </c>
      <c r="K572" s="7" t="s">
        <v>15</v>
      </c>
      <c r="L572" s="7">
        <v>8</v>
      </c>
      <c r="M572" s="7">
        <v>11</v>
      </c>
      <c r="N572" s="7">
        <v>0</v>
      </c>
      <c r="O572" s="7" t="s">
        <v>824</v>
      </c>
      <c r="P572" s="7">
        <v>0</v>
      </c>
      <c r="Q572" s="7">
        <v>65981.759999999995</v>
      </c>
      <c r="R572" s="7">
        <v>61083.51</v>
      </c>
      <c r="S572" s="7">
        <v>4898.2499999999927</v>
      </c>
      <c r="T572" s="7" t="s">
        <v>823</v>
      </c>
      <c r="U572" s="7"/>
    </row>
    <row r="573" spans="1:21" x14ac:dyDescent="0.25">
      <c r="A573" s="7" t="s">
        <v>598</v>
      </c>
      <c r="B573" s="7" t="s">
        <v>805</v>
      </c>
      <c r="C573" s="7">
        <v>44780</v>
      </c>
      <c r="D573" s="7">
        <v>44791</v>
      </c>
      <c r="E573" s="7" t="s">
        <v>26</v>
      </c>
      <c r="F573" s="7" t="s">
        <v>18</v>
      </c>
      <c r="G573" s="7">
        <v>1423</v>
      </c>
      <c r="H573" s="7">
        <v>41.48</v>
      </c>
      <c r="I573" s="7">
        <v>40.9</v>
      </c>
      <c r="J573" s="7">
        <v>199</v>
      </c>
      <c r="K573" s="7" t="s">
        <v>15</v>
      </c>
      <c r="L573" s="7">
        <v>11</v>
      </c>
      <c r="M573" s="7">
        <v>11</v>
      </c>
      <c r="N573" s="7">
        <v>0</v>
      </c>
      <c r="O573" s="7" t="s">
        <v>824</v>
      </c>
      <c r="P573" s="7">
        <v>0</v>
      </c>
      <c r="Q573" s="7">
        <v>59026.039999999994</v>
      </c>
      <c r="R573" s="7">
        <v>58200.7</v>
      </c>
      <c r="S573" s="7">
        <v>825.33999999999651</v>
      </c>
      <c r="T573" s="7" t="s">
        <v>823</v>
      </c>
      <c r="U573" s="7"/>
    </row>
    <row r="574" spans="1:21" x14ac:dyDescent="0.25">
      <c r="A574" s="7" t="s">
        <v>599</v>
      </c>
      <c r="B574" s="7" t="s">
        <v>805</v>
      </c>
      <c r="C574" s="7">
        <v>45085</v>
      </c>
      <c r="D574" s="7">
        <v>45091</v>
      </c>
      <c r="E574" s="7" t="s">
        <v>21</v>
      </c>
      <c r="F574" s="7" t="s">
        <v>18</v>
      </c>
      <c r="G574" s="7">
        <v>96</v>
      </c>
      <c r="H574" s="7">
        <v>86.13</v>
      </c>
      <c r="I574" s="7">
        <v>80.319999999999993</v>
      </c>
      <c r="J574" s="7">
        <v>12</v>
      </c>
      <c r="K574" s="7" t="s">
        <v>27</v>
      </c>
      <c r="L574" s="7">
        <v>6</v>
      </c>
      <c r="M574" s="7">
        <v>11</v>
      </c>
      <c r="N574" s="7">
        <v>0</v>
      </c>
      <c r="O574" s="7" t="s">
        <v>824</v>
      </c>
      <c r="P574" s="7">
        <v>0</v>
      </c>
      <c r="Q574" s="7">
        <v>8268.48</v>
      </c>
      <c r="R574" s="7">
        <v>7710.7199999999993</v>
      </c>
      <c r="S574" s="7">
        <v>557.76000000000022</v>
      </c>
      <c r="T574" s="7" t="s">
        <v>823</v>
      </c>
      <c r="U574" s="7"/>
    </row>
    <row r="575" spans="1:21" x14ac:dyDescent="0.25">
      <c r="A575" s="7" t="s">
        <v>600</v>
      </c>
      <c r="B575" s="7" t="s">
        <v>808</v>
      </c>
      <c r="C575" s="7">
        <v>45046</v>
      </c>
      <c r="D575" s="7">
        <v>45059</v>
      </c>
      <c r="E575" s="7" t="s">
        <v>21</v>
      </c>
      <c r="F575" s="7" t="s">
        <v>18</v>
      </c>
      <c r="G575" s="7">
        <v>916</v>
      </c>
      <c r="H575" s="7">
        <v>21.06</v>
      </c>
      <c r="I575" s="7">
        <v>19.53</v>
      </c>
      <c r="J575" s="7">
        <v>25</v>
      </c>
      <c r="K575" s="7" t="s">
        <v>15</v>
      </c>
      <c r="L575" s="7">
        <v>13</v>
      </c>
      <c r="M575" s="7">
        <v>11</v>
      </c>
      <c r="N575" s="7">
        <v>2</v>
      </c>
      <c r="O575" s="7" t="s">
        <v>824</v>
      </c>
      <c r="P575" s="7">
        <v>0</v>
      </c>
      <c r="Q575" s="7">
        <v>19290.96</v>
      </c>
      <c r="R575" s="7">
        <v>17889.48</v>
      </c>
      <c r="S575" s="7">
        <v>1401.4799999999996</v>
      </c>
      <c r="T575" s="7" t="s">
        <v>826</v>
      </c>
      <c r="U575" s="7"/>
    </row>
    <row r="576" spans="1:21" x14ac:dyDescent="0.25">
      <c r="A576" s="7" t="s">
        <v>601</v>
      </c>
      <c r="B576" s="7" t="s">
        <v>808</v>
      </c>
      <c r="C576" s="7">
        <v>44735</v>
      </c>
      <c r="D576" s="7">
        <v>44746</v>
      </c>
      <c r="E576" s="7" t="s">
        <v>26</v>
      </c>
      <c r="F576" s="7" t="s">
        <v>18</v>
      </c>
      <c r="G576" s="7">
        <v>872</v>
      </c>
      <c r="H576" s="7">
        <v>17.18</v>
      </c>
      <c r="I576" s="7">
        <v>16.63</v>
      </c>
      <c r="J576" s="7">
        <v>20</v>
      </c>
      <c r="K576" s="7" t="s">
        <v>15</v>
      </c>
      <c r="L576" s="7">
        <v>11</v>
      </c>
      <c r="M576" s="7">
        <v>11</v>
      </c>
      <c r="N576" s="7">
        <v>0</v>
      </c>
      <c r="O576" s="7" t="s">
        <v>824</v>
      </c>
      <c r="P576" s="7">
        <v>0</v>
      </c>
      <c r="Q576" s="7">
        <v>14980.96</v>
      </c>
      <c r="R576" s="7">
        <v>14501.359999999999</v>
      </c>
      <c r="S576" s="7">
        <v>479.60000000000036</v>
      </c>
      <c r="T576" s="7" t="s">
        <v>823</v>
      </c>
      <c r="U576" s="7"/>
    </row>
    <row r="577" spans="1:21" x14ac:dyDescent="0.25">
      <c r="A577" s="7" t="s">
        <v>602</v>
      </c>
      <c r="B577" s="7" t="s">
        <v>807</v>
      </c>
      <c r="C577" s="7">
        <v>45236</v>
      </c>
      <c r="D577" s="7">
        <v>45245</v>
      </c>
      <c r="E577" s="7" t="s">
        <v>39</v>
      </c>
      <c r="F577" s="7" t="s">
        <v>18</v>
      </c>
      <c r="G577" s="7">
        <v>985</v>
      </c>
      <c r="H577" s="7">
        <v>83.85</v>
      </c>
      <c r="I577" s="7">
        <v>80.88</v>
      </c>
      <c r="J577" s="7"/>
      <c r="K577" s="7" t="s">
        <v>27</v>
      </c>
      <c r="L577" s="7">
        <v>9</v>
      </c>
      <c r="M577" s="7">
        <v>11</v>
      </c>
      <c r="N577" s="7">
        <v>0</v>
      </c>
      <c r="O577" s="7" t="s">
        <v>822</v>
      </c>
      <c r="P577" s="7">
        <v>1</v>
      </c>
      <c r="Q577" s="7">
        <v>82592.25</v>
      </c>
      <c r="R577" s="7">
        <v>79666.799999999988</v>
      </c>
      <c r="S577" s="7">
        <v>2925.4500000000116</v>
      </c>
      <c r="T577" s="7" t="s">
        <v>823</v>
      </c>
      <c r="U577" s="7"/>
    </row>
    <row r="578" spans="1:21" x14ac:dyDescent="0.25">
      <c r="A578" s="7" t="s">
        <v>603</v>
      </c>
      <c r="B578" s="7" t="s">
        <v>806</v>
      </c>
      <c r="C578" s="7">
        <v>44648</v>
      </c>
      <c r="D578" s="7">
        <v>44655</v>
      </c>
      <c r="E578" s="7" t="s">
        <v>26</v>
      </c>
      <c r="F578" s="7" t="s">
        <v>18</v>
      </c>
      <c r="G578" s="7">
        <v>1893</v>
      </c>
      <c r="H578" s="7">
        <v>55.14</v>
      </c>
      <c r="I578" s="7">
        <v>50.1</v>
      </c>
      <c r="J578" s="7">
        <v>98</v>
      </c>
      <c r="K578" s="7" t="s">
        <v>15</v>
      </c>
      <c r="L578" s="7">
        <v>7</v>
      </c>
      <c r="M578" s="7">
        <v>11</v>
      </c>
      <c r="N578" s="7">
        <v>0</v>
      </c>
      <c r="O578" s="7" t="s">
        <v>824</v>
      </c>
      <c r="P578" s="7">
        <v>0</v>
      </c>
      <c r="Q578" s="7">
        <v>104380.02</v>
      </c>
      <c r="R578" s="7">
        <v>94839.3</v>
      </c>
      <c r="S578" s="7">
        <v>9540.7200000000012</v>
      </c>
      <c r="T578" s="7" t="s">
        <v>823</v>
      </c>
      <c r="U578" s="7"/>
    </row>
    <row r="579" spans="1:21" x14ac:dyDescent="0.25">
      <c r="A579" s="7" t="s">
        <v>604</v>
      </c>
      <c r="B579" s="7" t="s">
        <v>804</v>
      </c>
      <c r="C579" s="7">
        <v>44852</v>
      </c>
      <c r="D579" s="7">
        <v>44863</v>
      </c>
      <c r="E579" s="7" t="s">
        <v>21</v>
      </c>
      <c r="F579" s="7" t="s">
        <v>18</v>
      </c>
      <c r="G579" s="7">
        <v>705</v>
      </c>
      <c r="H579" s="7">
        <v>75.19</v>
      </c>
      <c r="I579" s="7">
        <v>69.55</v>
      </c>
      <c r="J579" s="7">
        <v>19</v>
      </c>
      <c r="K579" s="7" t="s">
        <v>15</v>
      </c>
      <c r="L579" s="7">
        <v>11</v>
      </c>
      <c r="M579" s="7">
        <v>11</v>
      </c>
      <c r="N579" s="7">
        <v>0</v>
      </c>
      <c r="O579" s="7" t="s">
        <v>824</v>
      </c>
      <c r="P579" s="7">
        <v>0</v>
      </c>
      <c r="Q579" s="7">
        <v>53008.95</v>
      </c>
      <c r="R579" s="7">
        <v>49032.75</v>
      </c>
      <c r="S579" s="7">
        <v>3976.1999999999971</v>
      </c>
      <c r="T579" s="7" t="s">
        <v>823</v>
      </c>
      <c r="U579" s="7"/>
    </row>
    <row r="580" spans="1:21" x14ac:dyDescent="0.25">
      <c r="A580" s="7" t="s">
        <v>605</v>
      </c>
      <c r="B580" s="7" t="s">
        <v>805</v>
      </c>
      <c r="C580" s="7">
        <v>45089</v>
      </c>
      <c r="D580" s="7">
        <v>45105</v>
      </c>
      <c r="E580" s="7" t="s">
        <v>21</v>
      </c>
      <c r="F580" s="7" t="s">
        <v>18</v>
      </c>
      <c r="G580" s="7">
        <v>318</v>
      </c>
      <c r="H580" s="7">
        <v>53.31</v>
      </c>
      <c r="I580" s="7">
        <v>51.78</v>
      </c>
      <c r="J580" s="7"/>
      <c r="K580" s="7" t="s">
        <v>27</v>
      </c>
      <c r="L580" s="7">
        <v>16</v>
      </c>
      <c r="M580" s="7">
        <v>11</v>
      </c>
      <c r="N580" s="7">
        <v>5</v>
      </c>
      <c r="O580" s="7" t="s">
        <v>824</v>
      </c>
      <c r="P580" s="7">
        <v>0</v>
      </c>
      <c r="Q580" s="7">
        <v>16952.580000000002</v>
      </c>
      <c r="R580" s="7">
        <v>16466.04</v>
      </c>
      <c r="S580" s="7">
        <v>486.54000000000087</v>
      </c>
      <c r="T580" s="7" t="s">
        <v>825</v>
      </c>
      <c r="U580" s="7"/>
    </row>
    <row r="581" spans="1:21" x14ac:dyDescent="0.25">
      <c r="A581" s="7" t="s">
        <v>606</v>
      </c>
      <c r="B581" s="7" t="s">
        <v>804</v>
      </c>
      <c r="C581" s="7">
        <v>45241</v>
      </c>
      <c r="D581" s="7">
        <v>45246</v>
      </c>
      <c r="E581" s="7" t="s">
        <v>13</v>
      </c>
      <c r="F581" s="7" t="s">
        <v>35</v>
      </c>
      <c r="G581" s="7">
        <v>419</v>
      </c>
      <c r="H581" s="7">
        <v>35.72</v>
      </c>
      <c r="I581" s="7">
        <v>32.74</v>
      </c>
      <c r="J581" s="7">
        <v>7</v>
      </c>
      <c r="K581" s="7" t="s">
        <v>15</v>
      </c>
      <c r="L581" s="7">
        <v>5</v>
      </c>
      <c r="M581" s="7">
        <v>11</v>
      </c>
      <c r="N581" s="7">
        <v>0</v>
      </c>
      <c r="O581" s="7" t="s">
        <v>824</v>
      </c>
      <c r="P581" s="7">
        <v>0</v>
      </c>
      <c r="Q581" s="7">
        <v>14966.68</v>
      </c>
      <c r="R581" s="7">
        <v>13718.060000000001</v>
      </c>
      <c r="S581" s="7">
        <v>1248.619999999999</v>
      </c>
      <c r="T581" s="7" t="s">
        <v>823</v>
      </c>
      <c r="U581" s="7"/>
    </row>
    <row r="582" spans="1:21" x14ac:dyDescent="0.25">
      <c r="A582" s="7" t="s">
        <v>607</v>
      </c>
      <c r="B582" s="7" t="s">
        <v>806</v>
      </c>
      <c r="C582" s="7">
        <v>45210</v>
      </c>
      <c r="D582" s="7">
        <v>45225</v>
      </c>
      <c r="E582" s="7" t="s">
        <v>21</v>
      </c>
      <c r="F582" s="7" t="s">
        <v>18</v>
      </c>
      <c r="G582" s="7">
        <v>685</v>
      </c>
      <c r="H582" s="7">
        <v>92.51</v>
      </c>
      <c r="I582" s="7">
        <v>90.05</v>
      </c>
      <c r="J582" s="7">
        <v>38</v>
      </c>
      <c r="K582" s="7" t="s">
        <v>15</v>
      </c>
      <c r="L582" s="7">
        <v>15</v>
      </c>
      <c r="M582" s="7">
        <v>11</v>
      </c>
      <c r="N582" s="7">
        <v>4</v>
      </c>
      <c r="O582" s="7" t="s">
        <v>824</v>
      </c>
      <c r="P582" s="7">
        <v>0</v>
      </c>
      <c r="Q582" s="7">
        <v>63369.350000000006</v>
      </c>
      <c r="R582" s="7">
        <v>61684.25</v>
      </c>
      <c r="S582" s="7">
        <v>1685.1000000000058</v>
      </c>
      <c r="T582" s="7" t="s">
        <v>826</v>
      </c>
      <c r="U582" s="7"/>
    </row>
    <row r="583" spans="1:21" x14ac:dyDescent="0.25">
      <c r="A583" s="7" t="s">
        <v>608</v>
      </c>
      <c r="B583" s="7" t="s">
        <v>805</v>
      </c>
      <c r="C583" s="7">
        <v>45196</v>
      </c>
      <c r="D583" s="7">
        <v>45211</v>
      </c>
      <c r="E583" s="7" t="s">
        <v>13</v>
      </c>
      <c r="F583" s="7" t="s">
        <v>33</v>
      </c>
      <c r="G583" s="7">
        <v>1179</v>
      </c>
      <c r="H583" s="7">
        <v>90.14</v>
      </c>
      <c r="I583" s="7">
        <v>82.63</v>
      </c>
      <c r="J583" s="7">
        <v>194</v>
      </c>
      <c r="K583" s="7" t="s">
        <v>15</v>
      </c>
      <c r="L583" s="7">
        <v>15</v>
      </c>
      <c r="M583" s="7">
        <v>11</v>
      </c>
      <c r="N583" s="7">
        <v>4</v>
      </c>
      <c r="O583" s="7" t="s">
        <v>824</v>
      </c>
      <c r="P583" s="7">
        <v>0</v>
      </c>
      <c r="Q583" s="7">
        <v>106275.06</v>
      </c>
      <c r="R583" s="7">
        <v>97420.76999999999</v>
      </c>
      <c r="S583" s="7">
        <v>8854.2900000000081</v>
      </c>
      <c r="T583" s="7" t="s">
        <v>826</v>
      </c>
      <c r="U583" s="7"/>
    </row>
    <row r="584" spans="1:21" x14ac:dyDescent="0.25">
      <c r="A584" s="7" t="s">
        <v>609</v>
      </c>
      <c r="B584" s="7" t="s">
        <v>804</v>
      </c>
      <c r="C584" s="7">
        <v>44905</v>
      </c>
      <c r="D584" s="7">
        <v>44916</v>
      </c>
      <c r="E584" s="7" t="s">
        <v>26</v>
      </c>
      <c r="F584" s="7" t="s">
        <v>18</v>
      </c>
      <c r="G584" s="7">
        <v>1743</v>
      </c>
      <c r="H584" s="7">
        <v>76.510000000000005</v>
      </c>
      <c r="I584" s="7">
        <v>65.88</v>
      </c>
      <c r="J584" s="7">
        <v>40</v>
      </c>
      <c r="K584" s="7" t="s">
        <v>15</v>
      </c>
      <c r="L584" s="7">
        <v>11</v>
      </c>
      <c r="M584" s="7">
        <v>11</v>
      </c>
      <c r="N584" s="7">
        <v>0</v>
      </c>
      <c r="O584" s="7" t="s">
        <v>824</v>
      </c>
      <c r="P584" s="7">
        <v>0</v>
      </c>
      <c r="Q584" s="7">
        <v>133356.93000000002</v>
      </c>
      <c r="R584" s="7">
        <v>114828.84</v>
      </c>
      <c r="S584" s="7">
        <v>18528.090000000026</v>
      </c>
      <c r="T584" s="7" t="s">
        <v>823</v>
      </c>
      <c r="U584" s="7"/>
    </row>
    <row r="585" spans="1:21" x14ac:dyDescent="0.25">
      <c r="A585" s="7" t="s">
        <v>610</v>
      </c>
      <c r="B585" s="7" t="s">
        <v>804</v>
      </c>
      <c r="C585" s="7">
        <v>44657</v>
      </c>
      <c r="D585" s="7">
        <v>44668</v>
      </c>
      <c r="E585" s="7" t="s">
        <v>21</v>
      </c>
      <c r="F585" s="7" t="s">
        <v>18</v>
      </c>
      <c r="G585" s="7">
        <v>1732</v>
      </c>
      <c r="H585" s="7">
        <v>35.01</v>
      </c>
      <c r="I585" s="7">
        <v>34.18</v>
      </c>
      <c r="J585" s="7">
        <v>40</v>
      </c>
      <c r="K585" s="7" t="s">
        <v>15</v>
      </c>
      <c r="L585" s="7">
        <v>11</v>
      </c>
      <c r="M585" s="7">
        <v>11</v>
      </c>
      <c r="N585" s="7">
        <v>0</v>
      </c>
      <c r="O585" s="7" t="s">
        <v>824</v>
      </c>
      <c r="P585" s="7">
        <v>0</v>
      </c>
      <c r="Q585" s="7">
        <v>60637.32</v>
      </c>
      <c r="R585" s="7">
        <v>59199.76</v>
      </c>
      <c r="S585" s="7">
        <v>1437.5599999999977</v>
      </c>
      <c r="T585" s="7" t="s">
        <v>823</v>
      </c>
      <c r="U585" s="7"/>
    </row>
    <row r="586" spans="1:21" x14ac:dyDescent="0.25">
      <c r="A586" s="7" t="s">
        <v>611</v>
      </c>
      <c r="B586" s="7" t="s">
        <v>807</v>
      </c>
      <c r="C586" s="7">
        <v>44802</v>
      </c>
      <c r="D586" s="7">
        <v>44805</v>
      </c>
      <c r="E586" s="7" t="s">
        <v>13</v>
      </c>
      <c r="F586" s="7" t="s">
        <v>18</v>
      </c>
      <c r="G586" s="7">
        <v>706</v>
      </c>
      <c r="H586" s="7">
        <v>65.33</v>
      </c>
      <c r="I586" s="7">
        <v>62.06</v>
      </c>
      <c r="J586" s="7">
        <v>60</v>
      </c>
      <c r="K586" s="7" t="s">
        <v>27</v>
      </c>
      <c r="L586" s="7">
        <v>3</v>
      </c>
      <c r="M586" s="7">
        <v>11</v>
      </c>
      <c r="N586" s="7">
        <v>0</v>
      </c>
      <c r="O586" s="7" t="s">
        <v>824</v>
      </c>
      <c r="P586" s="7">
        <v>0</v>
      </c>
      <c r="Q586" s="7">
        <v>46122.979999999996</v>
      </c>
      <c r="R586" s="7">
        <v>43814.36</v>
      </c>
      <c r="S586" s="7">
        <v>2308.6199999999953</v>
      </c>
      <c r="T586" s="7" t="s">
        <v>823</v>
      </c>
      <c r="U586" s="7"/>
    </row>
    <row r="587" spans="1:21" x14ac:dyDescent="0.25">
      <c r="A587" s="7" t="s">
        <v>612</v>
      </c>
      <c r="B587" s="7" t="s">
        <v>806</v>
      </c>
      <c r="C587" s="7">
        <v>45250</v>
      </c>
      <c r="D587" s="7">
        <v>45260</v>
      </c>
      <c r="E587" s="7" t="s">
        <v>21</v>
      </c>
      <c r="F587" s="7" t="s">
        <v>14</v>
      </c>
      <c r="G587" s="7">
        <v>169</v>
      </c>
      <c r="H587" s="7">
        <v>47.16</v>
      </c>
      <c r="I587" s="7">
        <v>43.4</v>
      </c>
      <c r="J587" s="7"/>
      <c r="K587" s="7" t="s">
        <v>15</v>
      </c>
      <c r="L587" s="7">
        <v>10</v>
      </c>
      <c r="M587" s="7">
        <v>11</v>
      </c>
      <c r="N587" s="7">
        <v>0</v>
      </c>
      <c r="O587" s="7" t="s">
        <v>822</v>
      </c>
      <c r="P587" s="7">
        <v>1</v>
      </c>
      <c r="Q587" s="7">
        <v>7970.0399999999991</v>
      </c>
      <c r="R587" s="7">
        <v>7334.5999999999995</v>
      </c>
      <c r="S587" s="7">
        <v>635.4399999999996</v>
      </c>
      <c r="T587" s="7" t="s">
        <v>823</v>
      </c>
      <c r="U587" s="7"/>
    </row>
    <row r="588" spans="1:21" x14ac:dyDescent="0.25">
      <c r="A588" s="7" t="s">
        <v>613</v>
      </c>
      <c r="B588" s="7" t="s">
        <v>806</v>
      </c>
      <c r="C588" s="7">
        <v>44879</v>
      </c>
      <c r="D588" s="7">
        <v>44885</v>
      </c>
      <c r="E588" s="7" t="s">
        <v>13</v>
      </c>
      <c r="F588" s="7" t="s">
        <v>35</v>
      </c>
      <c r="G588" s="7">
        <v>880</v>
      </c>
      <c r="H588" s="7">
        <v>19.149999999999999</v>
      </c>
      <c r="I588" s="7">
        <v>18.690000000000001</v>
      </c>
      <c r="J588" s="7"/>
      <c r="K588" s="7" t="s">
        <v>27</v>
      </c>
      <c r="L588" s="7">
        <v>6</v>
      </c>
      <c r="M588" s="7">
        <v>11</v>
      </c>
      <c r="N588" s="7">
        <v>0</v>
      </c>
      <c r="O588" s="7" t="s">
        <v>822</v>
      </c>
      <c r="P588" s="7">
        <v>1</v>
      </c>
      <c r="Q588" s="7">
        <v>16852</v>
      </c>
      <c r="R588" s="7">
        <v>16447.2</v>
      </c>
      <c r="S588" s="7">
        <v>404.79999999999927</v>
      </c>
      <c r="T588" s="7" t="s">
        <v>823</v>
      </c>
      <c r="U588" s="7"/>
    </row>
    <row r="589" spans="1:21" x14ac:dyDescent="0.25">
      <c r="A589" s="7" t="s">
        <v>614</v>
      </c>
      <c r="B589" s="7" t="s">
        <v>806</v>
      </c>
      <c r="C589" s="7">
        <v>44792</v>
      </c>
      <c r="D589" s="7">
        <v>44798</v>
      </c>
      <c r="E589" s="7" t="s">
        <v>21</v>
      </c>
      <c r="F589" s="7" t="s">
        <v>18</v>
      </c>
      <c r="G589" s="7">
        <v>1860</v>
      </c>
      <c r="H589" s="7">
        <v>95.8</v>
      </c>
      <c r="I589" s="7">
        <v>92.17</v>
      </c>
      <c r="J589" s="7">
        <v>105</v>
      </c>
      <c r="K589" s="7" t="s">
        <v>27</v>
      </c>
      <c r="L589" s="7">
        <v>6</v>
      </c>
      <c r="M589" s="7">
        <v>11</v>
      </c>
      <c r="N589" s="7">
        <v>0</v>
      </c>
      <c r="O589" s="7" t="s">
        <v>824</v>
      </c>
      <c r="P589" s="7">
        <v>0</v>
      </c>
      <c r="Q589" s="7">
        <v>178188</v>
      </c>
      <c r="R589" s="7">
        <v>171436.2</v>
      </c>
      <c r="S589" s="7">
        <v>6751.7999999999884</v>
      </c>
      <c r="T589" s="7" t="s">
        <v>823</v>
      </c>
      <c r="U589" s="7"/>
    </row>
    <row r="590" spans="1:21" x14ac:dyDescent="0.25">
      <c r="A590" s="7" t="s">
        <v>615</v>
      </c>
      <c r="B590" s="7" t="s">
        <v>805</v>
      </c>
      <c r="C590" s="7">
        <v>44765</v>
      </c>
      <c r="D590" s="7">
        <v>44782</v>
      </c>
      <c r="E590" s="7" t="s">
        <v>21</v>
      </c>
      <c r="F590" s="7" t="s">
        <v>18</v>
      </c>
      <c r="G590" s="7">
        <v>1677</v>
      </c>
      <c r="H590" s="7">
        <v>22.98</v>
      </c>
      <c r="I590" s="7">
        <v>21.71</v>
      </c>
      <c r="J590" s="7">
        <v>246</v>
      </c>
      <c r="K590" s="7" t="s">
        <v>15</v>
      </c>
      <c r="L590" s="7">
        <v>17</v>
      </c>
      <c r="M590" s="7">
        <v>11</v>
      </c>
      <c r="N590" s="7">
        <v>6</v>
      </c>
      <c r="O590" s="7" t="s">
        <v>824</v>
      </c>
      <c r="P590" s="7">
        <v>0</v>
      </c>
      <c r="Q590" s="7">
        <v>38537.46</v>
      </c>
      <c r="R590" s="7">
        <v>36407.67</v>
      </c>
      <c r="S590" s="7">
        <v>2129.7900000000009</v>
      </c>
      <c r="T590" s="7" t="s">
        <v>825</v>
      </c>
      <c r="U590" s="7"/>
    </row>
    <row r="591" spans="1:21" x14ac:dyDescent="0.25">
      <c r="A591" s="7" t="s">
        <v>616</v>
      </c>
      <c r="B591" s="7" t="s">
        <v>807</v>
      </c>
      <c r="C591" s="7">
        <v>44712</v>
      </c>
      <c r="D591" s="7">
        <v>44719</v>
      </c>
      <c r="E591" s="7" t="s">
        <v>24</v>
      </c>
      <c r="F591" s="7" t="s">
        <v>33</v>
      </c>
      <c r="G591" s="7">
        <v>1131</v>
      </c>
      <c r="H591" s="7">
        <v>97.43</v>
      </c>
      <c r="I591" s="7">
        <v>91.28</v>
      </c>
      <c r="J591" s="7">
        <v>103</v>
      </c>
      <c r="K591" s="7" t="s">
        <v>15</v>
      </c>
      <c r="L591" s="7">
        <v>7</v>
      </c>
      <c r="M591" s="7">
        <v>11</v>
      </c>
      <c r="N591" s="7">
        <v>0</v>
      </c>
      <c r="O591" s="7" t="s">
        <v>824</v>
      </c>
      <c r="P591" s="7">
        <v>0</v>
      </c>
      <c r="Q591" s="7">
        <v>110193.33</v>
      </c>
      <c r="R591" s="7">
        <v>103237.68000000001</v>
      </c>
      <c r="S591" s="7">
        <v>6955.6499999999942</v>
      </c>
      <c r="T591" s="7" t="s">
        <v>823</v>
      </c>
      <c r="U591" s="7"/>
    </row>
    <row r="592" spans="1:21" x14ac:dyDescent="0.25">
      <c r="A592" s="7" t="s">
        <v>617</v>
      </c>
      <c r="B592" s="7" t="s">
        <v>808</v>
      </c>
      <c r="C592" s="7">
        <v>44587</v>
      </c>
      <c r="D592" s="7">
        <v>44595</v>
      </c>
      <c r="E592" s="7" t="s">
        <v>26</v>
      </c>
      <c r="F592" s="7" t="s">
        <v>14</v>
      </c>
      <c r="G592" s="7">
        <v>1419</v>
      </c>
      <c r="H592" s="7">
        <v>50.14</v>
      </c>
      <c r="I592" s="7">
        <v>43.46</v>
      </c>
      <c r="J592" s="7"/>
      <c r="K592" s="7" t="s">
        <v>15</v>
      </c>
      <c r="L592" s="7">
        <v>8</v>
      </c>
      <c r="M592" s="7">
        <v>11</v>
      </c>
      <c r="N592" s="7">
        <v>0</v>
      </c>
      <c r="O592" s="7" t="s">
        <v>822</v>
      </c>
      <c r="P592" s="7">
        <v>1</v>
      </c>
      <c r="Q592" s="7">
        <v>71148.66</v>
      </c>
      <c r="R592" s="7">
        <v>61669.74</v>
      </c>
      <c r="S592" s="7">
        <v>9478.9200000000055</v>
      </c>
      <c r="T592" s="7" t="s">
        <v>823</v>
      </c>
      <c r="U592" s="7"/>
    </row>
    <row r="593" spans="1:21" x14ac:dyDescent="0.25">
      <c r="A593" s="7" t="s">
        <v>618</v>
      </c>
      <c r="B593" s="7" t="s">
        <v>805</v>
      </c>
      <c r="C593" s="7">
        <v>44609</v>
      </c>
      <c r="D593" s="7">
        <v>44610</v>
      </c>
      <c r="E593" s="7" t="s">
        <v>26</v>
      </c>
      <c r="F593" s="7" t="s">
        <v>35</v>
      </c>
      <c r="G593" s="7">
        <v>790</v>
      </c>
      <c r="H593" s="7">
        <v>26.8</v>
      </c>
      <c r="I593" s="7">
        <v>25.62</v>
      </c>
      <c r="J593" s="7">
        <v>115</v>
      </c>
      <c r="K593" s="7" t="s">
        <v>15</v>
      </c>
      <c r="L593" s="7">
        <v>1</v>
      </c>
      <c r="M593" s="7">
        <v>11</v>
      </c>
      <c r="N593" s="7">
        <v>0</v>
      </c>
      <c r="O593" s="7" t="s">
        <v>824</v>
      </c>
      <c r="P593" s="7">
        <v>0</v>
      </c>
      <c r="Q593" s="7">
        <v>21172</v>
      </c>
      <c r="R593" s="7">
        <v>20239.8</v>
      </c>
      <c r="S593" s="7">
        <v>932.20000000000073</v>
      </c>
      <c r="T593" s="7" t="s">
        <v>823</v>
      </c>
      <c r="U593" s="7"/>
    </row>
    <row r="594" spans="1:21" x14ac:dyDescent="0.25">
      <c r="A594" s="7" t="s">
        <v>619</v>
      </c>
      <c r="B594" s="7" t="s">
        <v>806</v>
      </c>
      <c r="C594" s="7">
        <v>44812</v>
      </c>
      <c r="D594" s="7">
        <v>44831</v>
      </c>
      <c r="E594" s="7" t="s">
        <v>21</v>
      </c>
      <c r="F594" s="7" t="s">
        <v>35</v>
      </c>
      <c r="G594" s="7">
        <v>1547</v>
      </c>
      <c r="H594" s="7">
        <v>61.12</v>
      </c>
      <c r="I594" s="7">
        <v>53.43</v>
      </c>
      <c r="J594" s="7">
        <v>77</v>
      </c>
      <c r="K594" s="7" t="s">
        <v>15</v>
      </c>
      <c r="L594" s="7">
        <v>19</v>
      </c>
      <c r="M594" s="7">
        <v>11</v>
      </c>
      <c r="N594" s="7">
        <v>8</v>
      </c>
      <c r="O594" s="7" t="s">
        <v>824</v>
      </c>
      <c r="P594" s="7">
        <v>0</v>
      </c>
      <c r="Q594" s="7">
        <v>94552.639999999999</v>
      </c>
      <c r="R594" s="7">
        <v>82656.210000000006</v>
      </c>
      <c r="S594" s="7">
        <v>11896.429999999993</v>
      </c>
      <c r="T594" s="7" t="s">
        <v>825</v>
      </c>
      <c r="U594" s="7"/>
    </row>
    <row r="595" spans="1:21" x14ac:dyDescent="0.25">
      <c r="A595" s="7" t="s">
        <v>620</v>
      </c>
      <c r="B595" s="7" t="s">
        <v>805</v>
      </c>
      <c r="C595" s="7">
        <v>45048</v>
      </c>
      <c r="D595" s="7">
        <v>45066</v>
      </c>
      <c r="E595" s="7" t="s">
        <v>13</v>
      </c>
      <c r="F595" s="7" t="s">
        <v>14</v>
      </c>
      <c r="G595" s="7">
        <v>166</v>
      </c>
      <c r="H595" s="7">
        <v>95.65</v>
      </c>
      <c r="I595" s="7">
        <v>94.48</v>
      </c>
      <c r="J595" s="7">
        <v>23</v>
      </c>
      <c r="K595" s="7" t="s">
        <v>15</v>
      </c>
      <c r="L595" s="7">
        <v>18</v>
      </c>
      <c r="M595" s="7">
        <v>11</v>
      </c>
      <c r="N595" s="7">
        <v>7</v>
      </c>
      <c r="O595" s="7" t="s">
        <v>824</v>
      </c>
      <c r="P595" s="7">
        <v>0</v>
      </c>
      <c r="Q595" s="7">
        <v>15877.900000000001</v>
      </c>
      <c r="R595" s="7">
        <v>15683.68</v>
      </c>
      <c r="S595" s="7">
        <v>194.22000000000116</v>
      </c>
      <c r="T595" s="7" t="s">
        <v>825</v>
      </c>
      <c r="U595" s="7"/>
    </row>
    <row r="596" spans="1:21" x14ac:dyDescent="0.25">
      <c r="A596" s="7" t="s">
        <v>621</v>
      </c>
      <c r="B596" s="7" t="s">
        <v>804</v>
      </c>
      <c r="C596" s="7">
        <v>45187</v>
      </c>
      <c r="D596" s="7">
        <v>45190</v>
      </c>
      <c r="E596" s="7" t="s">
        <v>39</v>
      </c>
      <c r="F596" s="7" t="s">
        <v>18</v>
      </c>
      <c r="G596" s="7">
        <v>1903</v>
      </c>
      <c r="H596" s="7">
        <v>83.49</v>
      </c>
      <c r="I596" s="7">
        <v>82.33</v>
      </c>
      <c r="J596" s="7">
        <v>43</v>
      </c>
      <c r="K596" s="7" t="s">
        <v>15</v>
      </c>
      <c r="L596" s="7">
        <v>3</v>
      </c>
      <c r="M596" s="7">
        <v>11</v>
      </c>
      <c r="N596" s="7">
        <v>0</v>
      </c>
      <c r="O596" s="7" t="s">
        <v>824</v>
      </c>
      <c r="P596" s="7">
        <v>0</v>
      </c>
      <c r="Q596" s="7">
        <v>158881.47</v>
      </c>
      <c r="R596" s="7">
        <v>156673.99</v>
      </c>
      <c r="S596" s="7">
        <v>2207.4800000000105</v>
      </c>
      <c r="T596" s="7" t="s">
        <v>823</v>
      </c>
      <c r="U596" s="7"/>
    </row>
    <row r="597" spans="1:21" x14ac:dyDescent="0.25">
      <c r="A597" s="7" t="s">
        <v>622</v>
      </c>
      <c r="B597" s="7" t="s">
        <v>805</v>
      </c>
      <c r="C597" s="7">
        <v>44636</v>
      </c>
      <c r="D597" s="7">
        <v>44649</v>
      </c>
      <c r="E597" s="7" t="s">
        <v>13</v>
      </c>
      <c r="F597" s="7" t="s">
        <v>33</v>
      </c>
      <c r="G597" s="7">
        <v>840</v>
      </c>
      <c r="H597" s="7">
        <v>83.42</v>
      </c>
      <c r="I597" s="7">
        <v>80.349999999999994</v>
      </c>
      <c r="J597" s="7">
        <v>153</v>
      </c>
      <c r="K597" s="7" t="s">
        <v>15</v>
      </c>
      <c r="L597" s="7">
        <v>13</v>
      </c>
      <c r="M597" s="7">
        <v>11</v>
      </c>
      <c r="N597" s="7">
        <v>2</v>
      </c>
      <c r="O597" s="7" t="s">
        <v>824</v>
      </c>
      <c r="P597" s="7">
        <v>0</v>
      </c>
      <c r="Q597" s="7">
        <v>70072.800000000003</v>
      </c>
      <c r="R597" s="7">
        <v>67494</v>
      </c>
      <c r="S597" s="7">
        <v>2578.8000000000029</v>
      </c>
      <c r="T597" s="7" t="s">
        <v>826</v>
      </c>
      <c r="U597" s="7"/>
    </row>
    <row r="598" spans="1:21" x14ac:dyDescent="0.25">
      <c r="A598" s="7" t="s">
        <v>623</v>
      </c>
      <c r="B598" s="7" t="s">
        <v>805</v>
      </c>
      <c r="C598" s="7">
        <v>45028</v>
      </c>
      <c r="D598" s="7">
        <v>45039</v>
      </c>
      <c r="E598" s="7" t="s">
        <v>21</v>
      </c>
      <c r="F598" s="7" t="s">
        <v>18</v>
      </c>
      <c r="G598" s="7">
        <v>1200</v>
      </c>
      <c r="H598" s="7">
        <v>74.489999999999995</v>
      </c>
      <c r="I598" s="7">
        <v>64.63</v>
      </c>
      <c r="J598" s="7">
        <v>161</v>
      </c>
      <c r="K598" s="7" t="s">
        <v>15</v>
      </c>
      <c r="L598" s="7">
        <v>11</v>
      </c>
      <c r="M598" s="7">
        <v>11</v>
      </c>
      <c r="N598" s="7">
        <v>0</v>
      </c>
      <c r="O598" s="7" t="s">
        <v>824</v>
      </c>
      <c r="P598" s="7">
        <v>0</v>
      </c>
      <c r="Q598" s="7">
        <v>89388</v>
      </c>
      <c r="R598" s="7">
        <v>77556</v>
      </c>
      <c r="S598" s="7">
        <v>11832</v>
      </c>
      <c r="T598" s="7" t="s">
        <v>823</v>
      </c>
      <c r="U598" s="7"/>
    </row>
    <row r="599" spans="1:21" x14ac:dyDescent="0.25">
      <c r="A599" s="7" t="s">
        <v>624</v>
      </c>
      <c r="B599" s="7" t="s">
        <v>806</v>
      </c>
      <c r="C599" s="7">
        <v>44986</v>
      </c>
      <c r="D599" s="7">
        <v>45003</v>
      </c>
      <c r="E599" s="7" t="s">
        <v>26</v>
      </c>
      <c r="F599" s="7" t="s">
        <v>18</v>
      </c>
      <c r="G599" s="7">
        <v>1466</v>
      </c>
      <c r="H599" s="7">
        <v>77.37</v>
      </c>
      <c r="I599" s="7">
        <v>70.349999999999994</v>
      </c>
      <c r="J599" s="7">
        <v>72</v>
      </c>
      <c r="K599" s="7" t="s">
        <v>15</v>
      </c>
      <c r="L599" s="7">
        <v>17</v>
      </c>
      <c r="M599" s="7">
        <v>11</v>
      </c>
      <c r="N599" s="7">
        <v>6</v>
      </c>
      <c r="O599" s="7" t="s">
        <v>824</v>
      </c>
      <c r="P599" s="7">
        <v>0</v>
      </c>
      <c r="Q599" s="7">
        <v>113424.42000000001</v>
      </c>
      <c r="R599" s="7">
        <v>103133.09999999999</v>
      </c>
      <c r="S599" s="7">
        <v>10291.320000000022</v>
      </c>
      <c r="T599" s="7" t="s">
        <v>825</v>
      </c>
      <c r="U599" s="7"/>
    </row>
    <row r="600" spans="1:21" x14ac:dyDescent="0.25">
      <c r="A600" s="7" t="s">
        <v>625</v>
      </c>
      <c r="B600" s="7" t="s">
        <v>804</v>
      </c>
      <c r="C600" s="7">
        <v>45206</v>
      </c>
      <c r="D600" s="7">
        <v>45220</v>
      </c>
      <c r="E600" s="7" t="s">
        <v>13</v>
      </c>
      <c r="F600" s="7" t="s">
        <v>18</v>
      </c>
      <c r="G600" s="7">
        <v>1981</v>
      </c>
      <c r="H600" s="7">
        <v>95.5</v>
      </c>
      <c r="I600" s="7">
        <v>94.39</v>
      </c>
      <c r="J600" s="7">
        <v>49</v>
      </c>
      <c r="K600" s="7" t="s">
        <v>15</v>
      </c>
      <c r="L600" s="7">
        <v>14</v>
      </c>
      <c r="M600" s="7">
        <v>11</v>
      </c>
      <c r="N600" s="7">
        <v>3</v>
      </c>
      <c r="O600" s="7" t="s">
        <v>824</v>
      </c>
      <c r="P600" s="7">
        <v>0</v>
      </c>
      <c r="Q600" s="7">
        <v>189185.5</v>
      </c>
      <c r="R600" s="7">
        <v>186986.59</v>
      </c>
      <c r="S600" s="7">
        <v>2198.9100000000035</v>
      </c>
      <c r="T600" s="7" t="s">
        <v>826</v>
      </c>
      <c r="U600" s="7"/>
    </row>
    <row r="601" spans="1:21" x14ac:dyDescent="0.25">
      <c r="A601" s="7" t="s">
        <v>626</v>
      </c>
      <c r="B601" s="7" t="s">
        <v>806</v>
      </c>
      <c r="C601" s="7">
        <v>45151</v>
      </c>
      <c r="D601" s="7">
        <v>45154</v>
      </c>
      <c r="E601" s="7" t="s">
        <v>24</v>
      </c>
      <c r="F601" s="7" t="s">
        <v>18</v>
      </c>
      <c r="G601" s="7">
        <v>1062</v>
      </c>
      <c r="H601" s="7">
        <v>35.549999999999997</v>
      </c>
      <c r="I601" s="7">
        <v>32.380000000000003</v>
      </c>
      <c r="J601" s="7"/>
      <c r="K601" s="7" t="s">
        <v>15</v>
      </c>
      <c r="L601" s="7">
        <v>3</v>
      </c>
      <c r="M601" s="7">
        <v>11</v>
      </c>
      <c r="N601" s="7">
        <v>0</v>
      </c>
      <c r="O601" s="7" t="s">
        <v>822</v>
      </c>
      <c r="P601" s="7">
        <v>1</v>
      </c>
      <c r="Q601" s="7">
        <v>37754.1</v>
      </c>
      <c r="R601" s="7">
        <v>34387.560000000005</v>
      </c>
      <c r="S601" s="7">
        <v>3366.5399999999936</v>
      </c>
      <c r="T601" s="7" t="s">
        <v>823</v>
      </c>
      <c r="U601" s="7"/>
    </row>
    <row r="602" spans="1:21" x14ac:dyDescent="0.25">
      <c r="A602" s="7" t="s">
        <v>627</v>
      </c>
      <c r="B602" s="7" t="s">
        <v>804</v>
      </c>
      <c r="C602" s="7">
        <v>44761</v>
      </c>
      <c r="D602" s="7">
        <v>44772</v>
      </c>
      <c r="E602" s="7" t="s">
        <v>21</v>
      </c>
      <c r="F602" s="7" t="s">
        <v>18</v>
      </c>
      <c r="G602" s="7">
        <v>1714</v>
      </c>
      <c r="H602" s="7">
        <v>55.67</v>
      </c>
      <c r="I602" s="7">
        <v>55.09</v>
      </c>
      <c r="J602" s="7">
        <v>42</v>
      </c>
      <c r="K602" s="7" t="s">
        <v>15</v>
      </c>
      <c r="L602" s="7">
        <v>11</v>
      </c>
      <c r="M602" s="7">
        <v>11</v>
      </c>
      <c r="N602" s="7">
        <v>0</v>
      </c>
      <c r="O602" s="7" t="s">
        <v>824</v>
      </c>
      <c r="P602" s="7">
        <v>0</v>
      </c>
      <c r="Q602" s="7">
        <v>95418.38</v>
      </c>
      <c r="R602" s="7">
        <v>94424.260000000009</v>
      </c>
      <c r="S602" s="7">
        <v>994.11999999999534</v>
      </c>
      <c r="T602" s="7" t="s">
        <v>823</v>
      </c>
      <c r="U602" s="7"/>
    </row>
    <row r="603" spans="1:21" x14ac:dyDescent="0.25">
      <c r="A603" s="7" t="s">
        <v>628</v>
      </c>
      <c r="B603" s="7" t="s">
        <v>804</v>
      </c>
      <c r="C603" s="7">
        <v>45275</v>
      </c>
      <c r="D603" s="7">
        <v>45290</v>
      </c>
      <c r="E603" s="7" t="s">
        <v>13</v>
      </c>
      <c r="F603" s="7" t="s">
        <v>18</v>
      </c>
      <c r="G603" s="7">
        <v>1131</v>
      </c>
      <c r="H603" s="7">
        <v>33.35</v>
      </c>
      <c r="I603" s="7">
        <v>31.28</v>
      </c>
      <c r="J603" s="7">
        <v>23</v>
      </c>
      <c r="K603" s="7" t="s">
        <v>15</v>
      </c>
      <c r="L603" s="7">
        <v>15</v>
      </c>
      <c r="M603" s="7">
        <v>11</v>
      </c>
      <c r="N603" s="7">
        <v>4</v>
      </c>
      <c r="O603" s="7" t="s">
        <v>824</v>
      </c>
      <c r="P603" s="7">
        <v>0</v>
      </c>
      <c r="Q603" s="7">
        <v>37718.85</v>
      </c>
      <c r="R603" s="7">
        <v>35377.68</v>
      </c>
      <c r="S603" s="7">
        <v>2341.1699999999983</v>
      </c>
      <c r="T603" s="7" t="s">
        <v>826</v>
      </c>
      <c r="U603" s="7"/>
    </row>
    <row r="604" spans="1:21" x14ac:dyDescent="0.25">
      <c r="A604" s="7" t="s">
        <v>629</v>
      </c>
      <c r="B604" s="7" t="s">
        <v>804</v>
      </c>
      <c r="C604" s="7">
        <v>44955</v>
      </c>
      <c r="D604" s="7">
        <v>44972</v>
      </c>
      <c r="E604" s="7" t="s">
        <v>13</v>
      </c>
      <c r="F604" s="7" t="s">
        <v>18</v>
      </c>
      <c r="G604" s="7">
        <v>683</v>
      </c>
      <c r="H604" s="7">
        <v>104.82</v>
      </c>
      <c r="I604" s="7">
        <v>101.34</v>
      </c>
      <c r="J604" s="7"/>
      <c r="K604" s="7" t="s">
        <v>15</v>
      </c>
      <c r="L604" s="7">
        <v>17</v>
      </c>
      <c r="M604" s="7">
        <v>11</v>
      </c>
      <c r="N604" s="7">
        <v>6</v>
      </c>
      <c r="O604" s="7" t="s">
        <v>824</v>
      </c>
      <c r="P604" s="7">
        <v>0</v>
      </c>
      <c r="Q604" s="7">
        <v>71592.06</v>
      </c>
      <c r="R604" s="7">
        <v>69215.22</v>
      </c>
      <c r="S604" s="7">
        <v>2376.8399999999965</v>
      </c>
      <c r="T604" s="7" t="s">
        <v>825</v>
      </c>
      <c r="U604" s="7"/>
    </row>
    <row r="605" spans="1:21" x14ac:dyDescent="0.25">
      <c r="A605" s="7" t="s">
        <v>630</v>
      </c>
      <c r="B605" s="7" t="s">
        <v>806</v>
      </c>
      <c r="C605" s="7">
        <v>45068</v>
      </c>
      <c r="D605" s="7">
        <v>45086</v>
      </c>
      <c r="E605" s="7" t="s">
        <v>24</v>
      </c>
      <c r="F605" s="7" t="s">
        <v>33</v>
      </c>
      <c r="G605" s="7">
        <v>562</v>
      </c>
      <c r="H605" s="7">
        <v>102.56</v>
      </c>
      <c r="I605" s="7">
        <v>90.88</v>
      </c>
      <c r="J605" s="7">
        <v>38</v>
      </c>
      <c r="K605" s="7" t="s">
        <v>15</v>
      </c>
      <c r="L605" s="7">
        <v>18</v>
      </c>
      <c r="M605" s="7">
        <v>11</v>
      </c>
      <c r="N605" s="7">
        <v>7</v>
      </c>
      <c r="O605" s="7" t="s">
        <v>824</v>
      </c>
      <c r="P605" s="7">
        <v>0</v>
      </c>
      <c r="Q605" s="7">
        <v>57638.720000000001</v>
      </c>
      <c r="R605" s="7">
        <v>51074.559999999998</v>
      </c>
      <c r="S605" s="7">
        <v>6564.1600000000035</v>
      </c>
      <c r="T605" s="7" t="s">
        <v>825</v>
      </c>
      <c r="U605" s="7"/>
    </row>
    <row r="606" spans="1:21" x14ac:dyDescent="0.25">
      <c r="A606" s="7" t="s">
        <v>631</v>
      </c>
      <c r="B606" s="7" t="s">
        <v>804</v>
      </c>
      <c r="C606" s="7">
        <v>44971</v>
      </c>
      <c r="D606" s="7">
        <v>44977</v>
      </c>
      <c r="E606" s="7" t="s">
        <v>39</v>
      </c>
      <c r="F606" s="7" t="s">
        <v>18</v>
      </c>
      <c r="G606" s="7">
        <v>1824</v>
      </c>
      <c r="H606" s="7">
        <v>14.43</v>
      </c>
      <c r="I606" s="7">
        <v>14.11</v>
      </c>
      <c r="J606" s="7">
        <v>36</v>
      </c>
      <c r="K606" s="7" t="s">
        <v>15</v>
      </c>
      <c r="L606" s="7">
        <v>6</v>
      </c>
      <c r="M606" s="7">
        <v>11</v>
      </c>
      <c r="N606" s="7">
        <v>0</v>
      </c>
      <c r="O606" s="7" t="s">
        <v>824</v>
      </c>
      <c r="P606" s="7">
        <v>0</v>
      </c>
      <c r="Q606" s="7">
        <v>26320.32</v>
      </c>
      <c r="R606" s="7">
        <v>25736.639999999999</v>
      </c>
      <c r="S606" s="7">
        <v>583.68000000000029</v>
      </c>
      <c r="T606" s="7" t="s">
        <v>823</v>
      </c>
      <c r="U606" s="7"/>
    </row>
    <row r="607" spans="1:21" x14ac:dyDescent="0.25">
      <c r="A607" s="7" t="s">
        <v>632</v>
      </c>
      <c r="B607" s="7" t="s">
        <v>807</v>
      </c>
      <c r="C607" s="7">
        <v>44811</v>
      </c>
      <c r="D607" s="7">
        <v>44816</v>
      </c>
      <c r="E607" s="7" t="s">
        <v>39</v>
      </c>
      <c r="F607" s="7" t="s">
        <v>33</v>
      </c>
      <c r="G607" s="7">
        <v>851</v>
      </c>
      <c r="H607" s="7">
        <v>76.44</v>
      </c>
      <c r="I607" s="7">
        <v>74.760000000000005</v>
      </c>
      <c r="J607" s="7">
        <v>91</v>
      </c>
      <c r="K607" s="7" t="s">
        <v>15</v>
      </c>
      <c r="L607" s="7">
        <v>5</v>
      </c>
      <c r="M607" s="7">
        <v>11</v>
      </c>
      <c r="N607" s="7">
        <v>0</v>
      </c>
      <c r="O607" s="7" t="s">
        <v>824</v>
      </c>
      <c r="P607" s="7">
        <v>0</v>
      </c>
      <c r="Q607" s="7">
        <v>65050.439999999995</v>
      </c>
      <c r="R607" s="7">
        <v>63620.76</v>
      </c>
      <c r="S607" s="7">
        <v>1429.679999999993</v>
      </c>
      <c r="T607" s="7" t="s">
        <v>823</v>
      </c>
      <c r="U607" s="7"/>
    </row>
    <row r="608" spans="1:21" x14ac:dyDescent="0.25">
      <c r="A608" s="7" t="s">
        <v>633</v>
      </c>
      <c r="B608" s="7" t="s">
        <v>807</v>
      </c>
      <c r="C608" s="7">
        <v>44713</v>
      </c>
      <c r="D608" s="7">
        <v>44715</v>
      </c>
      <c r="E608" s="7" t="s">
        <v>13</v>
      </c>
      <c r="F608" s="7" t="s">
        <v>18</v>
      </c>
      <c r="G608" s="7">
        <v>1169</v>
      </c>
      <c r="H608" s="7">
        <v>95.6</v>
      </c>
      <c r="I608" s="7">
        <v>82.16</v>
      </c>
      <c r="J608" s="7">
        <v>103</v>
      </c>
      <c r="K608" s="7" t="s">
        <v>15</v>
      </c>
      <c r="L608" s="7">
        <v>2</v>
      </c>
      <c r="M608" s="7">
        <v>11</v>
      </c>
      <c r="N608" s="7">
        <v>0</v>
      </c>
      <c r="O608" s="7" t="s">
        <v>824</v>
      </c>
      <c r="P608" s="7">
        <v>0</v>
      </c>
      <c r="Q608" s="7">
        <v>111756.4</v>
      </c>
      <c r="R608" s="7">
        <v>96045.04</v>
      </c>
      <c r="S608" s="7">
        <v>15711.36</v>
      </c>
      <c r="T608" s="7" t="s">
        <v>823</v>
      </c>
      <c r="U608" s="7"/>
    </row>
    <row r="609" spans="1:21" x14ac:dyDescent="0.25">
      <c r="A609" s="7" t="s">
        <v>634</v>
      </c>
      <c r="B609" s="7" t="s">
        <v>808</v>
      </c>
      <c r="C609" s="7">
        <v>45233</v>
      </c>
      <c r="D609" s="7">
        <v>45250</v>
      </c>
      <c r="E609" s="7" t="s">
        <v>21</v>
      </c>
      <c r="F609" s="7" t="s">
        <v>18</v>
      </c>
      <c r="G609" s="7">
        <v>1711</v>
      </c>
      <c r="H609" s="7">
        <v>29.14</v>
      </c>
      <c r="I609" s="7">
        <v>26.35</v>
      </c>
      <c r="J609" s="7">
        <v>48</v>
      </c>
      <c r="K609" s="7" t="s">
        <v>15</v>
      </c>
      <c r="L609" s="7">
        <v>17</v>
      </c>
      <c r="M609" s="7">
        <v>11</v>
      </c>
      <c r="N609" s="7">
        <v>6</v>
      </c>
      <c r="O609" s="7" t="s">
        <v>824</v>
      </c>
      <c r="P609" s="7">
        <v>0</v>
      </c>
      <c r="Q609" s="7">
        <v>49858.54</v>
      </c>
      <c r="R609" s="7">
        <v>45084.850000000006</v>
      </c>
      <c r="S609" s="7">
        <v>4773.6899999999951</v>
      </c>
      <c r="T609" s="7" t="s">
        <v>825</v>
      </c>
      <c r="U609" s="7"/>
    </row>
    <row r="610" spans="1:21" x14ac:dyDescent="0.25">
      <c r="A610" s="7" t="s">
        <v>635</v>
      </c>
      <c r="B610" s="7" t="s">
        <v>807</v>
      </c>
      <c r="C610" s="7">
        <v>45266</v>
      </c>
      <c r="D610" s="7">
        <v>45272</v>
      </c>
      <c r="E610" s="7" t="s">
        <v>24</v>
      </c>
      <c r="F610" s="7" t="s">
        <v>35</v>
      </c>
      <c r="G610" s="7">
        <v>1191</v>
      </c>
      <c r="H610" s="7">
        <v>68.14</v>
      </c>
      <c r="I610" s="7">
        <v>61.71</v>
      </c>
      <c r="J610" s="7">
        <v>112</v>
      </c>
      <c r="K610" s="7" t="s">
        <v>15</v>
      </c>
      <c r="L610" s="7">
        <v>6</v>
      </c>
      <c r="M610" s="7">
        <v>11</v>
      </c>
      <c r="N610" s="7">
        <v>0</v>
      </c>
      <c r="O610" s="7" t="s">
        <v>824</v>
      </c>
      <c r="P610" s="7">
        <v>0</v>
      </c>
      <c r="Q610" s="7">
        <v>81154.740000000005</v>
      </c>
      <c r="R610" s="7">
        <v>73496.61</v>
      </c>
      <c r="S610" s="7">
        <v>7658.1300000000047</v>
      </c>
      <c r="T610" s="7" t="s">
        <v>823</v>
      </c>
      <c r="U610" s="7"/>
    </row>
    <row r="611" spans="1:21" x14ac:dyDescent="0.25">
      <c r="A611" s="7" t="s">
        <v>636</v>
      </c>
      <c r="B611" s="7" t="s">
        <v>808</v>
      </c>
      <c r="C611" s="7">
        <v>44567</v>
      </c>
      <c r="D611" s="7">
        <v>44575</v>
      </c>
      <c r="E611" s="7" t="s">
        <v>39</v>
      </c>
      <c r="F611" s="7" t="s">
        <v>18</v>
      </c>
      <c r="G611" s="7">
        <v>609</v>
      </c>
      <c r="H611" s="7">
        <v>92.39</v>
      </c>
      <c r="I611" s="7">
        <v>82.75</v>
      </c>
      <c r="J611" s="7">
        <v>29</v>
      </c>
      <c r="K611" s="7" t="s">
        <v>15</v>
      </c>
      <c r="L611" s="7">
        <v>8</v>
      </c>
      <c r="M611" s="7">
        <v>11</v>
      </c>
      <c r="N611" s="7">
        <v>0</v>
      </c>
      <c r="O611" s="7" t="s">
        <v>824</v>
      </c>
      <c r="P611" s="7">
        <v>0</v>
      </c>
      <c r="Q611" s="7">
        <v>56265.51</v>
      </c>
      <c r="R611" s="7">
        <v>50394.75</v>
      </c>
      <c r="S611" s="7">
        <v>5870.760000000002</v>
      </c>
      <c r="T611" s="7" t="s">
        <v>823</v>
      </c>
      <c r="U611" s="7"/>
    </row>
    <row r="612" spans="1:21" x14ac:dyDescent="0.25">
      <c r="A612" s="7" t="s">
        <v>637</v>
      </c>
      <c r="B612" s="7" t="s">
        <v>807</v>
      </c>
      <c r="C612" s="7">
        <v>44671</v>
      </c>
      <c r="D612" s="7">
        <v>44688</v>
      </c>
      <c r="E612" s="7" t="s">
        <v>13</v>
      </c>
      <c r="F612" s="7" t="s">
        <v>18</v>
      </c>
      <c r="G612" s="7">
        <v>1674</v>
      </c>
      <c r="H612" s="7">
        <v>13.25</v>
      </c>
      <c r="I612" s="7">
        <v>11.77</v>
      </c>
      <c r="J612" s="7">
        <v>181</v>
      </c>
      <c r="K612" s="7" t="s">
        <v>15</v>
      </c>
      <c r="L612" s="7">
        <v>17</v>
      </c>
      <c r="M612" s="7">
        <v>11</v>
      </c>
      <c r="N612" s="7">
        <v>6</v>
      </c>
      <c r="O612" s="7" t="s">
        <v>824</v>
      </c>
      <c r="P612" s="7">
        <v>0</v>
      </c>
      <c r="Q612" s="7">
        <v>22180.5</v>
      </c>
      <c r="R612" s="7">
        <v>19702.98</v>
      </c>
      <c r="S612" s="7">
        <v>2477.5200000000004</v>
      </c>
      <c r="T612" s="7" t="s">
        <v>825</v>
      </c>
      <c r="U612" s="7"/>
    </row>
    <row r="613" spans="1:21" x14ac:dyDescent="0.25">
      <c r="A613" s="7" t="s">
        <v>638</v>
      </c>
      <c r="B613" s="7" t="s">
        <v>806</v>
      </c>
      <c r="C613" s="7">
        <v>44997</v>
      </c>
      <c r="D613" s="7">
        <v>45000</v>
      </c>
      <c r="E613" s="7" t="s">
        <v>21</v>
      </c>
      <c r="F613" s="7" t="s">
        <v>18</v>
      </c>
      <c r="G613" s="7">
        <v>537</v>
      </c>
      <c r="H613" s="7">
        <v>77.86</v>
      </c>
      <c r="I613" s="7">
        <v>71.180000000000007</v>
      </c>
      <c r="J613" s="7">
        <v>20</v>
      </c>
      <c r="K613" s="7" t="s">
        <v>15</v>
      </c>
      <c r="L613" s="7">
        <v>3</v>
      </c>
      <c r="M613" s="7">
        <v>11</v>
      </c>
      <c r="N613" s="7">
        <v>0</v>
      </c>
      <c r="O613" s="7" t="s">
        <v>824</v>
      </c>
      <c r="P613" s="7">
        <v>0</v>
      </c>
      <c r="Q613" s="7">
        <v>41810.82</v>
      </c>
      <c r="R613" s="7">
        <v>38223.660000000003</v>
      </c>
      <c r="S613" s="7">
        <v>3587.1599999999962</v>
      </c>
      <c r="T613" s="7" t="s">
        <v>823</v>
      </c>
      <c r="U613" s="7"/>
    </row>
    <row r="614" spans="1:21" x14ac:dyDescent="0.25">
      <c r="A614" s="7" t="s">
        <v>639</v>
      </c>
      <c r="B614" s="7" t="s">
        <v>808</v>
      </c>
      <c r="C614" s="7">
        <v>44786</v>
      </c>
      <c r="D614" s="7">
        <v>44804</v>
      </c>
      <c r="E614" s="7" t="s">
        <v>39</v>
      </c>
      <c r="F614" s="7" t="s">
        <v>18</v>
      </c>
      <c r="G614" s="7">
        <v>1310</v>
      </c>
      <c r="H614" s="7">
        <v>38.049999999999997</v>
      </c>
      <c r="I614" s="7">
        <v>37</v>
      </c>
      <c r="J614" s="7">
        <v>45</v>
      </c>
      <c r="K614" s="7" t="s">
        <v>15</v>
      </c>
      <c r="L614" s="7">
        <v>18</v>
      </c>
      <c r="M614" s="7">
        <v>11</v>
      </c>
      <c r="N614" s="7">
        <v>7</v>
      </c>
      <c r="O614" s="7" t="s">
        <v>824</v>
      </c>
      <c r="P614" s="7">
        <v>0</v>
      </c>
      <c r="Q614" s="7">
        <v>49845.499999999993</v>
      </c>
      <c r="R614" s="7">
        <v>48470</v>
      </c>
      <c r="S614" s="7">
        <v>1375.4999999999927</v>
      </c>
      <c r="T614" s="7" t="s">
        <v>825</v>
      </c>
      <c r="U614" s="7"/>
    </row>
    <row r="615" spans="1:21" x14ac:dyDescent="0.25">
      <c r="A615" s="7" t="s">
        <v>640</v>
      </c>
      <c r="B615" s="7" t="s">
        <v>805</v>
      </c>
      <c r="C615" s="7">
        <v>44742</v>
      </c>
      <c r="D615" s="7">
        <v>44752</v>
      </c>
      <c r="E615" s="7" t="s">
        <v>26</v>
      </c>
      <c r="F615" s="7" t="s">
        <v>18</v>
      </c>
      <c r="G615" s="7">
        <v>1958</v>
      </c>
      <c r="H615" s="7">
        <v>95.53</v>
      </c>
      <c r="I615" s="7">
        <v>91.72</v>
      </c>
      <c r="J615" s="7">
        <v>308</v>
      </c>
      <c r="K615" s="7" t="s">
        <v>15</v>
      </c>
      <c r="L615" s="7">
        <v>10</v>
      </c>
      <c r="M615" s="7">
        <v>11</v>
      </c>
      <c r="N615" s="7">
        <v>0</v>
      </c>
      <c r="O615" s="7" t="s">
        <v>824</v>
      </c>
      <c r="P615" s="7">
        <v>0</v>
      </c>
      <c r="Q615" s="7">
        <v>187047.74</v>
      </c>
      <c r="R615" s="7">
        <v>179587.76</v>
      </c>
      <c r="S615" s="7">
        <v>7459.9799999999814</v>
      </c>
      <c r="T615" s="7" t="s">
        <v>823</v>
      </c>
      <c r="U615" s="7"/>
    </row>
    <row r="616" spans="1:21" x14ac:dyDescent="0.25">
      <c r="A616" s="7" t="s">
        <v>641</v>
      </c>
      <c r="B616" s="7" t="s">
        <v>805</v>
      </c>
      <c r="C616" s="7">
        <v>45274</v>
      </c>
      <c r="D616" s="7">
        <v>45277</v>
      </c>
      <c r="E616" s="7" t="s">
        <v>13</v>
      </c>
      <c r="F616" s="7" t="s">
        <v>18</v>
      </c>
      <c r="G616" s="7">
        <v>946</v>
      </c>
      <c r="H616" s="7">
        <v>108.6</v>
      </c>
      <c r="I616" s="7">
        <v>101.78</v>
      </c>
      <c r="J616" s="7">
        <v>146</v>
      </c>
      <c r="K616" s="7" t="s">
        <v>15</v>
      </c>
      <c r="L616" s="7">
        <v>3</v>
      </c>
      <c r="M616" s="7">
        <v>11</v>
      </c>
      <c r="N616" s="7">
        <v>0</v>
      </c>
      <c r="O616" s="7" t="s">
        <v>824</v>
      </c>
      <c r="P616" s="7">
        <v>0</v>
      </c>
      <c r="Q616" s="7">
        <v>102735.59999999999</v>
      </c>
      <c r="R616" s="7">
        <v>96283.88</v>
      </c>
      <c r="S616" s="7">
        <v>6451.7199999999866</v>
      </c>
      <c r="T616" s="7" t="s">
        <v>823</v>
      </c>
      <c r="U616" s="7"/>
    </row>
    <row r="617" spans="1:21" x14ac:dyDescent="0.25">
      <c r="A617" s="7" t="s">
        <v>642</v>
      </c>
      <c r="B617" s="7" t="s">
        <v>807</v>
      </c>
      <c r="C617" s="7">
        <v>45092</v>
      </c>
      <c r="D617" s="7">
        <v>45098</v>
      </c>
      <c r="E617" s="7" t="s">
        <v>24</v>
      </c>
      <c r="F617" s="7" t="s">
        <v>33</v>
      </c>
      <c r="G617" s="7">
        <v>1345</v>
      </c>
      <c r="H617" s="7">
        <v>103.06</v>
      </c>
      <c r="I617" s="7">
        <v>95.14</v>
      </c>
      <c r="J617" s="7"/>
      <c r="K617" s="7" t="s">
        <v>15</v>
      </c>
      <c r="L617" s="7">
        <v>6</v>
      </c>
      <c r="M617" s="7">
        <v>11</v>
      </c>
      <c r="N617" s="7">
        <v>0</v>
      </c>
      <c r="O617" s="7" t="s">
        <v>822</v>
      </c>
      <c r="P617" s="7">
        <v>1</v>
      </c>
      <c r="Q617" s="7">
        <v>138615.70000000001</v>
      </c>
      <c r="R617" s="7">
        <v>127963.3</v>
      </c>
      <c r="S617" s="7">
        <v>10652.400000000009</v>
      </c>
      <c r="T617" s="7" t="s">
        <v>823</v>
      </c>
      <c r="U617" s="7"/>
    </row>
    <row r="618" spans="1:21" x14ac:dyDescent="0.25">
      <c r="A618" s="7" t="s">
        <v>643</v>
      </c>
      <c r="B618" s="7" t="s">
        <v>805</v>
      </c>
      <c r="C618" s="7">
        <v>45037</v>
      </c>
      <c r="D618" s="7">
        <v>45056</v>
      </c>
      <c r="E618" s="7" t="s">
        <v>21</v>
      </c>
      <c r="F618" s="7" t="s">
        <v>18</v>
      </c>
      <c r="G618" s="7">
        <v>1262</v>
      </c>
      <c r="H618" s="7">
        <v>56.63</v>
      </c>
      <c r="I618" s="7">
        <v>51.46</v>
      </c>
      <c r="J618" s="7"/>
      <c r="K618" s="7" t="s">
        <v>27</v>
      </c>
      <c r="L618" s="7">
        <v>19</v>
      </c>
      <c r="M618" s="7">
        <v>11</v>
      </c>
      <c r="N618" s="7">
        <v>8</v>
      </c>
      <c r="O618" s="7" t="s">
        <v>824</v>
      </c>
      <c r="P618" s="7">
        <v>0</v>
      </c>
      <c r="Q618" s="7">
        <v>71467.06</v>
      </c>
      <c r="R618" s="7">
        <v>64942.520000000004</v>
      </c>
      <c r="S618" s="7">
        <v>6524.5399999999936</v>
      </c>
      <c r="T618" s="7" t="s">
        <v>825</v>
      </c>
      <c r="U618" s="7"/>
    </row>
    <row r="619" spans="1:21" x14ac:dyDescent="0.25">
      <c r="A619" s="7" t="s">
        <v>644</v>
      </c>
      <c r="B619" s="7" t="s">
        <v>807</v>
      </c>
      <c r="C619" s="7">
        <v>44613</v>
      </c>
      <c r="D619" s="7">
        <v>44633</v>
      </c>
      <c r="E619" s="7" t="s">
        <v>13</v>
      </c>
      <c r="F619" s="7" t="s">
        <v>35</v>
      </c>
      <c r="G619" s="7">
        <v>753</v>
      </c>
      <c r="H619" s="7">
        <v>88.02</v>
      </c>
      <c r="I619" s="7">
        <v>79.92</v>
      </c>
      <c r="J619" s="7">
        <v>75</v>
      </c>
      <c r="K619" s="7" t="s">
        <v>15</v>
      </c>
      <c r="L619" s="7">
        <v>20</v>
      </c>
      <c r="M619" s="7">
        <v>11</v>
      </c>
      <c r="N619" s="7">
        <v>9</v>
      </c>
      <c r="O619" s="7" t="s">
        <v>824</v>
      </c>
      <c r="P619" s="7">
        <v>0</v>
      </c>
      <c r="Q619" s="7">
        <v>66279.06</v>
      </c>
      <c r="R619" s="7">
        <v>60179.76</v>
      </c>
      <c r="S619" s="7">
        <v>6099.2999999999956</v>
      </c>
      <c r="T619" s="7" t="s">
        <v>825</v>
      </c>
      <c r="U619" s="7"/>
    </row>
    <row r="620" spans="1:21" x14ac:dyDescent="0.25">
      <c r="A620" s="7" t="s">
        <v>645</v>
      </c>
      <c r="B620" s="7" t="s">
        <v>807</v>
      </c>
      <c r="C620" s="7">
        <v>45132</v>
      </c>
      <c r="D620" s="7">
        <v>45152</v>
      </c>
      <c r="E620" s="7" t="s">
        <v>39</v>
      </c>
      <c r="F620" s="7" t="s">
        <v>18</v>
      </c>
      <c r="G620" s="7">
        <v>1520</v>
      </c>
      <c r="H620" s="7">
        <v>93.75</v>
      </c>
      <c r="I620" s="7">
        <v>81.63</v>
      </c>
      <c r="J620" s="7">
        <v>149</v>
      </c>
      <c r="K620" s="7" t="s">
        <v>15</v>
      </c>
      <c r="L620" s="7">
        <v>20</v>
      </c>
      <c r="M620" s="7">
        <v>11</v>
      </c>
      <c r="N620" s="7">
        <v>9</v>
      </c>
      <c r="O620" s="7" t="s">
        <v>824</v>
      </c>
      <c r="P620" s="7">
        <v>0</v>
      </c>
      <c r="Q620" s="7">
        <v>142500</v>
      </c>
      <c r="R620" s="7">
        <v>124077.59999999999</v>
      </c>
      <c r="S620" s="7">
        <v>18422.400000000009</v>
      </c>
      <c r="T620" s="7" t="s">
        <v>825</v>
      </c>
      <c r="U620" s="7"/>
    </row>
    <row r="621" spans="1:21" x14ac:dyDescent="0.25">
      <c r="A621" s="7" t="s">
        <v>646</v>
      </c>
      <c r="B621" s="7" t="s">
        <v>805</v>
      </c>
      <c r="C621" s="7">
        <v>44817</v>
      </c>
      <c r="D621" s="7">
        <v>44836</v>
      </c>
      <c r="E621" s="7" t="s">
        <v>13</v>
      </c>
      <c r="F621" s="7" t="s">
        <v>18</v>
      </c>
      <c r="G621" s="7">
        <v>630</v>
      </c>
      <c r="H621" s="7">
        <v>40.270000000000003</v>
      </c>
      <c r="I621" s="7">
        <v>37.54</v>
      </c>
      <c r="J621" s="7">
        <v>76</v>
      </c>
      <c r="K621" s="7" t="s">
        <v>15</v>
      </c>
      <c r="L621" s="7">
        <v>19</v>
      </c>
      <c r="M621" s="7">
        <v>11</v>
      </c>
      <c r="N621" s="7">
        <v>8</v>
      </c>
      <c r="O621" s="7" t="s">
        <v>824</v>
      </c>
      <c r="P621" s="7">
        <v>0</v>
      </c>
      <c r="Q621" s="7">
        <v>25370.100000000002</v>
      </c>
      <c r="R621" s="7">
        <v>23650.2</v>
      </c>
      <c r="S621" s="7">
        <v>1719.9000000000015</v>
      </c>
      <c r="T621" s="7" t="s">
        <v>825</v>
      </c>
      <c r="U621" s="7"/>
    </row>
    <row r="622" spans="1:21" x14ac:dyDescent="0.25">
      <c r="A622" s="7" t="s">
        <v>647</v>
      </c>
      <c r="B622" s="7" t="s">
        <v>805</v>
      </c>
      <c r="C622" s="7">
        <v>44686</v>
      </c>
      <c r="D622" s="7">
        <v>44687</v>
      </c>
      <c r="E622" s="7" t="s">
        <v>13</v>
      </c>
      <c r="F622" s="7" t="s">
        <v>18</v>
      </c>
      <c r="G622" s="7">
        <v>839</v>
      </c>
      <c r="H622" s="7">
        <v>86.29</v>
      </c>
      <c r="I622" s="7">
        <v>82.51</v>
      </c>
      <c r="J622" s="7">
        <v>110</v>
      </c>
      <c r="K622" s="7" t="s">
        <v>15</v>
      </c>
      <c r="L622" s="7">
        <v>1</v>
      </c>
      <c r="M622" s="7">
        <v>11</v>
      </c>
      <c r="N622" s="7">
        <v>0</v>
      </c>
      <c r="O622" s="7" t="s">
        <v>824</v>
      </c>
      <c r="P622" s="7">
        <v>0</v>
      </c>
      <c r="Q622" s="7">
        <v>72397.310000000012</v>
      </c>
      <c r="R622" s="7">
        <v>69225.89</v>
      </c>
      <c r="S622" s="7">
        <v>3171.4200000000128</v>
      </c>
      <c r="T622" s="7" t="s">
        <v>823</v>
      </c>
      <c r="U622" s="7"/>
    </row>
    <row r="623" spans="1:21" x14ac:dyDescent="0.25">
      <c r="A623" s="7" t="s">
        <v>648</v>
      </c>
      <c r="B623" s="7" t="s">
        <v>804</v>
      </c>
      <c r="C623" s="7">
        <v>45029</v>
      </c>
      <c r="D623" s="7">
        <v>45048</v>
      </c>
      <c r="E623" s="7" t="s">
        <v>39</v>
      </c>
      <c r="F623" s="7" t="s">
        <v>18</v>
      </c>
      <c r="G623" s="7">
        <v>910</v>
      </c>
      <c r="H623" s="7">
        <v>14.33</v>
      </c>
      <c r="I623" s="7">
        <v>14.07</v>
      </c>
      <c r="J623" s="7">
        <v>27</v>
      </c>
      <c r="K623" s="7" t="s">
        <v>15</v>
      </c>
      <c r="L623" s="7">
        <v>19</v>
      </c>
      <c r="M623" s="7">
        <v>11</v>
      </c>
      <c r="N623" s="7">
        <v>8</v>
      </c>
      <c r="O623" s="7" t="s">
        <v>824</v>
      </c>
      <c r="P623" s="7">
        <v>0</v>
      </c>
      <c r="Q623" s="7">
        <v>13040.3</v>
      </c>
      <c r="R623" s="7">
        <v>12803.7</v>
      </c>
      <c r="S623" s="7">
        <v>236.59999999999854</v>
      </c>
      <c r="T623" s="7" t="s">
        <v>825</v>
      </c>
      <c r="U623" s="7"/>
    </row>
    <row r="624" spans="1:21" x14ac:dyDescent="0.25">
      <c r="A624" s="7" t="s">
        <v>649</v>
      </c>
      <c r="B624" s="7" t="s">
        <v>808</v>
      </c>
      <c r="C624" s="7">
        <v>44698</v>
      </c>
      <c r="D624" s="7">
        <v>44705</v>
      </c>
      <c r="E624" s="7" t="s">
        <v>26</v>
      </c>
      <c r="F624" s="7" t="s">
        <v>18</v>
      </c>
      <c r="G624" s="7">
        <v>296</v>
      </c>
      <c r="H624" s="7">
        <v>64.94</v>
      </c>
      <c r="I624" s="7">
        <v>63.61</v>
      </c>
      <c r="J624" s="7"/>
      <c r="K624" s="7" t="s">
        <v>15</v>
      </c>
      <c r="L624" s="7">
        <v>7</v>
      </c>
      <c r="M624" s="7">
        <v>11</v>
      </c>
      <c r="N624" s="7">
        <v>0</v>
      </c>
      <c r="O624" s="7" t="s">
        <v>822</v>
      </c>
      <c r="P624" s="7">
        <v>1</v>
      </c>
      <c r="Q624" s="7">
        <v>19222.239999999998</v>
      </c>
      <c r="R624" s="7">
        <v>18828.560000000001</v>
      </c>
      <c r="S624" s="7">
        <v>393.67999999999665</v>
      </c>
      <c r="T624" s="7" t="s">
        <v>823</v>
      </c>
      <c r="U624" s="7"/>
    </row>
    <row r="625" spans="1:21" x14ac:dyDescent="0.25">
      <c r="A625" s="7" t="s">
        <v>650</v>
      </c>
      <c r="B625" s="7" t="s">
        <v>807</v>
      </c>
      <c r="C625" s="7">
        <v>45037</v>
      </c>
      <c r="D625" s="7">
        <v>45051</v>
      </c>
      <c r="E625" s="7" t="s">
        <v>21</v>
      </c>
      <c r="F625" s="7" t="s">
        <v>18</v>
      </c>
      <c r="G625" s="7">
        <v>1149</v>
      </c>
      <c r="H625" s="7">
        <v>33</v>
      </c>
      <c r="I625" s="7">
        <v>30.65</v>
      </c>
      <c r="J625" s="7">
        <v>141</v>
      </c>
      <c r="K625" s="7" t="s">
        <v>15</v>
      </c>
      <c r="L625" s="7">
        <v>14</v>
      </c>
      <c r="M625" s="7">
        <v>11</v>
      </c>
      <c r="N625" s="7">
        <v>3</v>
      </c>
      <c r="O625" s="7" t="s">
        <v>824</v>
      </c>
      <c r="P625" s="7">
        <v>0</v>
      </c>
      <c r="Q625" s="7">
        <v>37917</v>
      </c>
      <c r="R625" s="7">
        <v>35216.85</v>
      </c>
      <c r="S625" s="7">
        <v>2700.1500000000015</v>
      </c>
      <c r="T625" s="7" t="s">
        <v>826</v>
      </c>
      <c r="U625" s="7"/>
    </row>
    <row r="626" spans="1:21" x14ac:dyDescent="0.25">
      <c r="A626" s="7" t="s">
        <v>651</v>
      </c>
      <c r="B626" s="7" t="s">
        <v>805</v>
      </c>
      <c r="C626" s="7">
        <v>45245</v>
      </c>
      <c r="D626" s="7">
        <v>45246</v>
      </c>
      <c r="E626" s="7" t="s">
        <v>39</v>
      </c>
      <c r="F626" s="7" t="s">
        <v>18</v>
      </c>
      <c r="G626" s="7">
        <v>203</v>
      </c>
      <c r="H626" s="7">
        <v>23.14</v>
      </c>
      <c r="I626" s="7">
        <v>20</v>
      </c>
      <c r="J626" s="7"/>
      <c r="K626" s="7" t="s">
        <v>27</v>
      </c>
      <c r="L626" s="7">
        <v>1</v>
      </c>
      <c r="M626" s="7">
        <v>11</v>
      </c>
      <c r="N626" s="7">
        <v>0</v>
      </c>
      <c r="O626" s="7" t="s">
        <v>822</v>
      </c>
      <c r="P626" s="7">
        <v>1</v>
      </c>
      <c r="Q626" s="7">
        <v>4697.42</v>
      </c>
      <c r="R626" s="7">
        <v>4060</v>
      </c>
      <c r="S626" s="7">
        <v>637.42000000000007</v>
      </c>
      <c r="T626" s="7" t="s">
        <v>823</v>
      </c>
      <c r="U626" s="7"/>
    </row>
    <row r="627" spans="1:21" x14ac:dyDescent="0.25">
      <c r="A627" s="7" t="s">
        <v>652</v>
      </c>
      <c r="B627" s="7" t="s">
        <v>808</v>
      </c>
      <c r="C627" s="7">
        <v>45105</v>
      </c>
      <c r="D627" s="7">
        <v>45123</v>
      </c>
      <c r="E627" s="7" t="s">
        <v>13</v>
      </c>
      <c r="F627" s="7" t="s">
        <v>18</v>
      </c>
      <c r="G627" s="7">
        <v>1729</v>
      </c>
      <c r="H627" s="7">
        <v>18.36</v>
      </c>
      <c r="I627" s="7">
        <v>16.34</v>
      </c>
      <c r="J627" s="7">
        <v>47</v>
      </c>
      <c r="K627" s="7" t="s">
        <v>15</v>
      </c>
      <c r="L627" s="7">
        <v>18</v>
      </c>
      <c r="M627" s="7">
        <v>11</v>
      </c>
      <c r="N627" s="7">
        <v>7</v>
      </c>
      <c r="O627" s="7" t="s">
        <v>824</v>
      </c>
      <c r="P627" s="7">
        <v>0</v>
      </c>
      <c r="Q627" s="7">
        <v>31744.44</v>
      </c>
      <c r="R627" s="7">
        <v>28251.86</v>
      </c>
      <c r="S627" s="7">
        <v>3492.5799999999981</v>
      </c>
      <c r="T627" s="7" t="s">
        <v>825</v>
      </c>
      <c r="U627" s="7"/>
    </row>
    <row r="628" spans="1:21" x14ac:dyDescent="0.25">
      <c r="A628" s="7" t="s">
        <v>653</v>
      </c>
      <c r="B628" s="7" t="s">
        <v>805</v>
      </c>
      <c r="C628" s="7">
        <v>45134</v>
      </c>
      <c r="D628" s="7">
        <v>45144</v>
      </c>
      <c r="E628" s="7" t="s">
        <v>13</v>
      </c>
      <c r="F628" s="7" t="s">
        <v>18</v>
      </c>
      <c r="G628" s="7">
        <v>1508</v>
      </c>
      <c r="H628" s="7">
        <v>79.209999999999994</v>
      </c>
      <c r="I628" s="7">
        <v>73.27</v>
      </c>
      <c r="J628" s="7">
        <v>226</v>
      </c>
      <c r="K628" s="7" t="s">
        <v>15</v>
      </c>
      <c r="L628" s="7">
        <v>10</v>
      </c>
      <c r="M628" s="7">
        <v>11</v>
      </c>
      <c r="N628" s="7">
        <v>0</v>
      </c>
      <c r="O628" s="7" t="s">
        <v>824</v>
      </c>
      <c r="P628" s="7">
        <v>0</v>
      </c>
      <c r="Q628" s="7">
        <v>119448.68</v>
      </c>
      <c r="R628" s="7">
        <v>110491.15999999999</v>
      </c>
      <c r="S628" s="7">
        <v>8957.5200000000041</v>
      </c>
      <c r="T628" s="7" t="s">
        <v>823</v>
      </c>
      <c r="U628" s="7"/>
    </row>
    <row r="629" spans="1:21" x14ac:dyDescent="0.25">
      <c r="A629" s="7" t="s">
        <v>654</v>
      </c>
      <c r="B629" s="7" t="s">
        <v>805</v>
      </c>
      <c r="C629" s="7">
        <v>45171</v>
      </c>
      <c r="D629" s="7">
        <v>45184</v>
      </c>
      <c r="E629" s="7" t="s">
        <v>24</v>
      </c>
      <c r="F629" s="7" t="s">
        <v>33</v>
      </c>
      <c r="G629" s="7">
        <v>1046</v>
      </c>
      <c r="H629" s="7">
        <v>44.65</v>
      </c>
      <c r="I629" s="7">
        <v>40.1</v>
      </c>
      <c r="J629" s="7">
        <v>165</v>
      </c>
      <c r="K629" s="7" t="s">
        <v>27</v>
      </c>
      <c r="L629" s="7">
        <v>13</v>
      </c>
      <c r="M629" s="7">
        <v>11</v>
      </c>
      <c r="N629" s="7">
        <v>2</v>
      </c>
      <c r="O629" s="7" t="s">
        <v>824</v>
      </c>
      <c r="P629" s="7">
        <v>0</v>
      </c>
      <c r="Q629" s="7">
        <v>46703.9</v>
      </c>
      <c r="R629" s="7">
        <v>41944.6</v>
      </c>
      <c r="S629" s="7">
        <v>4759.3000000000029</v>
      </c>
      <c r="T629" s="7" t="s">
        <v>826</v>
      </c>
      <c r="U629" s="7"/>
    </row>
    <row r="630" spans="1:21" x14ac:dyDescent="0.25">
      <c r="A630" s="7" t="s">
        <v>655</v>
      </c>
      <c r="B630" s="7" t="s">
        <v>804</v>
      </c>
      <c r="C630" s="7">
        <v>44886</v>
      </c>
      <c r="D630" s="7">
        <v>44889</v>
      </c>
      <c r="E630" s="7" t="s">
        <v>13</v>
      </c>
      <c r="F630" s="7" t="s">
        <v>18</v>
      </c>
      <c r="G630" s="7">
        <v>1159</v>
      </c>
      <c r="H630" s="7">
        <v>78.989999999999995</v>
      </c>
      <c r="I630" s="7">
        <v>71.69</v>
      </c>
      <c r="J630" s="7">
        <v>14</v>
      </c>
      <c r="K630" s="7" t="s">
        <v>15</v>
      </c>
      <c r="L630" s="7">
        <v>3</v>
      </c>
      <c r="M630" s="7">
        <v>11</v>
      </c>
      <c r="N630" s="7">
        <v>0</v>
      </c>
      <c r="O630" s="7" t="s">
        <v>824</v>
      </c>
      <c r="P630" s="7">
        <v>0</v>
      </c>
      <c r="Q630" s="7">
        <v>91549.409999999989</v>
      </c>
      <c r="R630" s="7">
        <v>83088.709999999992</v>
      </c>
      <c r="S630" s="7">
        <v>8460.6999999999971</v>
      </c>
      <c r="T630" s="7" t="s">
        <v>823</v>
      </c>
      <c r="U630" s="7"/>
    </row>
    <row r="631" spans="1:21" x14ac:dyDescent="0.25">
      <c r="A631" s="7" t="s">
        <v>656</v>
      </c>
      <c r="B631" s="7" t="s">
        <v>807</v>
      </c>
      <c r="C631" s="7">
        <v>45015</v>
      </c>
      <c r="D631" s="7">
        <v>45021</v>
      </c>
      <c r="E631" s="7" t="s">
        <v>39</v>
      </c>
      <c r="F631" s="7" t="s">
        <v>18</v>
      </c>
      <c r="G631" s="7">
        <v>746</v>
      </c>
      <c r="H631" s="7">
        <v>16.989999999999998</v>
      </c>
      <c r="I631" s="7">
        <v>15.35</v>
      </c>
      <c r="J631" s="7">
        <v>69</v>
      </c>
      <c r="K631" s="7" t="s">
        <v>27</v>
      </c>
      <c r="L631" s="7">
        <v>6</v>
      </c>
      <c r="M631" s="7">
        <v>11</v>
      </c>
      <c r="N631" s="7">
        <v>0</v>
      </c>
      <c r="O631" s="7" t="s">
        <v>824</v>
      </c>
      <c r="P631" s="7">
        <v>0</v>
      </c>
      <c r="Q631" s="7">
        <v>12674.539999999999</v>
      </c>
      <c r="R631" s="7">
        <v>11451.1</v>
      </c>
      <c r="S631" s="7">
        <v>1223.4399999999987</v>
      </c>
      <c r="T631" s="7" t="s">
        <v>823</v>
      </c>
      <c r="U631" s="7"/>
    </row>
    <row r="632" spans="1:21" x14ac:dyDescent="0.25">
      <c r="A632" s="7" t="s">
        <v>657</v>
      </c>
      <c r="B632" s="7" t="s">
        <v>807</v>
      </c>
      <c r="C632" s="7">
        <v>45189</v>
      </c>
      <c r="D632" s="7">
        <v>45205</v>
      </c>
      <c r="E632" s="7" t="s">
        <v>24</v>
      </c>
      <c r="F632" s="7" t="s">
        <v>18</v>
      </c>
      <c r="G632" s="7">
        <v>1358</v>
      </c>
      <c r="H632" s="7">
        <v>42.21</v>
      </c>
      <c r="I632" s="7">
        <v>38.75</v>
      </c>
      <c r="J632" s="7">
        <v>128</v>
      </c>
      <c r="K632" s="7" t="s">
        <v>15</v>
      </c>
      <c r="L632" s="7">
        <v>16</v>
      </c>
      <c r="M632" s="7">
        <v>11</v>
      </c>
      <c r="N632" s="7">
        <v>5</v>
      </c>
      <c r="O632" s="7" t="s">
        <v>824</v>
      </c>
      <c r="P632" s="7">
        <v>0</v>
      </c>
      <c r="Q632" s="7">
        <v>57321.18</v>
      </c>
      <c r="R632" s="7">
        <v>52622.5</v>
      </c>
      <c r="S632" s="7">
        <v>4698.68</v>
      </c>
      <c r="T632" s="7" t="s">
        <v>825</v>
      </c>
      <c r="U632" s="7"/>
    </row>
    <row r="633" spans="1:21" x14ac:dyDescent="0.25">
      <c r="A633" s="7" t="s">
        <v>658</v>
      </c>
      <c r="B633" s="7" t="s">
        <v>806</v>
      </c>
      <c r="C633" s="7">
        <v>45078</v>
      </c>
      <c r="D633" s="7">
        <v>45089</v>
      </c>
      <c r="E633" s="7" t="s">
        <v>13</v>
      </c>
      <c r="F633" s="7" t="s">
        <v>18</v>
      </c>
      <c r="G633" s="7">
        <v>1293</v>
      </c>
      <c r="H633" s="7">
        <v>63.53</v>
      </c>
      <c r="I633" s="7">
        <v>59.42</v>
      </c>
      <c r="J633" s="7">
        <v>79</v>
      </c>
      <c r="K633" s="7" t="s">
        <v>15</v>
      </c>
      <c r="L633" s="7">
        <v>11</v>
      </c>
      <c r="M633" s="7">
        <v>11</v>
      </c>
      <c r="N633" s="7">
        <v>0</v>
      </c>
      <c r="O633" s="7" t="s">
        <v>824</v>
      </c>
      <c r="P633" s="7">
        <v>0</v>
      </c>
      <c r="Q633" s="7">
        <v>82144.290000000008</v>
      </c>
      <c r="R633" s="7">
        <v>76830.06</v>
      </c>
      <c r="S633" s="7">
        <v>5314.2300000000105</v>
      </c>
      <c r="T633" s="7" t="s">
        <v>823</v>
      </c>
      <c r="U633" s="7"/>
    </row>
    <row r="634" spans="1:21" x14ac:dyDescent="0.25">
      <c r="A634" s="7" t="s">
        <v>659</v>
      </c>
      <c r="B634" s="7" t="s">
        <v>804</v>
      </c>
      <c r="C634" s="7">
        <v>44998</v>
      </c>
      <c r="D634" s="7">
        <v>45009</v>
      </c>
      <c r="E634" s="7" t="s">
        <v>39</v>
      </c>
      <c r="F634" s="7" t="s">
        <v>18</v>
      </c>
      <c r="G634" s="7">
        <v>1142</v>
      </c>
      <c r="H634" s="7">
        <v>86.85</v>
      </c>
      <c r="I634" s="7">
        <v>74.28</v>
      </c>
      <c r="J634" s="7">
        <v>30</v>
      </c>
      <c r="K634" s="7" t="s">
        <v>15</v>
      </c>
      <c r="L634" s="7">
        <v>11</v>
      </c>
      <c r="M634" s="7">
        <v>11</v>
      </c>
      <c r="N634" s="7">
        <v>0</v>
      </c>
      <c r="O634" s="7" t="s">
        <v>824</v>
      </c>
      <c r="P634" s="7">
        <v>0</v>
      </c>
      <c r="Q634" s="7">
        <v>99182.7</v>
      </c>
      <c r="R634" s="7">
        <v>84827.76</v>
      </c>
      <c r="S634" s="7">
        <v>14354.940000000002</v>
      </c>
      <c r="T634" s="7" t="s">
        <v>823</v>
      </c>
      <c r="U634" s="7"/>
    </row>
    <row r="635" spans="1:21" x14ac:dyDescent="0.25">
      <c r="A635" s="7" t="s">
        <v>660</v>
      </c>
      <c r="B635" s="7" t="s">
        <v>808</v>
      </c>
      <c r="C635" s="7">
        <v>45123</v>
      </c>
      <c r="D635" s="7">
        <v>45134</v>
      </c>
      <c r="E635" s="7" t="s">
        <v>21</v>
      </c>
      <c r="F635" s="7" t="s">
        <v>18</v>
      </c>
      <c r="G635" s="7">
        <v>1120</v>
      </c>
      <c r="H635" s="7">
        <v>42.17</v>
      </c>
      <c r="I635" s="7">
        <v>37.47</v>
      </c>
      <c r="J635" s="7">
        <v>33</v>
      </c>
      <c r="K635" s="7" t="s">
        <v>15</v>
      </c>
      <c r="L635" s="7">
        <v>11</v>
      </c>
      <c r="M635" s="7">
        <v>11</v>
      </c>
      <c r="N635" s="7">
        <v>0</v>
      </c>
      <c r="O635" s="7" t="s">
        <v>824</v>
      </c>
      <c r="P635" s="7">
        <v>0</v>
      </c>
      <c r="Q635" s="7">
        <v>47230.400000000001</v>
      </c>
      <c r="R635" s="7">
        <v>41966.400000000001</v>
      </c>
      <c r="S635" s="7">
        <v>5264</v>
      </c>
      <c r="T635" s="7" t="s">
        <v>823</v>
      </c>
      <c r="U635" s="7"/>
    </row>
    <row r="636" spans="1:21" x14ac:dyDescent="0.25">
      <c r="A636" s="7" t="s">
        <v>661</v>
      </c>
      <c r="B636" s="7" t="s">
        <v>804</v>
      </c>
      <c r="C636" s="7">
        <v>45018</v>
      </c>
      <c r="D636" s="7">
        <v>45030</v>
      </c>
      <c r="E636" s="7" t="s">
        <v>21</v>
      </c>
      <c r="F636" s="7" t="s">
        <v>18</v>
      </c>
      <c r="G636" s="7">
        <v>1058</v>
      </c>
      <c r="H636" s="7">
        <v>71.3</v>
      </c>
      <c r="I636" s="7">
        <v>62.04</v>
      </c>
      <c r="J636" s="7"/>
      <c r="K636" s="7" t="s">
        <v>15</v>
      </c>
      <c r="L636" s="7">
        <v>12</v>
      </c>
      <c r="M636" s="7">
        <v>11</v>
      </c>
      <c r="N636" s="7">
        <v>1</v>
      </c>
      <c r="O636" s="7" t="s">
        <v>824</v>
      </c>
      <c r="P636" s="7">
        <v>0</v>
      </c>
      <c r="Q636" s="7">
        <v>75435.399999999994</v>
      </c>
      <c r="R636" s="7">
        <v>65638.319999999992</v>
      </c>
      <c r="S636" s="7">
        <v>9797.0800000000017</v>
      </c>
      <c r="T636" s="7" t="s">
        <v>826</v>
      </c>
      <c r="U636" s="7"/>
    </row>
    <row r="637" spans="1:21" x14ac:dyDescent="0.25">
      <c r="A637" s="7" t="s">
        <v>662</v>
      </c>
      <c r="B637" s="7" t="s">
        <v>808</v>
      </c>
      <c r="C637" s="7">
        <v>44724</v>
      </c>
      <c r="D637" s="7">
        <v>44735</v>
      </c>
      <c r="E637" s="7" t="s">
        <v>13</v>
      </c>
      <c r="F637" s="7" t="s">
        <v>18</v>
      </c>
      <c r="G637" s="7">
        <v>143</v>
      </c>
      <c r="H637" s="7">
        <v>91.98</v>
      </c>
      <c r="I637" s="7">
        <v>86.02</v>
      </c>
      <c r="J637" s="7">
        <v>5</v>
      </c>
      <c r="K637" s="7" t="s">
        <v>15</v>
      </c>
      <c r="L637" s="7">
        <v>11</v>
      </c>
      <c r="M637" s="7">
        <v>11</v>
      </c>
      <c r="N637" s="7">
        <v>0</v>
      </c>
      <c r="O637" s="7" t="s">
        <v>824</v>
      </c>
      <c r="P637" s="7">
        <v>0</v>
      </c>
      <c r="Q637" s="7">
        <v>13153.140000000001</v>
      </c>
      <c r="R637" s="7">
        <v>12300.859999999999</v>
      </c>
      <c r="S637" s="7">
        <v>852.28000000000247</v>
      </c>
      <c r="T637" s="7" t="s">
        <v>823</v>
      </c>
      <c r="U637" s="7"/>
    </row>
    <row r="638" spans="1:21" x14ac:dyDescent="0.25">
      <c r="A638" s="7" t="s">
        <v>663</v>
      </c>
      <c r="B638" s="7" t="s">
        <v>807</v>
      </c>
      <c r="C638" s="7">
        <v>45048</v>
      </c>
      <c r="D638" s="7">
        <v>45060</v>
      </c>
      <c r="E638" s="7" t="s">
        <v>21</v>
      </c>
      <c r="F638" s="7" t="s">
        <v>18</v>
      </c>
      <c r="G638" s="7">
        <v>1823</v>
      </c>
      <c r="H638" s="7">
        <v>70.66</v>
      </c>
      <c r="I638" s="7">
        <v>66.92</v>
      </c>
      <c r="J638" s="7">
        <v>202</v>
      </c>
      <c r="K638" s="7" t="s">
        <v>15</v>
      </c>
      <c r="L638" s="7">
        <v>12</v>
      </c>
      <c r="M638" s="7">
        <v>11</v>
      </c>
      <c r="N638" s="7">
        <v>1</v>
      </c>
      <c r="O638" s="7" t="s">
        <v>824</v>
      </c>
      <c r="P638" s="7">
        <v>0</v>
      </c>
      <c r="Q638" s="7">
        <v>128813.18</v>
      </c>
      <c r="R638" s="7">
        <v>121995.16</v>
      </c>
      <c r="S638" s="7">
        <v>6818.0199999999895</v>
      </c>
      <c r="T638" s="7" t="s">
        <v>826</v>
      </c>
      <c r="U638" s="7"/>
    </row>
    <row r="639" spans="1:21" x14ac:dyDescent="0.25">
      <c r="A639" s="7" t="s">
        <v>664</v>
      </c>
      <c r="B639" s="7" t="s">
        <v>806</v>
      </c>
      <c r="C639" s="7">
        <v>45022</v>
      </c>
      <c r="D639" s="7">
        <v>45026</v>
      </c>
      <c r="E639" s="7" t="s">
        <v>13</v>
      </c>
      <c r="F639" s="7" t="s">
        <v>18</v>
      </c>
      <c r="G639" s="7">
        <v>1007</v>
      </c>
      <c r="H639" s="7">
        <v>33.29</v>
      </c>
      <c r="I639" s="7">
        <v>28.48</v>
      </c>
      <c r="J639" s="7">
        <v>49</v>
      </c>
      <c r="K639" s="7" t="s">
        <v>15</v>
      </c>
      <c r="L639" s="7">
        <v>4</v>
      </c>
      <c r="M639" s="7">
        <v>11</v>
      </c>
      <c r="N639" s="7">
        <v>0</v>
      </c>
      <c r="O639" s="7" t="s">
        <v>824</v>
      </c>
      <c r="P639" s="7">
        <v>0</v>
      </c>
      <c r="Q639" s="7">
        <v>33523.03</v>
      </c>
      <c r="R639" s="7">
        <v>28679.360000000001</v>
      </c>
      <c r="S639" s="7">
        <v>4843.6699999999983</v>
      </c>
      <c r="T639" s="7" t="s">
        <v>823</v>
      </c>
      <c r="U639" s="7"/>
    </row>
    <row r="640" spans="1:21" x14ac:dyDescent="0.25">
      <c r="A640" s="7" t="s">
        <v>665</v>
      </c>
      <c r="B640" s="7" t="s">
        <v>806</v>
      </c>
      <c r="C640" s="7">
        <v>44827</v>
      </c>
      <c r="D640" s="7">
        <v>44842</v>
      </c>
      <c r="E640" s="7" t="s">
        <v>24</v>
      </c>
      <c r="F640" s="7" t="s">
        <v>18</v>
      </c>
      <c r="G640" s="7">
        <v>1061</v>
      </c>
      <c r="H640" s="7">
        <v>12.68</v>
      </c>
      <c r="I640" s="7">
        <v>12.36</v>
      </c>
      <c r="J640" s="7">
        <v>56</v>
      </c>
      <c r="K640" s="7" t="s">
        <v>27</v>
      </c>
      <c r="L640" s="7">
        <v>15</v>
      </c>
      <c r="M640" s="7">
        <v>11</v>
      </c>
      <c r="N640" s="7">
        <v>4</v>
      </c>
      <c r="O640" s="7" t="s">
        <v>824</v>
      </c>
      <c r="P640" s="7">
        <v>0</v>
      </c>
      <c r="Q640" s="7">
        <v>13453.48</v>
      </c>
      <c r="R640" s="7">
        <v>13113.96</v>
      </c>
      <c r="S640" s="7">
        <v>339.52000000000044</v>
      </c>
      <c r="T640" s="7" t="s">
        <v>826</v>
      </c>
      <c r="U640" s="7"/>
    </row>
    <row r="641" spans="1:21" x14ac:dyDescent="0.25">
      <c r="A641" s="7" t="s">
        <v>666</v>
      </c>
      <c r="B641" s="7" t="s">
        <v>807</v>
      </c>
      <c r="C641" s="7">
        <v>44815</v>
      </c>
      <c r="D641" s="7">
        <v>44830</v>
      </c>
      <c r="E641" s="7" t="s">
        <v>21</v>
      </c>
      <c r="F641" s="7" t="s">
        <v>35</v>
      </c>
      <c r="G641" s="7">
        <v>502</v>
      </c>
      <c r="H641" s="7">
        <v>91.84</v>
      </c>
      <c r="I641" s="7">
        <v>82.33</v>
      </c>
      <c r="J641" s="7"/>
      <c r="K641" s="7" t="s">
        <v>15</v>
      </c>
      <c r="L641" s="7">
        <v>15</v>
      </c>
      <c r="M641" s="7">
        <v>11</v>
      </c>
      <c r="N641" s="7">
        <v>4</v>
      </c>
      <c r="O641" s="7" t="s">
        <v>824</v>
      </c>
      <c r="P641" s="7">
        <v>0</v>
      </c>
      <c r="Q641" s="7">
        <v>46103.68</v>
      </c>
      <c r="R641" s="7">
        <v>41329.659999999996</v>
      </c>
      <c r="S641" s="7">
        <v>4774.0200000000041</v>
      </c>
      <c r="T641" s="7" t="s">
        <v>826</v>
      </c>
      <c r="U641" s="7"/>
    </row>
    <row r="642" spans="1:21" x14ac:dyDescent="0.25">
      <c r="A642" s="7" t="s">
        <v>667</v>
      </c>
      <c r="B642" s="7" t="s">
        <v>805</v>
      </c>
      <c r="C642" s="7">
        <v>45214</v>
      </c>
      <c r="D642" s="7">
        <v>45218</v>
      </c>
      <c r="E642" s="7" t="s">
        <v>24</v>
      </c>
      <c r="F642" s="7" t="s">
        <v>18</v>
      </c>
      <c r="G642" s="7">
        <v>1277</v>
      </c>
      <c r="H642" s="7">
        <v>13.17</v>
      </c>
      <c r="I642" s="7">
        <v>11.63</v>
      </c>
      <c r="J642" s="7">
        <v>199</v>
      </c>
      <c r="K642" s="7" t="s">
        <v>27</v>
      </c>
      <c r="L642" s="7">
        <v>4</v>
      </c>
      <c r="M642" s="7">
        <v>11</v>
      </c>
      <c r="N642" s="7">
        <v>0</v>
      </c>
      <c r="O642" s="7" t="s">
        <v>824</v>
      </c>
      <c r="P642" s="7">
        <v>0</v>
      </c>
      <c r="Q642" s="7">
        <v>16818.09</v>
      </c>
      <c r="R642" s="7">
        <v>14851.51</v>
      </c>
      <c r="S642" s="7">
        <v>1966.58</v>
      </c>
      <c r="T642" s="7" t="s">
        <v>823</v>
      </c>
      <c r="U642" s="7"/>
    </row>
    <row r="643" spans="1:21" x14ac:dyDescent="0.25">
      <c r="A643" s="7" t="s">
        <v>668</v>
      </c>
      <c r="B643" s="7" t="s">
        <v>804</v>
      </c>
      <c r="C643" s="7">
        <v>44845</v>
      </c>
      <c r="D643" s="7">
        <v>44858</v>
      </c>
      <c r="E643" s="7" t="s">
        <v>24</v>
      </c>
      <c r="F643" s="7" t="s">
        <v>18</v>
      </c>
      <c r="G643" s="7">
        <v>961</v>
      </c>
      <c r="H643" s="7">
        <v>92.72</v>
      </c>
      <c r="I643" s="7">
        <v>88.49</v>
      </c>
      <c r="J643" s="7">
        <v>22</v>
      </c>
      <c r="K643" s="7" t="s">
        <v>15</v>
      </c>
      <c r="L643" s="7">
        <v>13</v>
      </c>
      <c r="M643" s="7">
        <v>11</v>
      </c>
      <c r="N643" s="7">
        <v>2</v>
      </c>
      <c r="O643" s="7" t="s">
        <v>824</v>
      </c>
      <c r="P643" s="7">
        <v>0</v>
      </c>
      <c r="Q643" s="7">
        <v>89103.92</v>
      </c>
      <c r="R643" s="7">
        <v>85038.89</v>
      </c>
      <c r="S643" s="7">
        <v>4065.0299999999988</v>
      </c>
      <c r="T643" s="7" t="s">
        <v>826</v>
      </c>
      <c r="U643" s="7"/>
    </row>
    <row r="644" spans="1:21" x14ac:dyDescent="0.25">
      <c r="A644" s="7" t="s">
        <v>669</v>
      </c>
      <c r="B644" s="7" t="s">
        <v>806</v>
      </c>
      <c r="C644" s="7">
        <v>45095</v>
      </c>
      <c r="D644" s="7">
        <v>45109</v>
      </c>
      <c r="E644" s="7" t="s">
        <v>24</v>
      </c>
      <c r="F644" s="7" t="s">
        <v>18</v>
      </c>
      <c r="G644" s="7">
        <v>267</v>
      </c>
      <c r="H644" s="7">
        <v>62.5</v>
      </c>
      <c r="I644" s="7">
        <v>61.18</v>
      </c>
      <c r="J644" s="7">
        <v>17</v>
      </c>
      <c r="K644" s="7" t="s">
        <v>15</v>
      </c>
      <c r="L644" s="7">
        <v>14</v>
      </c>
      <c r="M644" s="7">
        <v>11</v>
      </c>
      <c r="N644" s="7">
        <v>3</v>
      </c>
      <c r="O644" s="7" t="s">
        <v>824</v>
      </c>
      <c r="P644" s="7">
        <v>0</v>
      </c>
      <c r="Q644" s="7">
        <v>16687.5</v>
      </c>
      <c r="R644" s="7">
        <v>16335.06</v>
      </c>
      <c r="S644" s="7">
        <v>352.44000000000051</v>
      </c>
      <c r="T644" s="7" t="s">
        <v>826</v>
      </c>
      <c r="U644" s="7"/>
    </row>
    <row r="645" spans="1:21" x14ac:dyDescent="0.25">
      <c r="A645" s="7" t="s">
        <v>670</v>
      </c>
      <c r="B645" s="7" t="s">
        <v>805</v>
      </c>
      <c r="C645" s="7">
        <v>45058</v>
      </c>
      <c r="D645" s="7">
        <v>45064</v>
      </c>
      <c r="E645" s="7" t="s">
        <v>26</v>
      </c>
      <c r="F645" s="7" t="s">
        <v>14</v>
      </c>
      <c r="G645" s="7">
        <v>523</v>
      </c>
      <c r="H645" s="7">
        <v>102.08</v>
      </c>
      <c r="I645" s="7">
        <v>99.59</v>
      </c>
      <c r="J645" s="7"/>
      <c r="K645" s="7" t="s">
        <v>15</v>
      </c>
      <c r="L645" s="7">
        <v>6</v>
      </c>
      <c r="M645" s="7">
        <v>11</v>
      </c>
      <c r="N645" s="7">
        <v>0</v>
      </c>
      <c r="O645" s="7" t="s">
        <v>822</v>
      </c>
      <c r="P645" s="7">
        <v>1</v>
      </c>
      <c r="Q645" s="7">
        <v>53387.839999999997</v>
      </c>
      <c r="R645" s="7">
        <v>52085.57</v>
      </c>
      <c r="S645" s="7">
        <v>1302.2699999999968</v>
      </c>
      <c r="T645" s="7" t="s">
        <v>823</v>
      </c>
      <c r="U645" s="7"/>
    </row>
    <row r="646" spans="1:21" x14ac:dyDescent="0.25">
      <c r="A646" s="7" t="s">
        <v>671</v>
      </c>
      <c r="B646" s="7" t="s">
        <v>808</v>
      </c>
      <c r="C646" s="7">
        <v>45203</v>
      </c>
      <c r="D646" s="7">
        <v>45222</v>
      </c>
      <c r="E646" s="7" t="s">
        <v>39</v>
      </c>
      <c r="F646" s="7" t="s">
        <v>35</v>
      </c>
      <c r="G646" s="7">
        <v>481</v>
      </c>
      <c r="H646" s="7">
        <v>90.49</v>
      </c>
      <c r="I646" s="7">
        <v>77.17</v>
      </c>
      <c r="J646" s="7"/>
      <c r="K646" s="7" t="s">
        <v>15</v>
      </c>
      <c r="L646" s="7">
        <v>19</v>
      </c>
      <c r="M646" s="7">
        <v>11</v>
      </c>
      <c r="N646" s="7">
        <v>8</v>
      </c>
      <c r="O646" s="7" t="s">
        <v>824</v>
      </c>
      <c r="P646" s="7">
        <v>0</v>
      </c>
      <c r="Q646" s="7">
        <v>43525.689999999995</v>
      </c>
      <c r="R646" s="7">
        <v>37118.770000000004</v>
      </c>
      <c r="S646" s="7">
        <v>6406.919999999991</v>
      </c>
      <c r="T646" s="7" t="s">
        <v>825</v>
      </c>
      <c r="U646" s="7"/>
    </row>
    <row r="647" spans="1:21" x14ac:dyDescent="0.25">
      <c r="A647" s="7" t="s">
        <v>672</v>
      </c>
      <c r="B647" s="7" t="s">
        <v>806</v>
      </c>
      <c r="C647" s="7">
        <v>44806</v>
      </c>
      <c r="D647" s="7">
        <v>44813</v>
      </c>
      <c r="E647" s="7" t="s">
        <v>13</v>
      </c>
      <c r="F647" s="7" t="s">
        <v>18</v>
      </c>
      <c r="G647" s="7">
        <v>390</v>
      </c>
      <c r="H647" s="7">
        <v>103.81</v>
      </c>
      <c r="I647" s="7">
        <v>100.12</v>
      </c>
      <c r="J647" s="7">
        <v>20</v>
      </c>
      <c r="K647" s="7" t="s">
        <v>15</v>
      </c>
      <c r="L647" s="7">
        <v>7</v>
      </c>
      <c r="M647" s="7">
        <v>11</v>
      </c>
      <c r="N647" s="7">
        <v>0</v>
      </c>
      <c r="O647" s="7" t="s">
        <v>824</v>
      </c>
      <c r="P647" s="7">
        <v>0</v>
      </c>
      <c r="Q647" s="7">
        <v>40485.9</v>
      </c>
      <c r="R647" s="7">
        <v>39046.800000000003</v>
      </c>
      <c r="S647" s="7">
        <v>1439.0999999999985</v>
      </c>
      <c r="T647" s="7" t="s">
        <v>823</v>
      </c>
      <c r="U647" s="7"/>
    </row>
    <row r="648" spans="1:21" x14ac:dyDescent="0.25">
      <c r="A648" s="7" t="s">
        <v>673</v>
      </c>
      <c r="B648" s="7" t="s">
        <v>808</v>
      </c>
      <c r="C648" s="7">
        <v>44843</v>
      </c>
      <c r="D648" s="7">
        <v>44859</v>
      </c>
      <c r="E648" s="7" t="s">
        <v>24</v>
      </c>
      <c r="F648" s="7" t="s">
        <v>18</v>
      </c>
      <c r="G648" s="7">
        <v>600</v>
      </c>
      <c r="H648" s="7">
        <v>43.43</v>
      </c>
      <c r="I648" s="7">
        <v>38.76</v>
      </c>
      <c r="J648" s="7">
        <v>22</v>
      </c>
      <c r="K648" s="7" t="s">
        <v>15</v>
      </c>
      <c r="L648" s="7">
        <v>16</v>
      </c>
      <c r="M648" s="7">
        <v>11</v>
      </c>
      <c r="N648" s="7">
        <v>5</v>
      </c>
      <c r="O648" s="7" t="s">
        <v>824</v>
      </c>
      <c r="P648" s="7">
        <v>0</v>
      </c>
      <c r="Q648" s="7">
        <v>26058</v>
      </c>
      <c r="R648" s="7">
        <v>23256</v>
      </c>
      <c r="S648" s="7">
        <v>2802</v>
      </c>
      <c r="T648" s="7" t="s">
        <v>825</v>
      </c>
      <c r="U648" s="7"/>
    </row>
    <row r="649" spans="1:21" x14ac:dyDescent="0.25">
      <c r="A649" s="7" t="s">
        <v>674</v>
      </c>
      <c r="B649" s="7" t="s">
        <v>805</v>
      </c>
      <c r="C649" s="7">
        <v>45012</v>
      </c>
      <c r="D649" s="7">
        <v>45023</v>
      </c>
      <c r="E649" s="7" t="s">
        <v>13</v>
      </c>
      <c r="F649" s="7" t="s">
        <v>18</v>
      </c>
      <c r="G649" s="7">
        <v>1685</v>
      </c>
      <c r="H649" s="7">
        <v>84.58</v>
      </c>
      <c r="I649" s="7">
        <v>75.209999999999994</v>
      </c>
      <c r="J649" s="7">
        <v>253</v>
      </c>
      <c r="K649" s="7" t="s">
        <v>27</v>
      </c>
      <c r="L649" s="7">
        <v>11</v>
      </c>
      <c r="M649" s="7">
        <v>11</v>
      </c>
      <c r="N649" s="7">
        <v>0</v>
      </c>
      <c r="O649" s="7" t="s">
        <v>824</v>
      </c>
      <c r="P649" s="7">
        <v>0</v>
      </c>
      <c r="Q649" s="7">
        <v>142517.29999999999</v>
      </c>
      <c r="R649" s="7">
        <v>126728.84999999999</v>
      </c>
      <c r="S649" s="7">
        <v>15788.449999999997</v>
      </c>
      <c r="T649" s="7" t="s">
        <v>823</v>
      </c>
      <c r="U649" s="7"/>
    </row>
    <row r="650" spans="1:21" x14ac:dyDescent="0.25">
      <c r="A650" s="7" t="s">
        <v>675</v>
      </c>
      <c r="B650" s="7" t="s">
        <v>808</v>
      </c>
      <c r="C650" s="7">
        <v>44641</v>
      </c>
      <c r="D650" s="7">
        <v>44651</v>
      </c>
      <c r="E650" s="7" t="s">
        <v>24</v>
      </c>
      <c r="F650" s="7" t="s">
        <v>14</v>
      </c>
      <c r="G650" s="7">
        <v>1362</v>
      </c>
      <c r="H650" s="7">
        <v>46.64</v>
      </c>
      <c r="I650" s="7">
        <v>42.85</v>
      </c>
      <c r="J650" s="7">
        <v>33</v>
      </c>
      <c r="K650" s="7" t="s">
        <v>15</v>
      </c>
      <c r="L650" s="7">
        <v>10</v>
      </c>
      <c r="M650" s="7">
        <v>11</v>
      </c>
      <c r="N650" s="7">
        <v>0</v>
      </c>
      <c r="O650" s="7" t="s">
        <v>824</v>
      </c>
      <c r="P650" s="7">
        <v>0</v>
      </c>
      <c r="Q650" s="7">
        <v>63523.68</v>
      </c>
      <c r="R650" s="7">
        <v>58361.700000000004</v>
      </c>
      <c r="S650" s="7">
        <v>5161.9799999999959</v>
      </c>
      <c r="T650" s="7" t="s">
        <v>823</v>
      </c>
      <c r="U650" s="7"/>
    </row>
    <row r="651" spans="1:21" x14ac:dyDescent="0.25">
      <c r="A651" s="7" t="s">
        <v>676</v>
      </c>
      <c r="B651" s="7" t="s">
        <v>805</v>
      </c>
      <c r="C651" s="7">
        <v>45292</v>
      </c>
      <c r="D651" s="7">
        <v>45295</v>
      </c>
      <c r="E651" s="7" t="s">
        <v>39</v>
      </c>
      <c r="F651" s="7" t="s">
        <v>35</v>
      </c>
      <c r="G651" s="7">
        <v>1327</v>
      </c>
      <c r="H651" s="7">
        <v>59.57</v>
      </c>
      <c r="I651" s="7">
        <v>56.44</v>
      </c>
      <c r="J651" s="7">
        <v>169</v>
      </c>
      <c r="K651" s="7" t="s">
        <v>15</v>
      </c>
      <c r="L651" s="7">
        <v>3</v>
      </c>
      <c r="M651" s="7">
        <v>11</v>
      </c>
      <c r="N651" s="7">
        <v>0</v>
      </c>
      <c r="O651" s="7" t="s">
        <v>824</v>
      </c>
      <c r="P651" s="7">
        <v>0</v>
      </c>
      <c r="Q651" s="7">
        <v>79049.39</v>
      </c>
      <c r="R651" s="7">
        <v>74895.87999999999</v>
      </c>
      <c r="S651" s="7">
        <v>4153.5100000000093</v>
      </c>
      <c r="T651" s="7" t="s">
        <v>823</v>
      </c>
      <c r="U651" s="7"/>
    </row>
    <row r="652" spans="1:21" x14ac:dyDescent="0.25">
      <c r="A652" s="7" t="s">
        <v>677</v>
      </c>
      <c r="B652" s="7" t="s">
        <v>808</v>
      </c>
      <c r="C652" s="7">
        <v>44854</v>
      </c>
      <c r="D652" s="7">
        <v>44865</v>
      </c>
      <c r="E652" s="7" t="s">
        <v>21</v>
      </c>
      <c r="F652" s="7" t="s">
        <v>18</v>
      </c>
      <c r="G652" s="7">
        <v>1807</v>
      </c>
      <c r="H652" s="7">
        <v>69.47</v>
      </c>
      <c r="I652" s="7">
        <v>60</v>
      </c>
      <c r="J652" s="7">
        <v>50</v>
      </c>
      <c r="K652" s="7" t="s">
        <v>15</v>
      </c>
      <c r="L652" s="7">
        <v>11</v>
      </c>
      <c r="M652" s="7">
        <v>11</v>
      </c>
      <c r="N652" s="7">
        <v>0</v>
      </c>
      <c r="O652" s="7" t="s">
        <v>824</v>
      </c>
      <c r="P652" s="7">
        <v>0</v>
      </c>
      <c r="Q652" s="7">
        <v>125532.29</v>
      </c>
      <c r="R652" s="7">
        <v>108420</v>
      </c>
      <c r="S652" s="7">
        <v>17112.289999999994</v>
      </c>
      <c r="T652" s="7" t="s">
        <v>823</v>
      </c>
      <c r="U652" s="7"/>
    </row>
    <row r="653" spans="1:21" x14ac:dyDescent="0.25">
      <c r="A653" s="7" t="s">
        <v>678</v>
      </c>
      <c r="B653" s="7" t="s">
        <v>804</v>
      </c>
      <c r="C653" s="7">
        <v>44802</v>
      </c>
      <c r="D653" s="7">
        <v>44810</v>
      </c>
      <c r="E653" s="7" t="s">
        <v>13</v>
      </c>
      <c r="F653" s="7" t="s">
        <v>35</v>
      </c>
      <c r="G653" s="7">
        <v>406</v>
      </c>
      <c r="H653" s="7">
        <v>91.73</v>
      </c>
      <c r="I653" s="7">
        <v>89.13</v>
      </c>
      <c r="J653" s="7"/>
      <c r="K653" s="7" t="s">
        <v>15</v>
      </c>
      <c r="L653" s="7">
        <v>8</v>
      </c>
      <c r="M653" s="7">
        <v>11</v>
      </c>
      <c r="N653" s="7">
        <v>0</v>
      </c>
      <c r="O653" s="7" t="s">
        <v>822</v>
      </c>
      <c r="P653" s="7">
        <v>1</v>
      </c>
      <c r="Q653" s="7">
        <v>37242.380000000005</v>
      </c>
      <c r="R653" s="7">
        <v>36186.78</v>
      </c>
      <c r="S653" s="7">
        <v>1055.6000000000058</v>
      </c>
      <c r="T653" s="7" t="s">
        <v>823</v>
      </c>
      <c r="U653" s="7"/>
    </row>
    <row r="654" spans="1:21" x14ac:dyDescent="0.25">
      <c r="A654" s="7" t="s">
        <v>679</v>
      </c>
      <c r="B654" s="7" t="s">
        <v>806</v>
      </c>
      <c r="C654" s="7">
        <v>44840</v>
      </c>
      <c r="D654" s="7">
        <v>44852</v>
      </c>
      <c r="E654" s="7" t="s">
        <v>26</v>
      </c>
      <c r="F654" s="7" t="s">
        <v>33</v>
      </c>
      <c r="G654" s="7">
        <v>72</v>
      </c>
      <c r="H654" s="7">
        <v>103</v>
      </c>
      <c r="I654" s="7">
        <v>89.49</v>
      </c>
      <c r="J654" s="7">
        <v>1</v>
      </c>
      <c r="K654" s="7" t="s">
        <v>27</v>
      </c>
      <c r="L654" s="7">
        <v>12</v>
      </c>
      <c r="M654" s="7">
        <v>11</v>
      </c>
      <c r="N654" s="7">
        <v>1</v>
      </c>
      <c r="O654" s="7" t="s">
        <v>824</v>
      </c>
      <c r="P654" s="7">
        <v>0</v>
      </c>
      <c r="Q654" s="7">
        <v>7416</v>
      </c>
      <c r="R654" s="7">
        <v>6443.28</v>
      </c>
      <c r="S654" s="7">
        <v>972.72000000000025</v>
      </c>
      <c r="T654" s="7" t="s">
        <v>826</v>
      </c>
      <c r="U654" s="7"/>
    </row>
    <row r="655" spans="1:21" x14ac:dyDescent="0.25">
      <c r="A655" s="7" t="s">
        <v>680</v>
      </c>
      <c r="B655" s="7" t="s">
        <v>806</v>
      </c>
      <c r="C655" s="7">
        <v>44905</v>
      </c>
      <c r="D655" s="7">
        <v>44915</v>
      </c>
      <c r="E655" s="7" t="s">
        <v>13</v>
      </c>
      <c r="F655" s="7" t="s">
        <v>18</v>
      </c>
      <c r="G655" s="7">
        <v>1835</v>
      </c>
      <c r="H655" s="7">
        <v>83.5</v>
      </c>
      <c r="I655" s="7">
        <v>82.36</v>
      </c>
      <c r="J655" s="7">
        <v>85</v>
      </c>
      <c r="K655" s="7" t="s">
        <v>27</v>
      </c>
      <c r="L655" s="7">
        <v>10</v>
      </c>
      <c r="M655" s="7">
        <v>11</v>
      </c>
      <c r="N655" s="7">
        <v>0</v>
      </c>
      <c r="O655" s="7" t="s">
        <v>824</v>
      </c>
      <c r="P655" s="7">
        <v>0</v>
      </c>
      <c r="Q655" s="7">
        <v>153222.5</v>
      </c>
      <c r="R655" s="7">
        <v>151130.6</v>
      </c>
      <c r="S655" s="7">
        <v>2091.8999999999942</v>
      </c>
      <c r="T655" s="7" t="s">
        <v>823</v>
      </c>
      <c r="U655" s="7"/>
    </row>
    <row r="656" spans="1:21" x14ac:dyDescent="0.25">
      <c r="A656" s="7" t="s">
        <v>681</v>
      </c>
      <c r="B656" s="7" t="s">
        <v>805</v>
      </c>
      <c r="C656" s="7">
        <v>44889</v>
      </c>
      <c r="D656" s="7">
        <v>44905</v>
      </c>
      <c r="E656" s="7" t="s">
        <v>39</v>
      </c>
      <c r="F656" s="7" t="s">
        <v>35</v>
      </c>
      <c r="G656" s="7">
        <v>571</v>
      </c>
      <c r="H656" s="7">
        <v>49.98</v>
      </c>
      <c r="I656" s="7">
        <v>45.58</v>
      </c>
      <c r="J656" s="7"/>
      <c r="K656" s="7" t="s">
        <v>27</v>
      </c>
      <c r="L656" s="7">
        <v>16</v>
      </c>
      <c r="M656" s="7">
        <v>11</v>
      </c>
      <c r="N656" s="7">
        <v>5</v>
      </c>
      <c r="O656" s="7" t="s">
        <v>824</v>
      </c>
      <c r="P656" s="7">
        <v>0</v>
      </c>
      <c r="Q656" s="7">
        <v>28538.579999999998</v>
      </c>
      <c r="R656" s="7">
        <v>26026.18</v>
      </c>
      <c r="S656" s="7">
        <v>2512.3999999999978</v>
      </c>
      <c r="T656" s="7" t="s">
        <v>825</v>
      </c>
      <c r="U656" s="7"/>
    </row>
    <row r="657" spans="1:21" x14ac:dyDescent="0.25">
      <c r="A657" s="7" t="s">
        <v>682</v>
      </c>
      <c r="B657" s="7" t="s">
        <v>808</v>
      </c>
      <c r="C657" s="7">
        <v>45115</v>
      </c>
      <c r="D657" s="7">
        <v>45116</v>
      </c>
      <c r="E657" s="7" t="s">
        <v>24</v>
      </c>
      <c r="F657" s="7" t="s">
        <v>18</v>
      </c>
      <c r="G657" s="7">
        <v>1831</v>
      </c>
      <c r="H657" s="7">
        <v>52.24</v>
      </c>
      <c r="I657" s="7">
        <v>50.44</v>
      </c>
      <c r="J657" s="7">
        <v>60</v>
      </c>
      <c r="K657" s="7" t="s">
        <v>15</v>
      </c>
      <c r="L657" s="7">
        <v>1</v>
      </c>
      <c r="M657" s="7">
        <v>11</v>
      </c>
      <c r="N657" s="7">
        <v>0</v>
      </c>
      <c r="O657" s="7" t="s">
        <v>824</v>
      </c>
      <c r="P657" s="7">
        <v>0</v>
      </c>
      <c r="Q657" s="7">
        <v>95651.44</v>
      </c>
      <c r="R657" s="7">
        <v>92355.64</v>
      </c>
      <c r="S657" s="7">
        <v>3295.8000000000029</v>
      </c>
      <c r="T657" s="7" t="s">
        <v>823</v>
      </c>
      <c r="U657" s="7"/>
    </row>
    <row r="658" spans="1:21" x14ac:dyDescent="0.25">
      <c r="A658" s="7" t="s">
        <v>683</v>
      </c>
      <c r="B658" s="7" t="s">
        <v>807</v>
      </c>
      <c r="C658" s="7">
        <v>44644</v>
      </c>
      <c r="D658" s="7">
        <v>44658</v>
      </c>
      <c r="E658" s="7" t="s">
        <v>13</v>
      </c>
      <c r="F658" s="7" t="s">
        <v>35</v>
      </c>
      <c r="G658" s="7">
        <v>1910</v>
      </c>
      <c r="H658" s="7">
        <v>77.150000000000006</v>
      </c>
      <c r="I658" s="7">
        <v>68.489999999999995</v>
      </c>
      <c r="J658" s="7">
        <v>170</v>
      </c>
      <c r="K658" s="7" t="s">
        <v>15</v>
      </c>
      <c r="L658" s="7">
        <v>14</v>
      </c>
      <c r="M658" s="7">
        <v>11</v>
      </c>
      <c r="N658" s="7">
        <v>3</v>
      </c>
      <c r="O658" s="7" t="s">
        <v>824</v>
      </c>
      <c r="P658" s="7">
        <v>0</v>
      </c>
      <c r="Q658" s="7">
        <v>147356.5</v>
      </c>
      <c r="R658" s="7">
        <v>130815.9</v>
      </c>
      <c r="S658" s="7">
        <v>16540.600000000006</v>
      </c>
      <c r="T658" s="7" t="s">
        <v>826</v>
      </c>
      <c r="U658" s="7"/>
    </row>
    <row r="659" spans="1:21" x14ac:dyDescent="0.25">
      <c r="A659" s="7" t="s">
        <v>684</v>
      </c>
      <c r="B659" s="7" t="s">
        <v>806</v>
      </c>
      <c r="C659" s="7">
        <v>44703</v>
      </c>
      <c r="D659" s="7">
        <v>44712</v>
      </c>
      <c r="E659" s="7" t="s">
        <v>39</v>
      </c>
      <c r="F659" s="7" t="s">
        <v>33</v>
      </c>
      <c r="G659" s="7">
        <v>1173</v>
      </c>
      <c r="H659" s="7">
        <v>32.119999999999997</v>
      </c>
      <c r="I659" s="7">
        <v>29.18</v>
      </c>
      <c r="J659" s="7"/>
      <c r="K659" s="7" t="s">
        <v>15</v>
      </c>
      <c r="L659" s="7">
        <v>9</v>
      </c>
      <c r="M659" s="7">
        <v>11</v>
      </c>
      <c r="N659" s="7">
        <v>0</v>
      </c>
      <c r="O659" s="7" t="s">
        <v>822</v>
      </c>
      <c r="P659" s="7">
        <v>1</v>
      </c>
      <c r="Q659" s="7">
        <v>37676.759999999995</v>
      </c>
      <c r="R659" s="7">
        <v>34228.14</v>
      </c>
      <c r="S659" s="7">
        <v>3448.6199999999953</v>
      </c>
      <c r="T659" s="7" t="s">
        <v>823</v>
      </c>
      <c r="U659" s="7"/>
    </row>
    <row r="660" spans="1:21" x14ac:dyDescent="0.25">
      <c r="A660" s="7" t="s">
        <v>685</v>
      </c>
      <c r="B660" s="7" t="s">
        <v>808</v>
      </c>
      <c r="C660" s="7">
        <v>44716</v>
      </c>
      <c r="D660" s="7">
        <v>44729</v>
      </c>
      <c r="E660" s="7" t="s">
        <v>24</v>
      </c>
      <c r="F660" s="7" t="s">
        <v>33</v>
      </c>
      <c r="G660" s="7">
        <v>851</v>
      </c>
      <c r="H660" s="7">
        <v>20.440000000000001</v>
      </c>
      <c r="I660" s="7">
        <v>19.22</v>
      </c>
      <c r="J660" s="7">
        <v>22</v>
      </c>
      <c r="K660" s="7" t="s">
        <v>15</v>
      </c>
      <c r="L660" s="7">
        <v>13</v>
      </c>
      <c r="M660" s="7">
        <v>11</v>
      </c>
      <c r="N660" s="7">
        <v>2</v>
      </c>
      <c r="O660" s="7" t="s">
        <v>824</v>
      </c>
      <c r="P660" s="7">
        <v>0</v>
      </c>
      <c r="Q660" s="7">
        <v>17394.440000000002</v>
      </c>
      <c r="R660" s="7">
        <v>16356.22</v>
      </c>
      <c r="S660" s="7">
        <v>1038.220000000003</v>
      </c>
      <c r="T660" s="7" t="s">
        <v>826</v>
      </c>
      <c r="U660" s="7"/>
    </row>
    <row r="661" spans="1:21" x14ac:dyDescent="0.25">
      <c r="A661" s="7" t="s">
        <v>686</v>
      </c>
      <c r="B661" s="7" t="s">
        <v>808</v>
      </c>
      <c r="C661" s="7">
        <v>44798</v>
      </c>
      <c r="D661" s="7">
        <v>44811</v>
      </c>
      <c r="E661" s="7" t="s">
        <v>21</v>
      </c>
      <c r="F661" s="7" t="s">
        <v>14</v>
      </c>
      <c r="G661" s="7">
        <v>1253</v>
      </c>
      <c r="H661" s="7">
        <v>43.38</v>
      </c>
      <c r="I661" s="7">
        <v>38.01</v>
      </c>
      <c r="J661" s="7">
        <v>34</v>
      </c>
      <c r="K661" s="7" t="s">
        <v>15</v>
      </c>
      <c r="L661" s="7">
        <v>13</v>
      </c>
      <c r="M661" s="7">
        <v>11</v>
      </c>
      <c r="N661" s="7">
        <v>2</v>
      </c>
      <c r="O661" s="7" t="s">
        <v>824</v>
      </c>
      <c r="P661" s="7">
        <v>0</v>
      </c>
      <c r="Q661" s="7">
        <v>54355.140000000007</v>
      </c>
      <c r="R661" s="7">
        <v>47626.53</v>
      </c>
      <c r="S661" s="7">
        <v>6728.6100000000079</v>
      </c>
      <c r="T661" s="7" t="s">
        <v>826</v>
      </c>
      <c r="U661" s="7"/>
    </row>
    <row r="662" spans="1:21" x14ac:dyDescent="0.25">
      <c r="A662" s="7" t="s">
        <v>687</v>
      </c>
      <c r="B662" s="7" t="s">
        <v>804</v>
      </c>
      <c r="C662" s="7">
        <v>44954</v>
      </c>
      <c r="D662" s="7">
        <v>44972</v>
      </c>
      <c r="E662" s="7" t="s">
        <v>39</v>
      </c>
      <c r="F662" s="7" t="s">
        <v>18</v>
      </c>
      <c r="G662" s="7">
        <v>1296</v>
      </c>
      <c r="H662" s="7">
        <v>38</v>
      </c>
      <c r="I662" s="7">
        <v>33.42</v>
      </c>
      <c r="J662" s="7">
        <v>33</v>
      </c>
      <c r="K662" s="7" t="s">
        <v>15</v>
      </c>
      <c r="L662" s="7">
        <v>18</v>
      </c>
      <c r="M662" s="7">
        <v>11</v>
      </c>
      <c r="N662" s="7">
        <v>7</v>
      </c>
      <c r="O662" s="7" t="s">
        <v>824</v>
      </c>
      <c r="P662" s="7">
        <v>0</v>
      </c>
      <c r="Q662" s="7">
        <v>49248</v>
      </c>
      <c r="R662" s="7">
        <v>43312.32</v>
      </c>
      <c r="S662" s="7">
        <v>5935.68</v>
      </c>
      <c r="T662" s="7" t="s">
        <v>825</v>
      </c>
      <c r="U662" s="7"/>
    </row>
    <row r="663" spans="1:21" x14ac:dyDescent="0.25">
      <c r="A663" s="7" t="s">
        <v>688</v>
      </c>
      <c r="B663" s="7" t="s">
        <v>807</v>
      </c>
      <c r="C663" s="7">
        <v>45272</v>
      </c>
      <c r="D663" s="7">
        <v>45290</v>
      </c>
      <c r="E663" s="7" t="s">
        <v>26</v>
      </c>
      <c r="F663" s="7" t="s">
        <v>18</v>
      </c>
      <c r="G663" s="7">
        <v>1979</v>
      </c>
      <c r="H663" s="7">
        <v>40.880000000000003</v>
      </c>
      <c r="I663" s="7">
        <v>39.46</v>
      </c>
      <c r="J663" s="7">
        <v>221</v>
      </c>
      <c r="K663" s="7" t="s">
        <v>15</v>
      </c>
      <c r="L663" s="7">
        <v>18</v>
      </c>
      <c r="M663" s="7">
        <v>11</v>
      </c>
      <c r="N663" s="7">
        <v>7</v>
      </c>
      <c r="O663" s="7" t="s">
        <v>824</v>
      </c>
      <c r="P663" s="7">
        <v>0</v>
      </c>
      <c r="Q663" s="7">
        <v>80901.52</v>
      </c>
      <c r="R663" s="7">
        <v>78091.34</v>
      </c>
      <c r="S663" s="7">
        <v>2810.1800000000076</v>
      </c>
      <c r="T663" s="7" t="s">
        <v>825</v>
      </c>
      <c r="U663" s="7"/>
    </row>
    <row r="664" spans="1:21" x14ac:dyDescent="0.25">
      <c r="A664" s="7" t="s">
        <v>689</v>
      </c>
      <c r="B664" s="7" t="s">
        <v>806</v>
      </c>
      <c r="C664" s="7">
        <v>44718</v>
      </c>
      <c r="D664" s="7">
        <v>44731</v>
      </c>
      <c r="E664" s="7" t="s">
        <v>13</v>
      </c>
      <c r="F664" s="7" t="s">
        <v>18</v>
      </c>
      <c r="G664" s="7">
        <v>811</v>
      </c>
      <c r="H664" s="7">
        <v>31.8</v>
      </c>
      <c r="I664" s="7">
        <v>30.33</v>
      </c>
      <c r="J664" s="7">
        <v>58</v>
      </c>
      <c r="K664" s="7" t="s">
        <v>15</v>
      </c>
      <c r="L664" s="7">
        <v>13</v>
      </c>
      <c r="M664" s="7">
        <v>11</v>
      </c>
      <c r="N664" s="7">
        <v>2</v>
      </c>
      <c r="O664" s="7" t="s">
        <v>824</v>
      </c>
      <c r="P664" s="7">
        <v>0</v>
      </c>
      <c r="Q664" s="7">
        <v>25789.8</v>
      </c>
      <c r="R664" s="7">
        <v>24597.629999999997</v>
      </c>
      <c r="S664" s="7">
        <v>1192.1700000000019</v>
      </c>
      <c r="T664" s="7" t="s">
        <v>826</v>
      </c>
      <c r="U664" s="7"/>
    </row>
    <row r="665" spans="1:21" x14ac:dyDescent="0.25">
      <c r="A665" s="7" t="s">
        <v>690</v>
      </c>
      <c r="B665" s="7" t="s">
        <v>804</v>
      </c>
      <c r="C665" s="7">
        <v>45285</v>
      </c>
      <c r="D665" s="7">
        <v>45303</v>
      </c>
      <c r="E665" s="7" t="s">
        <v>39</v>
      </c>
      <c r="F665" s="7" t="s">
        <v>18</v>
      </c>
      <c r="G665" s="7">
        <v>1732</v>
      </c>
      <c r="H665" s="7">
        <v>15.37</v>
      </c>
      <c r="I665" s="7">
        <v>14.7</v>
      </c>
      <c r="J665" s="7">
        <v>38</v>
      </c>
      <c r="K665" s="7" t="s">
        <v>15</v>
      </c>
      <c r="L665" s="7">
        <v>18</v>
      </c>
      <c r="M665" s="7">
        <v>11</v>
      </c>
      <c r="N665" s="7">
        <v>7</v>
      </c>
      <c r="O665" s="7" t="s">
        <v>824</v>
      </c>
      <c r="P665" s="7">
        <v>0</v>
      </c>
      <c r="Q665" s="7">
        <v>26620.84</v>
      </c>
      <c r="R665" s="7">
        <v>25460.399999999998</v>
      </c>
      <c r="S665" s="7">
        <v>1160.4400000000023</v>
      </c>
      <c r="T665" s="7" t="s">
        <v>825</v>
      </c>
      <c r="U665" s="7"/>
    </row>
    <row r="666" spans="1:21" x14ac:dyDescent="0.25">
      <c r="A666" s="7" t="s">
        <v>691</v>
      </c>
      <c r="B666" s="7" t="s">
        <v>807</v>
      </c>
      <c r="C666" s="7">
        <v>44781</v>
      </c>
      <c r="D666" s="7">
        <v>44801</v>
      </c>
      <c r="E666" s="7" t="s">
        <v>24</v>
      </c>
      <c r="F666" s="7" t="s">
        <v>18</v>
      </c>
      <c r="G666" s="7">
        <v>491</v>
      </c>
      <c r="H666" s="7">
        <v>12.01</v>
      </c>
      <c r="I666" s="7">
        <v>11.67</v>
      </c>
      <c r="J666" s="7">
        <v>47</v>
      </c>
      <c r="K666" s="7" t="s">
        <v>15</v>
      </c>
      <c r="L666" s="7">
        <v>20</v>
      </c>
      <c r="M666" s="7">
        <v>11</v>
      </c>
      <c r="N666" s="7">
        <v>9</v>
      </c>
      <c r="O666" s="7" t="s">
        <v>824</v>
      </c>
      <c r="P666" s="7">
        <v>0</v>
      </c>
      <c r="Q666" s="7">
        <v>5896.91</v>
      </c>
      <c r="R666" s="7">
        <v>5729.97</v>
      </c>
      <c r="S666" s="7">
        <v>166.9399999999996</v>
      </c>
      <c r="T666" s="7" t="s">
        <v>825</v>
      </c>
      <c r="U666" s="7"/>
    </row>
    <row r="667" spans="1:21" x14ac:dyDescent="0.25">
      <c r="A667" s="7" t="s">
        <v>692</v>
      </c>
      <c r="B667" s="7" t="s">
        <v>806</v>
      </c>
      <c r="C667" s="7">
        <v>44627</v>
      </c>
      <c r="D667" s="7">
        <v>44631</v>
      </c>
      <c r="E667" s="7" t="s">
        <v>24</v>
      </c>
      <c r="F667" s="7" t="s">
        <v>14</v>
      </c>
      <c r="G667" s="7">
        <v>1681</v>
      </c>
      <c r="H667" s="7">
        <v>99.88</v>
      </c>
      <c r="I667" s="7">
        <v>96.38</v>
      </c>
      <c r="J667" s="7">
        <v>90</v>
      </c>
      <c r="K667" s="7" t="s">
        <v>15</v>
      </c>
      <c r="L667" s="7">
        <v>4</v>
      </c>
      <c r="M667" s="7">
        <v>11</v>
      </c>
      <c r="N667" s="7">
        <v>0</v>
      </c>
      <c r="O667" s="7" t="s">
        <v>824</v>
      </c>
      <c r="P667" s="7">
        <v>0</v>
      </c>
      <c r="Q667" s="7">
        <v>167898.28</v>
      </c>
      <c r="R667" s="7">
        <v>162014.78</v>
      </c>
      <c r="S667" s="7">
        <v>5883.5</v>
      </c>
      <c r="T667" s="7" t="s">
        <v>823</v>
      </c>
      <c r="U667" s="7"/>
    </row>
    <row r="668" spans="1:21" x14ac:dyDescent="0.25">
      <c r="A668" s="7" t="s">
        <v>693</v>
      </c>
      <c r="B668" s="7" t="s">
        <v>804</v>
      </c>
      <c r="C668" s="7">
        <v>44986</v>
      </c>
      <c r="D668" s="7">
        <v>44990</v>
      </c>
      <c r="E668" s="7" t="s">
        <v>26</v>
      </c>
      <c r="F668" s="7" t="s">
        <v>33</v>
      </c>
      <c r="G668" s="7">
        <v>818</v>
      </c>
      <c r="H668" s="7">
        <v>51.89</v>
      </c>
      <c r="I668" s="7">
        <v>47.85</v>
      </c>
      <c r="J668" s="7">
        <v>12</v>
      </c>
      <c r="K668" s="7" t="s">
        <v>15</v>
      </c>
      <c r="L668" s="7">
        <v>4</v>
      </c>
      <c r="M668" s="7">
        <v>11</v>
      </c>
      <c r="N668" s="7">
        <v>0</v>
      </c>
      <c r="O668" s="7" t="s">
        <v>824</v>
      </c>
      <c r="P668" s="7">
        <v>0</v>
      </c>
      <c r="Q668" s="7">
        <v>42446.020000000004</v>
      </c>
      <c r="R668" s="7">
        <v>39141.300000000003</v>
      </c>
      <c r="S668" s="7">
        <v>3304.7200000000012</v>
      </c>
      <c r="T668" s="7" t="s">
        <v>823</v>
      </c>
      <c r="U668" s="7"/>
    </row>
    <row r="669" spans="1:21" x14ac:dyDescent="0.25">
      <c r="A669" s="7" t="s">
        <v>694</v>
      </c>
      <c r="B669" s="7" t="s">
        <v>807</v>
      </c>
      <c r="C669" s="7">
        <v>44979</v>
      </c>
      <c r="D669" s="7">
        <v>44990</v>
      </c>
      <c r="E669" s="7" t="s">
        <v>13</v>
      </c>
      <c r="F669" s="7" t="s">
        <v>18</v>
      </c>
      <c r="G669" s="7">
        <v>1065</v>
      </c>
      <c r="H669" s="7">
        <v>47.49</v>
      </c>
      <c r="I669" s="7">
        <v>41.42</v>
      </c>
      <c r="J669" s="7">
        <v>113</v>
      </c>
      <c r="K669" s="7" t="s">
        <v>15</v>
      </c>
      <c r="L669" s="7">
        <v>11</v>
      </c>
      <c r="M669" s="7">
        <v>11</v>
      </c>
      <c r="N669" s="7">
        <v>0</v>
      </c>
      <c r="O669" s="7" t="s">
        <v>824</v>
      </c>
      <c r="P669" s="7">
        <v>0</v>
      </c>
      <c r="Q669" s="7">
        <v>50576.85</v>
      </c>
      <c r="R669" s="7">
        <v>44112.3</v>
      </c>
      <c r="S669" s="7">
        <v>6464.5499999999956</v>
      </c>
      <c r="T669" s="7" t="s">
        <v>823</v>
      </c>
      <c r="U669" s="7"/>
    </row>
    <row r="670" spans="1:21" x14ac:dyDescent="0.25">
      <c r="A670" s="7" t="s">
        <v>695</v>
      </c>
      <c r="B670" s="7" t="s">
        <v>806</v>
      </c>
      <c r="C670" s="7">
        <v>44900</v>
      </c>
      <c r="D670" s="7">
        <v>44912</v>
      </c>
      <c r="E670" s="7" t="s">
        <v>24</v>
      </c>
      <c r="F670" s="7" t="s">
        <v>18</v>
      </c>
      <c r="G670" s="7">
        <v>1398</v>
      </c>
      <c r="H670" s="7">
        <v>75.08</v>
      </c>
      <c r="I670" s="7">
        <v>67.09</v>
      </c>
      <c r="J670" s="7">
        <v>57</v>
      </c>
      <c r="K670" s="7" t="s">
        <v>15</v>
      </c>
      <c r="L670" s="7">
        <v>12</v>
      </c>
      <c r="M670" s="7">
        <v>11</v>
      </c>
      <c r="N670" s="7">
        <v>1</v>
      </c>
      <c r="O670" s="7" t="s">
        <v>824</v>
      </c>
      <c r="P670" s="7">
        <v>0</v>
      </c>
      <c r="Q670" s="7">
        <v>104961.84</v>
      </c>
      <c r="R670" s="7">
        <v>93791.82</v>
      </c>
      <c r="S670" s="7">
        <v>11170.01999999999</v>
      </c>
      <c r="T670" s="7" t="s">
        <v>826</v>
      </c>
      <c r="U670" s="7"/>
    </row>
    <row r="671" spans="1:21" x14ac:dyDescent="0.25">
      <c r="A671" s="7" t="s">
        <v>696</v>
      </c>
      <c r="B671" s="7" t="s">
        <v>807</v>
      </c>
      <c r="C671" s="7">
        <v>45117</v>
      </c>
      <c r="D671" s="7">
        <v>45124</v>
      </c>
      <c r="E671" s="7" t="s">
        <v>24</v>
      </c>
      <c r="F671" s="7" t="s">
        <v>18</v>
      </c>
      <c r="G671" s="7">
        <v>565</v>
      </c>
      <c r="H671" s="7">
        <v>32.31</v>
      </c>
      <c r="I671" s="7">
        <v>29.76</v>
      </c>
      <c r="J671" s="7">
        <v>60</v>
      </c>
      <c r="K671" s="7" t="s">
        <v>15</v>
      </c>
      <c r="L671" s="7">
        <v>7</v>
      </c>
      <c r="M671" s="7">
        <v>11</v>
      </c>
      <c r="N671" s="7">
        <v>0</v>
      </c>
      <c r="O671" s="7" t="s">
        <v>824</v>
      </c>
      <c r="P671" s="7">
        <v>0</v>
      </c>
      <c r="Q671" s="7">
        <v>18255.150000000001</v>
      </c>
      <c r="R671" s="7">
        <v>16814.400000000001</v>
      </c>
      <c r="S671" s="7">
        <v>1440.75</v>
      </c>
      <c r="T671" s="7" t="s">
        <v>823</v>
      </c>
      <c r="U671" s="7"/>
    </row>
    <row r="672" spans="1:21" x14ac:dyDescent="0.25">
      <c r="A672" s="7" t="s">
        <v>697</v>
      </c>
      <c r="B672" s="7" t="s">
        <v>808</v>
      </c>
      <c r="C672" s="7">
        <v>45039</v>
      </c>
      <c r="D672" s="7">
        <v>45052</v>
      </c>
      <c r="E672" s="7" t="s">
        <v>24</v>
      </c>
      <c r="F672" s="7" t="s">
        <v>35</v>
      </c>
      <c r="G672" s="7">
        <v>1089</v>
      </c>
      <c r="H672" s="7">
        <v>102.66</v>
      </c>
      <c r="I672" s="7">
        <v>89.21</v>
      </c>
      <c r="J672" s="7">
        <v>33</v>
      </c>
      <c r="K672" s="7" t="s">
        <v>15</v>
      </c>
      <c r="L672" s="7">
        <v>13</v>
      </c>
      <c r="M672" s="7">
        <v>11</v>
      </c>
      <c r="N672" s="7">
        <v>2</v>
      </c>
      <c r="O672" s="7" t="s">
        <v>824</v>
      </c>
      <c r="P672" s="7">
        <v>0</v>
      </c>
      <c r="Q672" s="7">
        <v>111796.73999999999</v>
      </c>
      <c r="R672" s="7">
        <v>97149.689999999988</v>
      </c>
      <c r="S672" s="7">
        <v>14647.050000000003</v>
      </c>
      <c r="T672" s="7" t="s">
        <v>826</v>
      </c>
      <c r="U672" s="7"/>
    </row>
    <row r="673" spans="1:21" x14ac:dyDescent="0.25">
      <c r="A673" s="7" t="s">
        <v>698</v>
      </c>
      <c r="B673" s="7" t="s">
        <v>805</v>
      </c>
      <c r="C673" s="7">
        <v>44987</v>
      </c>
      <c r="D673" s="7">
        <v>44989</v>
      </c>
      <c r="E673" s="7" t="s">
        <v>39</v>
      </c>
      <c r="F673" s="7" t="s">
        <v>18</v>
      </c>
      <c r="G673" s="7">
        <v>841</v>
      </c>
      <c r="H673" s="7">
        <v>86.43</v>
      </c>
      <c r="I673" s="7">
        <v>83.77</v>
      </c>
      <c r="J673" s="7">
        <v>125</v>
      </c>
      <c r="K673" s="7" t="s">
        <v>27</v>
      </c>
      <c r="L673" s="7">
        <v>2</v>
      </c>
      <c r="M673" s="7">
        <v>11</v>
      </c>
      <c r="N673" s="7">
        <v>0</v>
      </c>
      <c r="O673" s="7" t="s">
        <v>824</v>
      </c>
      <c r="P673" s="7">
        <v>0</v>
      </c>
      <c r="Q673" s="7">
        <v>72687.63</v>
      </c>
      <c r="R673" s="7">
        <v>70450.569999999992</v>
      </c>
      <c r="S673" s="7">
        <v>2237.0600000000122</v>
      </c>
      <c r="T673" s="7" t="s">
        <v>823</v>
      </c>
      <c r="U673" s="7"/>
    </row>
    <row r="674" spans="1:21" x14ac:dyDescent="0.25">
      <c r="A674" s="7" t="s">
        <v>699</v>
      </c>
      <c r="B674" s="7" t="s">
        <v>805</v>
      </c>
      <c r="C674" s="7">
        <v>44625</v>
      </c>
      <c r="D674" s="7">
        <v>44636</v>
      </c>
      <c r="E674" s="7" t="s">
        <v>39</v>
      </c>
      <c r="F674" s="7" t="s">
        <v>18</v>
      </c>
      <c r="G674" s="7">
        <v>385</v>
      </c>
      <c r="H674" s="7">
        <v>18.23</v>
      </c>
      <c r="I674" s="7">
        <v>17.739999999999998</v>
      </c>
      <c r="J674" s="7"/>
      <c r="K674" s="7" t="s">
        <v>15</v>
      </c>
      <c r="L674" s="7">
        <v>11</v>
      </c>
      <c r="M674" s="7">
        <v>11</v>
      </c>
      <c r="N674" s="7">
        <v>0</v>
      </c>
      <c r="O674" s="7" t="s">
        <v>822</v>
      </c>
      <c r="P674" s="7">
        <v>1</v>
      </c>
      <c r="Q674" s="7">
        <v>7018.55</v>
      </c>
      <c r="R674" s="7">
        <v>6829.9</v>
      </c>
      <c r="S674" s="7">
        <v>188.65000000000055</v>
      </c>
      <c r="T674" s="7" t="s">
        <v>823</v>
      </c>
      <c r="U674" s="7"/>
    </row>
    <row r="675" spans="1:21" x14ac:dyDescent="0.25">
      <c r="A675" s="7" t="s">
        <v>700</v>
      </c>
      <c r="B675" s="7" t="s">
        <v>808</v>
      </c>
      <c r="C675" s="7">
        <v>44773</v>
      </c>
      <c r="D675" s="7">
        <v>44790</v>
      </c>
      <c r="E675" s="7" t="s">
        <v>13</v>
      </c>
      <c r="F675" s="7" t="s">
        <v>18</v>
      </c>
      <c r="G675" s="7">
        <v>1832</v>
      </c>
      <c r="H675" s="7">
        <v>49.01</v>
      </c>
      <c r="I675" s="7">
        <v>41.86</v>
      </c>
      <c r="J675" s="7">
        <v>52</v>
      </c>
      <c r="K675" s="7" t="s">
        <v>15</v>
      </c>
      <c r="L675" s="7">
        <v>17</v>
      </c>
      <c r="M675" s="7">
        <v>11</v>
      </c>
      <c r="N675" s="7">
        <v>6</v>
      </c>
      <c r="O675" s="7" t="s">
        <v>824</v>
      </c>
      <c r="P675" s="7">
        <v>0</v>
      </c>
      <c r="Q675" s="7">
        <v>89786.319999999992</v>
      </c>
      <c r="R675" s="7">
        <v>76687.520000000004</v>
      </c>
      <c r="S675" s="7">
        <v>13098.799999999988</v>
      </c>
      <c r="T675" s="7" t="s">
        <v>825</v>
      </c>
      <c r="U675" s="7"/>
    </row>
    <row r="676" spans="1:21" x14ac:dyDescent="0.25">
      <c r="A676" s="7" t="s">
        <v>701</v>
      </c>
      <c r="B676" s="7" t="s">
        <v>807</v>
      </c>
      <c r="C676" s="7">
        <v>44992</v>
      </c>
      <c r="D676" s="7">
        <v>45012</v>
      </c>
      <c r="E676" s="7" t="s">
        <v>26</v>
      </c>
      <c r="F676" s="7" t="s">
        <v>18</v>
      </c>
      <c r="G676" s="7">
        <v>307</v>
      </c>
      <c r="H676" s="7">
        <v>95.36</v>
      </c>
      <c r="I676" s="7">
        <v>83.63</v>
      </c>
      <c r="J676" s="7">
        <v>29</v>
      </c>
      <c r="K676" s="7" t="s">
        <v>15</v>
      </c>
      <c r="L676" s="7">
        <v>20</v>
      </c>
      <c r="M676" s="7">
        <v>11</v>
      </c>
      <c r="N676" s="7">
        <v>9</v>
      </c>
      <c r="O676" s="7" t="s">
        <v>824</v>
      </c>
      <c r="P676" s="7">
        <v>0</v>
      </c>
      <c r="Q676" s="7">
        <v>29275.52</v>
      </c>
      <c r="R676" s="7">
        <v>25674.41</v>
      </c>
      <c r="S676" s="7">
        <v>3601.1100000000006</v>
      </c>
      <c r="T676" s="7" t="s">
        <v>825</v>
      </c>
      <c r="U676" s="7"/>
    </row>
    <row r="677" spans="1:21" x14ac:dyDescent="0.25">
      <c r="A677" s="7" t="s">
        <v>702</v>
      </c>
      <c r="B677" s="7" t="s">
        <v>808</v>
      </c>
      <c r="C677" s="7">
        <v>44960</v>
      </c>
      <c r="D677" s="7">
        <v>44965</v>
      </c>
      <c r="E677" s="7" t="s">
        <v>13</v>
      </c>
      <c r="F677" s="7" t="s">
        <v>18</v>
      </c>
      <c r="G677" s="7">
        <v>546</v>
      </c>
      <c r="H677" s="7">
        <v>101.2</v>
      </c>
      <c r="I677" s="7">
        <v>97.82</v>
      </c>
      <c r="J677" s="7">
        <v>21</v>
      </c>
      <c r="K677" s="7" t="s">
        <v>15</v>
      </c>
      <c r="L677" s="7">
        <v>5</v>
      </c>
      <c r="M677" s="7">
        <v>11</v>
      </c>
      <c r="N677" s="7">
        <v>0</v>
      </c>
      <c r="O677" s="7" t="s">
        <v>824</v>
      </c>
      <c r="P677" s="7">
        <v>0</v>
      </c>
      <c r="Q677" s="7">
        <v>55255.200000000004</v>
      </c>
      <c r="R677" s="7">
        <v>53409.719999999994</v>
      </c>
      <c r="S677" s="7">
        <v>1845.4800000000105</v>
      </c>
      <c r="T677" s="7" t="s">
        <v>823</v>
      </c>
      <c r="U677" s="7"/>
    </row>
    <row r="678" spans="1:21" x14ac:dyDescent="0.25">
      <c r="A678" s="7" t="s">
        <v>703</v>
      </c>
      <c r="B678" s="7" t="s">
        <v>805</v>
      </c>
      <c r="C678" s="7">
        <v>45160</v>
      </c>
      <c r="D678" s="7">
        <v>45180</v>
      </c>
      <c r="E678" s="7" t="s">
        <v>26</v>
      </c>
      <c r="F678" s="7" t="s">
        <v>18</v>
      </c>
      <c r="G678" s="7">
        <v>945</v>
      </c>
      <c r="H678" s="7">
        <v>57.01</v>
      </c>
      <c r="I678" s="7">
        <v>55.14</v>
      </c>
      <c r="J678" s="7">
        <v>147</v>
      </c>
      <c r="K678" s="7" t="s">
        <v>27</v>
      </c>
      <c r="L678" s="7">
        <v>20</v>
      </c>
      <c r="M678" s="7">
        <v>11</v>
      </c>
      <c r="N678" s="7">
        <v>9</v>
      </c>
      <c r="O678" s="7" t="s">
        <v>824</v>
      </c>
      <c r="P678" s="7">
        <v>0</v>
      </c>
      <c r="Q678" s="7">
        <v>53874.45</v>
      </c>
      <c r="R678" s="7">
        <v>52107.3</v>
      </c>
      <c r="S678" s="7">
        <v>1767.1499999999942</v>
      </c>
      <c r="T678" s="7" t="s">
        <v>825</v>
      </c>
      <c r="U678" s="7"/>
    </row>
    <row r="679" spans="1:21" x14ac:dyDescent="0.25">
      <c r="A679" s="7" t="s">
        <v>704</v>
      </c>
      <c r="B679" s="7" t="s">
        <v>805</v>
      </c>
      <c r="C679" s="7">
        <v>45274</v>
      </c>
      <c r="D679" s="7">
        <v>45287</v>
      </c>
      <c r="E679" s="7" t="s">
        <v>21</v>
      </c>
      <c r="F679" s="7" t="s">
        <v>35</v>
      </c>
      <c r="G679" s="7">
        <v>209</v>
      </c>
      <c r="H679" s="7">
        <v>72.709999999999994</v>
      </c>
      <c r="I679" s="7">
        <v>64.34</v>
      </c>
      <c r="J679" s="7">
        <v>39</v>
      </c>
      <c r="K679" s="7" t="s">
        <v>15</v>
      </c>
      <c r="L679" s="7">
        <v>13</v>
      </c>
      <c r="M679" s="7">
        <v>11</v>
      </c>
      <c r="N679" s="7">
        <v>2</v>
      </c>
      <c r="O679" s="7" t="s">
        <v>824</v>
      </c>
      <c r="P679" s="7">
        <v>0</v>
      </c>
      <c r="Q679" s="7">
        <v>15196.39</v>
      </c>
      <c r="R679" s="7">
        <v>13447.060000000001</v>
      </c>
      <c r="S679" s="7">
        <v>1749.3299999999981</v>
      </c>
      <c r="T679" s="7" t="s">
        <v>826</v>
      </c>
      <c r="U679" s="7"/>
    </row>
    <row r="680" spans="1:21" x14ac:dyDescent="0.25">
      <c r="A680" s="7" t="s">
        <v>705</v>
      </c>
      <c r="B680" s="7" t="s">
        <v>807</v>
      </c>
      <c r="C680" s="7">
        <v>44582</v>
      </c>
      <c r="D680" s="7">
        <v>44593</v>
      </c>
      <c r="E680" s="7" t="s">
        <v>24</v>
      </c>
      <c r="F680" s="7" t="s">
        <v>18</v>
      </c>
      <c r="G680" s="7">
        <v>1548</v>
      </c>
      <c r="H680" s="7">
        <v>25.03</v>
      </c>
      <c r="I680" s="7">
        <v>22.87</v>
      </c>
      <c r="J680" s="7"/>
      <c r="K680" s="7" t="s">
        <v>15</v>
      </c>
      <c r="L680" s="7">
        <v>11</v>
      </c>
      <c r="M680" s="7">
        <v>11</v>
      </c>
      <c r="N680" s="7">
        <v>0</v>
      </c>
      <c r="O680" s="7" t="s">
        <v>822</v>
      </c>
      <c r="P680" s="7">
        <v>1</v>
      </c>
      <c r="Q680" s="7">
        <v>38746.44</v>
      </c>
      <c r="R680" s="7">
        <v>35402.76</v>
      </c>
      <c r="S680" s="7">
        <v>3343.6800000000003</v>
      </c>
      <c r="T680" s="7" t="s">
        <v>823</v>
      </c>
      <c r="U680" s="7"/>
    </row>
    <row r="681" spans="1:21" x14ac:dyDescent="0.25">
      <c r="A681" s="7" t="s">
        <v>706</v>
      </c>
      <c r="B681" s="7" t="s">
        <v>805</v>
      </c>
      <c r="C681" s="7">
        <v>45151</v>
      </c>
      <c r="D681" s="7">
        <v>45161</v>
      </c>
      <c r="E681" s="7" t="s">
        <v>26</v>
      </c>
      <c r="F681" s="7" t="s">
        <v>18</v>
      </c>
      <c r="G681" s="7">
        <v>901</v>
      </c>
      <c r="H681" s="7">
        <v>108.63</v>
      </c>
      <c r="I681" s="7">
        <v>106.3</v>
      </c>
      <c r="J681" s="7">
        <v>141</v>
      </c>
      <c r="K681" s="7" t="s">
        <v>15</v>
      </c>
      <c r="L681" s="7">
        <v>10</v>
      </c>
      <c r="M681" s="7">
        <v>11</v>
      </c>
      <c r="N681" s="7">
        <v>0</v>
      </c>
      <c r="O681" s="7" t="s">
        <v>824</v>
      </c>
      <c r="P681" s="7">
        <v>0</v>
      </c>
      <c r="Q681" s="7">
        <v>97875.62999999999</v>
      </c>
      <c r="R681" s="7">
        <v>95776.3</v>
      </c>
      <c r="S681" s="7">
        <v>2099.3299999999872</v>
      </c>
      <c r="T681" s="7" t="s">
        <v>823</v>
      </c>
      <c r="U681" s="7"/>
    </row>
    <row r="682" spans="1:21" x14ac:dyDescent="0.25">
      <c r="A682" s="7" t="s">
        <v>707</v>
      </c>
      <c r="B682" s="7" t="s">
        <v>808</v>
      </c>
      <c r="C682" s="7">
        <v>44951</v>
      </c>
      <c r="D682" s="7">
        <v>44968</v>
      </c>
      <c r="E682" s="7" t="s">
        <v>24</v>
      </c>
      <c r="F682" s="7" t="s">
        <v>18</v>
      </c>
      <c r="G682" s="7">
        <v>1737</v>
      </c>
      <c r="H682" s="7">
        <v>32.700000000000003</v>
      </c>
      <c r="I682" s="7">
        <v>31.02</v>
      </c>
      <c r="J682" s="7">
        <v>48</v>
      </c>
      <c r="K682" s="7" t="s">
        <v>15</v>
      </c>
      <c r="L682" s="7">
        <v>17</v>
      </c>
      <c r="M682" s="7">
        <v>11</v>
      </c>
      <c r="N682" s="7">
        <v>6</v>
      </c>
      <c r="O682" s="7" t="s">
        <v>824</v>
      </c>
      <c r="P682" s="7">
        <v>0</v>
      </c>
      <c r="Q682" s="7">
        <v>56799.9</v>
      </c>
      <c r="R682" s="7">
        <v>53881.74</v>
      </c>
      <c r="S682" s="7">
        <v>2918.1600000000035</v>
      </c>
      <c r="T682" s="7" t="s">
        <v>825</v>
      </c>
      <c r="U682" s="7"/>
    </row>
    <row r="683" spans="1:21" x14ac:dyDescent="0.25">
      <c r="A683" s="7" t="s">
        <v>708</v>
      </c>
      <c r="B683" s="7" t="s">
        <v>807</v>
      </c>
      <c r="C683" s="7">
        <v>45050</v>
      </c>
      <c r="D683" s="7">
        <v>45068</v>
      </c>
      <c r="E683" s="7" t="s">
        <v>26</v>
      </c>
      <c r="F683" s="7" t="s">
        <v>18</v>
      </c>
      <c r="G683" s="7">
        <v>1981</v>
      </c>
      <c r="H683" s="7">
        <v>102.43</v>
      </c>
      <c r="I683" s="7">
        <v>90.99</v>
      </c>
      <c r="J683" s="7">
        <v>204</v>
      </c>
      <c r="K683" s="7" t="s">
        <v>15</v>
      </c>
      <c r="L683" s="7">
        <v>18</v>
      </c>
      <c r="M683" s="7">
        <v>11</v>
      </c>
      <c r="N683" s="7">
        <v>7</v>
      </c>
      <c r="O683" s="7" t="s">
        <v>824</v>
      </c>
      <c r="P683" s="7">
        <v>0</v>
      </c>
      <c r="Q683" s="7">
        <v>202913.83000000002</v>
      </c>
      <c r="R683" s="7">
        <v>180251.19</v>
      </c>
      <c r="S683" s="7">
        <v>22662.640000000014</v>
      </c>
      <c r="T683" s="7" t="s">
        <v>825</v>
      </c>
      <c r="U683" s="7"/>
    </row>
    <row r="684" spans="1:21" x14ac:dyDescent="0.25">
      <c r="A684" s="7" t="s">
        <v>709</v>
      </c>
      <c r="B684" s="7" t="s">
        <v>808</v>
      </c>
      <c r="C684" s="7">
        <v>44568</v>
      </c>
      <c r="D684" s="7">
        <v>44587</v>
      </c>
      <c r="E684" s="7" t="s">
        <v>21</v>
      </c>
      <c r="F684" s="7" t="s">
        <v>35</v>
      </c>
      <c r="G684" s="7">
        <v>739</v>
      </c>
      <c r="H684" s="7">
        <v>68.47</v>
      </c>
      <c r="I684" s="7">
        <v>66.09</v>
      </c>
      <c r="J684" s="7">
        <v>19</v>
      </c>
      <c r="K684" s="7" t="s">
        <v>15</v>
      </c>
      <c r="L684" s="7">
        <v>19</v>
      </c>
      <c r="M684" s="7">
        <v>11</v>
      </c>
      <c r="N684" s="7">
        <v>8</v>
      </c>
      <c r="O684" s="7" t="s">
        <v>824</v>
      </c>
      <c r="P684" s="7">
        <v>0</v>
      </c>
      <c r="Q684" s="7">
        <v>50599.33</v>
      </c>
      <c r="R684" s="7">
        <v>48840.51</v>
      </c>
      <c r="S684" s="7">
        <v>1758.8199999999997</v>
      </c>
      <c r="T684" s="7" t="s">
        <v>825</v>
      </c>
      <c r="U684" s="7"/>
    </row>
    <row r="685" spans="1:21" x14ac:dyDescent="0.25">
      <c r="A685" s="7" t="s">
        <v>710</v>
      </c>
      <c r="B685" s="7" t="s">
        <v>807</v>
      </c>
      <c r="C685" s="7">
        <v>44922</v>
      </c>
      <c r="D685" s="7">
        <v>44923</v>
      </c>
      <c r="E685" s="7" t="s">
        <v>26</v>
      </c>
      <c r="F685" s="7" t="s">
        <v>18</v>
      </c>
      <c r="G685" s="7">
        <v>1748</v>
      </c>
      <c r="H685" s="7">
        <v>68.25</v>
      </c>
      <c r="I685" s="7">
        <v>62.84</v>
      </c>
      <c r="J685" s="7">
        <v>171</v>
      </c>
      <c r="K685" s="7" t="s">
        <v>15</v>
      </c>
      <c r="L685" s="7">
        <v>1</v>
      </c>
      <c r="M685" s="7">
        <v>11</v>
      </c>
      <c r="N685" s="7">
        <v>0</v>
      </c>
      <c r="O685" s="7" t="s">
        <v>824</v>
      </c>
      <c r="P685" s="7">
        <v>0</v>
      </c>
      <c r="Q685" s="7">
        <v>119301</v>
      </c>
      <c r="R685" s="7">
        <v>109844.32</v>
      </c>
      <c r="S685" s="7">
        <v>9456.679999999993</v>
      </c>
      <c r="T685" s="7" t="s">
        <v>823</v>
      </c>
      <c r="U685" s="7"/>
    </row>
    <row r="686" spans="1:21" x14ac:dyDescent="0.25">
      <c r="A686" s="7" t="s">
        <v>711</v>
      </c>
      <c r="B686" s="7" t="s">
        <v>805</v>
      </c>
      <c r="C686" s="7">
        <v>44867</v>
      </c>
      <c r="D686" s="7">
        <v>44871</v>
      </c>
      <c r="E686" s="7" t="s">
        <v>13</v>
      </c>
      <c r="F686" s="7" t="s">
        <v>14</v>
      </c>
      <c r="G686" s="7">
        <v>429</v>
      </c>
      <c r="H686" s="7">
        <v>58.95</v>
      </c>
      <c r="I686" s="7">
        <v>55.35</v>
      </c>
      <c r="J686" s="7">
        <v>59</v>
      </c>
      <c r="K686" s="7" t="s">
        <v>27</v>
      </c>
      <c r="L686" s="7">
        <v>4</v>
      </c>
      <c r="M686" s="7">
        <v>11</v>
      </c>
      <c r="N686" s="7">
        <v>0</v>
      </c>
      <c r="O686" s="7" t="s">
        <v>824</v>
      </c>
      <c r="P686" s="7">
        <v>0</v>
      </c>
      <c r="Q686" s="7">
        <v>25289.550000000003</v>
      </c>
      <c r="R686" s="7">
        <v>23745.15</v>
      </c>
      <c r="S686" s="7">
        <v>1544.4000000000015</v>
      </c>
      <c r="T686" s="7" t="s">
        <v>823</v>
      </c>
      <c r="U686" s="7"/>
    </row>
    <row r="687" spans="1:21" x14ac:dyDescent="0.25">
      <c r="A687" s="7" t="s">
        <v>712</v>
      </c>
      <c r="B687" s="7" t="s">
        <v>806</v>
      </c>
      <c r="C687" s="7">
        <v>44961</v>
      </c>
      <c r="D687" s="7">
        <v>44971</v>
      </c>
      <c r="E687" s="7" t="s">
        <v>39</v>
      </c>
      <c r="F687" s="7" t="s">
        <v>18</v>
      </c>
      <c r="G687" s="7">
        <v>1618</v>
      </c>
      <c r="H687" s="7">
        <v>32.76</v>
      </c>
      <c r="I687" s="7">
        <v>28.41</v>
      </c>
      <c r="J687" s="7">
        <v>62</v>
      </c>
      <c r="K687" s="7" t="s">
        <v>15</v>
      </c>
      <c r="L687" s="7">
        <v>10</v>
      </c>
      <c r="M687" s="7">
        <v>11</v>
      </c>
      <c r="N687" s="7">
        <v>0</v>
      </c>
      <c r="O687" s="7" t="s">
        <v>824</v>
      </c>
      <c r="P687" s="7">
        <v>0</v>
      </c>
      <c r="Q687" s="7">
        <v>53005.68</v>
      </c>
      <c r="R687" s="7">
        <v>45967.38</v>
      </c>
      <c r="S687" s="7">
        <v>7038.3000000000029</v>
      </c>
      <c r="T687" s="7" t="s">
        <v>823</v>
      </c>
      <c r="U687" s="7"/>
    </row>
    <row r="688" spans="1:21" x14ac:dyDescent="0.25">
      <c r="A688" s="7" t="s">
        <v>713</v>
      </c>
      <c r="B688" s="7" t="s">
        <v>807</v>
      </c>
      <c r="C688" s="7">
        <v>44991</v>
      </c>
      <c r="D688" s="7">
        <v>44992</v>
      </c>
      <c r="E688" s="7" t="s">
        <v>24</v>
      </c>
      <c r="F688" s="7" t="s">
        <v>18</v>
      </c>
      <c r="G688" s="7">
        <v>1006</v>
      </c>
      <c r="H688" s="7">
        <v>27.7</v>
      </c>
      <c r="I688" s="7">
        <v>23.66</v>
      </c>
      <c r="J688" s="7">
        <v>101</v>
      </c>
      <c r="K688" s="7" t="s">
        <v>27</v>
      </c>
      <c r="L688" s="7">
        <v>1</v>
      </c>
      <c r="M688" s="7">
        <v>11</v>
      </c>
      <c r="N688" s="7">
        <v>0</v>
      </c>
      <c r="O688" s="7" t="s">
        <v>824</v>
      </c>
      <c r="P688" s="7">
        <v>0</v>
      </c>
      <c r="Q688" s="7">
        <v>27866.2</v>
      </c>
      <c r="R688" s="7">
        <v>23801.96</v>
      </c>
      <c r="S688" s="7">
        <v>4064.2400000000016</v>
      </c>
      <c r="T688" s="7" t="s">
        <v>823</v>
      </c>
      <c r="U688" s="7"/>
    </row>
    <row r="689" spans="1:21" x14ac:dyDescent="0.25">
      <c r="A689" s="7" t="s">
        <v>714</v>
      </c>
      <c r="B689" s="7" t="s">
        <v>807</v>
      </c>
      <c r="C689" s="7">
        <v>45113</v>
      </c>
      <c r="D689" s="7">
        <v>45122</v>
      </c>
      <c r="E689" s="7" t="s">
        <v>39</v>
      </c>
      <c r="F689" s="7" t="s">
        <v>33</v>
      </c>
      <c r="G689" s="7">
        <v>740</v>
      </c>
      <c r="H689" s="7">
        <v>32.53</v>
      </c>
      <c r="I689" s="7">
        <v>29.35</v>
      </c>
      <c r="J689" s="7">
        <v>84</v>
      </c>
      <c r="K689" s="7" t="s">
        <v>15</v>
      </c>
      <c r="L689" s="7">
        <v>9</v>
      </c>
      <c r="M689" s="7">
        <v>11</v>
      </c>
      <c r="N689" s="7">
        <v>0</v>
      </c>
      <c r="O689" s="7" t="s">
        <v>824</v>
      </c>
      <c r="P689" s="7">
        <v>0</v>
      </c>
      <c r="Q689" s="7">
        <v>24072.2</v>
      </c>
      <c r="R689" s="7">
        <v>21719</v>
      </c>
      <c r="S689" s="7">
        <v>2353.2000000000007</v>
      </c>
      <c r="T689" s="7" t="s">
        <v>823</v>
      </c>
      <c r="U689" s="7"/>
    </row>
    <row r="690" spans="1:21" x14ac:dyDescent="0.25">
      <c r="A690" s="7" t="s">
        <v>715</v>
      </c>
      <c r="B690" s="7" t="s">
        <v>806</v>
      </c>
      <c r="C690" s="7">
        <v>45121</v>
      </c>
      <c r="D690" s="7">
        <v>45131</v>
      </c>
      <c r="E690" s="7" t="s">
        <v>26</v>
      </c>
      <c r="F690" s="7" t="s">
        <v>18</v>
      </c>
      <c r="G690" s="7">
        <v>1500</v>
      </c>
      <c r="H690" s="7">
        <v>29.19</v>
      </c>
      <c r="I690" s="7">
        <v>27.24</v>
      </c>
      <c r="J690" s="7">
        <v>72</v>
      </c>
      <c r="K690" s="7" t="s">
        <v>15</v>
      </c>
      <c r="L690" s="7">
        <v>10</v>
      </c>
      <c r="M690" s="7">
        <v>11</v>
      </c>
      <c r="N690" s="7">
        <v>0</v>
      </c>
      <c r="O690" s="7" t="s">
        <v>824</v>
      </c>
      <c r="P690" s="7">
        <v>0</v>
      </c>
      <c r="Q690" s="7">
        <v>43785</v>
      </c>
      <c r="R690" s="7">
        <v>40860</v>
      </c>
      <c r="S690" s="7">
        <v>2925</v>
      </c>
      <c r="T690" s="7" t="s">
        <v>823</v>
      </c>
      <c r="U690" s="7"/>
    </row>
    <row r="691" spans="1:21" x14ac:dyDescent="0.25">
      <c r="A691" s="7" t="s">
        <v>716</v>
      </c>
      <c r="B691" s="7" t="s">
        <v>805</v>
      </c>
      <c r="C691" s="7">
        <v>45179</v>
      </c>
      <c r="D691" s="7">
        <v>45198</v>
      </c>
      <c r="E691" s="7" t="s">
        <v>13</v>
      </c>
      <c r="F691" s="7" t="s">
        <v>14</v>
      </c>
      <c r="G691" s="7">
        <v>1686</v>
      </c>
      <c r="H691" s="7">
        <v>88.18</v>
      </c>
      <c r="I691" s="7">
        <v>77.150000000000006</v>
      </c>
      <c r="J691" s="7"/>
      <c r="K691" s="7" t="s">
        <v>15</v>
      </c>
      <c r="L691" s="7">
        <v>19</v>
      </c>
      <c r="M691" s="7">
        <v>11</v>
      </c>
      <c r="N691" s="7">
        <v>8</v>
      </c>
      <c r="O691" s="7" t="s">
        <v>824</v>
      </c>
      <c r="P691" s="7">
        <v>0</v>
      </c>
      <c r="Q691" s="7">
        <v>148671.48000000001</v>
      </c>
      <c r="R691" s="7">
        <v>130074.90000000001</v>
      </c>
      <c r="S691" s="7">
        <v>18596.580000000002</v>
      </c>
      <c r="T691" s="7" t="s">
        <v>825</v>
      </c>
      <c r="U691" s="7"/>
    </row>
    <row r="692" spans="1:21" x14ac:dyDescent="0.25">
      <c r="A692" s="7" t="s">
        <v>717</v>
      </c>
      <c r="B692" s="7" t="s">
        <v>808</v>
      </c>
      <c r="C692" s="7">
        <v>44787</v>
      </c>
      <c r="D692" s="7">
        <v>44789</v>
      </c>
      <c r="E692" s="7" t="s">
        <v>26</v>
      </c>
      <c r="F692" s="7" t="s">
        <v>14</v>
      </c>
      <c r="G692" s="7">
        <v>1341</v>
      </c>
      <c r="H692" s="7">
        <v>42.96</v>
      </c>
      <c r="I692" s="7">
        <v>41.75</v>
      </c>
      <c r="J692" s="7">
        <v>39</v>
      </c>
      <c r="K692" s="7" t="s">
        <v>15</v>
      </c>
      <c r="L692" s="7">
        <v>2</v>
      </c>
      <c r="M692" s="7">
        <v>11</v>
      </c>
      <c r="N692" s="7">
        <v>0</v>
      </c>
      <c r="O692" s="7" t="s">
        <v>824</v>
      </c>
      <c r="P692" s="7">
        <v>0</v>
      </c>
      <c r="Q692" s="7">
        <v>57609.36</v>
      </c>
      <c r="R692" s="7">
        <v>55986.75</v>
      </c>
      <c r="S692" s="7">
        <v>1622.6100000000006</v>
      </c>
      <c r="T692" s="7" t="s">
        <v>823</v>
      </c>
      <c r="U692" s="7"/>
    </row>
    <row r="693" spans="1:21" x14ac:dyDescent="0.25">
      <c r="A693" s="7" t="s">
        <v>718</v>
      </c>
      <c r="B693" s="7" t="s">
        <v>804</v>
      </c>
      <c r="C693" s="7">
        <v>45061</v>
      </c>
      <c r="D693" s="7">
        <v>45067</v>
      </c>
      <c r="E693" s="7" t="s">
        <v>21</v>
      </c>
      <c r="F693" s="7" t="s">
        <v>14</v>
      </c>
      <c r="G693" s="7">
        <v>1908</v>
      </c>
      <c r="H693" s="7">
        <v>16.420000000000002</v>
      </c>
      <c r="I693" s="7">
        <v>15.31</v>
      </c>
      <c r="J693" s="7">
        <v>36</v>
      </c>
      <c r="K693" s="7" t="s">
        <v>15</v>
      </c>
      <c r="L693" s="7">
        <v>6</v>
      </c>
      <c r="M693" s="7">
        <v>11</v>
      </c>
      <c r="N693" s="7">
        <v>0</v>
      </c>
      <c r="O693" s="7" t="s">
        <v>824</v>
      </c>
      <c r="P693" s="7">
        <v>0</v>
      </c>
      <c r="Q693" s="7">
        <v>31329.360000000004</v>
      </c>
      <c r="R693" s="7">
        <v>29211.48</v>
      </c>
      <c r="S693" s="7">
        <v>2117.8800000000047</v>
      </c>
      <c r="T693" s="7" t="s">
        <v>823</v>
      </c>
      <c r="U693" s="7"/>
    </row>
    <row r="694" spans="1:21" x14ac:dyDescent="0.25">
      <c r="A694" s="7" t="s">
        <v>719</v>
      </c>
      <c r="B694" s="7" t="s">
        <v>806</v>
      </c>
      <c r="C694" s="7">
        <v>44786</v>
      </c>
      <c r="D694" s="7">
        <v>44806</v>
      </c>
      <c r="E694" s="7" t="s">
        <v>21</v>
      </c>
      <c r="F694" s="7" t="s">
        <v>33</v>
      </c>
      <c r="G694" s="7">
        <v>1650</v>
      </c>
      <c r="H694" s="7">
        <v>100.62</v>
      </c>
      <c r="I694" s="7">
        <v>90.45</v>
      </c>
      <c r="J694" s="7">
        <v>85</v>
      </c>
      <c r="K694" s="7" t="s">
        <v>15</v>
      </c>
      <c r="L694" s="7">
        <v>20</v>
      </c>
      <c r="M694" s="7">
        <v>11</v>
      </c>
      <c r="N694" s="7">
        <v>9</v>
      </c>
      <c r="O694" s="7" t="s">
        <v>824</v>
      </c>
      <c r="P694" s="7">
        <v>0</v>
      </c>
      <c r="Q694" s="7">
        <v>166023</v>
      </c>
      <c r="R694" s="7">
        <v>149242.5</v>
      </c>
      <c r="S694" s="7">
        <v>16780.5</v>
      </c>
      <c r="T694" s="7" t="s">
        <v>825</v>
      </c>
      <c r="U694" s="7"/>
    </row>
    <row r="695" spans="1:21" x14ac:dyDescent="0.25">
      <c r="A695" s="7" t="s">
        <v>720</v>
      </c>
      <c r="B695" s="7" t="s">
        <v>804</v>
      </c>
      <c r="C695" s="7">
        <v>44841</v>
      </c>
      <c r="D695" s="7">
        <v>44854</v>
      </c>
      <c r="E695" s="7" t="s">
        <v>21</v>
      </c>
      <c r="F695" s="7" t="s">
        <v>18</v>
      </c>
      <c r="G695" s="7">
        <v>1490</v>
      </c>
      <c r="H695" s="7">
        <v>93.57</v>
      </c>
      <c r="I695" s="7">
        <v>81.680000000000007</v>
      </c>
      <c r="J695" s="7">
        <v>29</v>
      </c>
      <c r="K695" s="7" t="s">
        <v>15</v>
      </c>
      <c r="L695" s="7">
        <v>13</v>
      </c>
      <c r="M695" s="7">
        <v>11</v>
      </c>
      <c r="N695" s="7">
        <v>2</v>
      </c>
      <c r="O695" s="7" t="s">
        <v>824</v>
      </c>
      <c r="P695" s="7">
        <v>0</v>
      </c>
      <c r="Q695" s="7">
        <v>139419.29999999999</v>
      </c>
      <c r="R695" s="7">
        <v>121703.20000000001</v>
      </c>
      <c r="S695" s="7">
        <v>17716.099999999977</v>
      </c>
      <c r="T695" s="7" t="s">
        <v>826</v>
      </c>
      <c r="U695" s="7"/>
    </row>
    <row r="696" spans="1:21" x14ac:dyDescent="0.25">
      <c r="A696" s="7" t="s">
        <v>721</v>
      </c>
      <c r="B696" s="7" t="s">
        <v>805</v>
      </c>
      <c r="C696" s="7">
        <v>45008</v>
      </c>
      <c r="D696" s="7">
        <v>45016</v>
      </c>
      <c r="E696" s="7" t="s">
        <v>26</v>
      </c>
      <c r="F696" s="7" t="s">
        <v>18</v>
      </c>
      <c r="G696" s="7">
        <v>1241</v>
      </c>
      <c r="H696" s="7">
        <v>100.04</v>
      </c>
      <c r="I696" s="7">
        <v>97.56</v>
      </c>
      <c r="J696" s="7">
        <v>187</v>
      </c>
      <c r="K696" s="7" t="s">
        <v>15</v>
      </c>
      <c r="L696" s="7">
        <v>8</v>
      </c>
      <c r="M696" s="7">
        <v>11</v>
      </c>
      <c r="N696" s="7">
        <v>0</v>
      </c>
      <c r="O696" s="7" t="s">
        <v>824</v>
      </c>
      <c r="P696" s="7">
        <v>0</v>
      </c>
      <c r="Q696" s="7">
        <v>124149.64000000001</v>
      </c>
      <c r="R696" s="7">
        <v>121071.96</v>
      </c>
      <c r="S696" s="7">
        <v>3077.6800000000076</v>
      </c>
      <c r="T696" s="7" t="s">
        <v>823</v>
      </c>
      <c r="U696" s="7"/>
    </row>
    <row r="697" spans="1:21" x14ac:dyDescent="0.25">
      <c r="A697" s="7" t="s">
        <v>722</v>
      </c>
      <c r="B697" s="7" t="s">
        <v>807</v>
      </c>
      <c r="C697" s="7">
        <v>45059</v>
      </c>
      <c r="D697" s="7">
        <v>45063</v>
      </c>
      <c r="E697" s="7" t="s">
        <v>21</v>
      </c>
      <c r="F697" s="7" t="s">
        <v>18</v>
      </c>
      <c r="G697" s="7">
        <v>1915</v>
      </c>
      <c r="H697" s="7">
        <v>107.51</v>
      </c>
      <c r="I697" s="7">
        <v>102.66</v>
      </c>
      <c r="J697" s="7">
        <v>184</v>
      </c>
      <c r="K697" s="7" t="s">
        <v>15</v>
      </c>
      <c r="L697" s="7">
        <v>4</v>
      </c>
      <c r="M697" s="7">
        <v>11</v>
      </c>
      <c r="N697" s="7">
        <v>0</v>
      </c>
      <c r="O697" s="7" t="s">
        <v>824</v>
      </c>
      <c r="P697" s="7">
        <v>0</v>
      </c>
      <c r="Q697" s="7">
        <v>205881.65000000002</v>
      </c>
      <c r="R697" s="7">
        <v>196593.9</v>
      </c>
      <c r="S697" s="7">
        <v>9287.7500000000291</v>
      </c>
      <c r="T697" s="7" t="s">
        <v>823</v>
      </c>
      <c r="U697" s="7"/>
    </row>
    <row r="698" spans="1:21" x14ac:dyDescent="0.25">
      <c r="A698" s="7" t="s">
        <v>723</v>
      </c>
      <c r="B698" s="7" t="s">
        <v>807</v>
      </c>
      <c r="C698" s="7">
        <v>44591</v>
      </c>
      <c r="D698" s="7">
        <v>44606</v>
      </c>
      <c r="E698" s="7" t="s">
        <v>26</v>
      </c>
      <c r="F698" s="7" t="s">
        <v>18</v>
      </c>
      <c r="G698" s="7">
        <v>1116</v>
      </c>
      <c r="H698" s="7">
        <v>25.65</v>
      </c>
      <c r="I698" s="7">
        <v>24.28</v>
      </c>
      <c r="J698" s="7">
        <v>121</v>
      </c>
      <c r="K698" s="7" t="s">
        <v>15</v>
      </c>
      <c r="L698" s="7">
        <v>15</v>
      </c>
      <c r="M698" s="7">
        <v>11</v>
      </c>
      <c r="N698" s="7">
        <v>4</v>
      </c>
      <c r="O698" s="7" t="s">
        <v>824</v>
      </c>
      <c r="P698" s="7">
        <v>0</v>
      </c>
      <c r="Q698" s="7">
        <v>28625.399999999998</v>
      </c>
      <c r="R698" s="7">
        <v>27096.48</v>
      </c>
      <c r="S698" s="7">
        <v>1528.9199999999983</v>
      </c>
      <c r="T698" s="7" t="s">
        <v>826</v>
      </c>
      <c r="U698" s="7"/>
    </row>
    <row r="699" spans="1:21" x14ac:dyDescent="0.25">
      <c r="A699" s="7" t="s">
        <v>724</v>
      </c>
      <c r="B699" s="7" t="s">
        <v>805</v>
      </c>
      <c r="C699" s="7">
        <v>44960</v>
      </c>
      <c r="D699" s="7">
        <v>44965</v>
      </c>
      <c r="E699" s="7" t="s">
        <v>26</v>
      </c>
      <c r="F699" s="7" t="s">
        <v>18</v>
      </c>
      <c r="G699" s="7">
        <v>1629</v>
      </c>
      <c r="H699" s="7">
        <v>48.63</v>
      </c>
      <c r="I699" s="7">
        <v>43.28</v>
      </c>
      <c r="J699" s="7">
        <v>260</v>
      </c>
      <c r="K699" s="7" t="s">
        <v>15</v>
      </c>
      <c r="L699" s="7">
        <v>5</v>
      </c>
      <c r="M699" s="7">
        <v>11</v>
      </c>
      <c r="N699" s="7">
        <v>0</v>
      </c>
      <c r="O699" s="7" t="s">
        <v>824</v>
      </c>
      <c r="P699" s="7">
        <v>0</v>
      </c>
      <c r="Q699" s="7">
        <v>79218.27</v>
      </c>
      <c r="R699" s="7">
        <v>70503.12</v>
      </c>
      <c r="S699" s="7">
        <v>8715.1500000000087</v>
      </c>
      <c r="T699" s="7" t="s">
        <v>823</v>
      </c>
      <c r="U699" s="7"/>
    </row>
    <row r="700" spans="1:21" x14ac:dyDescent="0.25">
      <c r="A700" s="7" t="s">
        <v>725</v>
      </c>
      <c r="B700" s="7" t="s">
        <v>808</v>
      </c>
      <c r="C700" s="7">
        <v>44906</v>
      </c>
      <c r="D700" s="7">
        <v>44913</v>
      </c>
      <c r="E700" s="7" t="s">
        <v>13</v>
      </c>
      <c r="F700" s="7" t="s">
        <v>18</v>
      </c>
      <c r="G700" s="7">
        <v>334</v>
      </c>
      <c r="H700" s="7">
        <v>82.54</v>
      </c>
      <c r="I700" s="7">
        <v>74.63</v>
      </c>
      <c r="J700" s="7"/>
      <c r="K700" s="7" t="s">
        <v>15</v>
      </c>
      <c r="L700" s="7">
        <v>7</v>
      </c>
      <c r="M700" s="7">
        <v>11</v>
      </c>
      <c r="N700" s="7">
        <v>0</v>
      </c>
      <c r="O700" s="7" t="s">
        <v>822</v>
      </c>
      <c r="P700" s="7">
        <v>1</v>
      </c>
      <c r="Q700" s="7">
        <v>27568.36</v>
      </c>
      <c r="R700" s="7">
        <v>24926.42</v>
      </c>
      <c r="S700" s="7">
        <v>2641.9400000000023</v>
      </c>
      <c r="T700" s="7" t="s">
        <v>823</v>
      </c>
      <c r="U700" s="7"/>
    </row>
    <row r="701" spans="1:21" x14ac:dyDescent="0.25">
      <c r="A701" s="7" t="s">
        <v>726</v>
      </c>
      <c r="B701" s="7" t="s">
        <v>808</v>
      </c>
      <c r="C701" s="7">
        <v>45246</v>
      </c>
      <c r="D701" s="7">
        <v>45266</v>
      </c>
      <c r="E701" s="7" t="s">
        <v>24</v>
      </c>
      <c r="F701" s="7" t="s">
        <v>18</v>
      </c>
      <c r="G701" s="7">
        <v>446</v>
      </c>
      <c r="H701" s="7">
        <v>80.63</v>
      </c>
      <c r="I701" s="7">
        <v>70.37</v>
      </c>
      <c r="J701" s="7"/>
      <c r="K701" s="7" t="s">
        <v>15</v>
      </c>
      <c r="L701" s="7">
        <v>20</v>
      </c>
      <c r="M701" s="7">
        <v>11</v>
      </c>
      <c r="N701" s="7">
        <v>9</v>
      </c>
      <c r="O701" s="7" t="s">
        <v>824</v>
      </c>
      <c r="P701" s="7">
        <v>0</v>
      </c>
      <c r="Q701" s="7">
        <v>35960.979999999996</v>
      </c>
      <c r="R701" s="7">
        <v>31385.02</v>
      </c>
      <c r="S701" s="7">
        <v>4575.9599999999955</v>
      </c>
      <c r="T701" s="7" t="s">
        <v>825</v>
      </c>
      <c r="U701" s="7"/>
    </row>
    <row r="702" spans="1:21" x14ac:dyDescent="0.25">
      <c r="A702" s="7" t="s">
        <v>727</v>
      </c>
      <c r="B702" s="7" t="s">
        <v>805</v>
      </c>
      <c r="C702" s="7">
        <v>45257</v>
      </c>
      <c r="D702" s="7">
        <v>45268</v>
      </c>
      <c r="E702" s="7" t="s">
        <v>39</v>
      </c>
      <c r="F702" s="7" t="s">
        <v>18</v>
      </c>
      <c r="G702" s="7">
        <v>61</v>
      </c>
      <c r="H702" s="7">
        <v>26.47</v>
      </c>
      <c r="I702" s="7">
        <v>24.62</v>
      </c>
      <c r="J702" s="7">
        <v>6</v>
      </c>
      <c r="K702" s="7" t="s">
        <v>15</v>
      </c>
      <c r="L702" s="7">
        <v>11</v>
      </c>
      <c r="M702" s="7">
        <v>11</v>
      </c>
      <c r="N702" s="7">
        <v>0</v>
      </c>
      <c r="O702" s="7" t="s">
        <v>824</v>
      </c>
      <c r="P702" s="7">
        <v>0</v>
      </c>
      <c r="Q702" s="7">
        <v>1614.6699999999998</v>
      </c>
      <c r="R702" s="7">
        <v>1501.8200000000002</v>
      </c>
      <c r="S702" s="7">
        <v>112.84999999999968</v>
      </c>
      <c r="T702" s="7" t="s">
        <v>823</v>
      </c>
      <c r="U702" s="7"/>
    </row>
    <row r="703" spans="1:21" x14ac:dyDescent="0.25">
      <c r="A703" s="7" t="s">
        <v>728</v>
      </c>
      <c r="B703" s="7" t="s">
        <v>805</v>
      </c>
      <c r="C703" s="7">
        <v>44976</v>
      </c>
      <c r="D703" s="7">
        <v>44978</v>
      </c>
      <c r="E703" s="7" t="s">
        <v>24</v>
      </c>
      <c r="F703" s="7" t="s">
        <v>18</v>
      </c>
      <c r="G703" s="7">
        <v>1680</v>
      </c>
      <c r="H703" s="7">
        <v>88.85</v>
      </c>
      <c r="I703" s="7">
        <v>87.53</v>
      </c>
      <c r="J703" s="7"/>
      <c r="K703" s="7" t="s">
        <v>15</v>
      </c>
      <c r="L703" s="7">
        <v>2</v>
      </c>
      <c r="M703" s="7">
        <v>11</v>
      </c>
      <c r="N703" s="7">
        <v>0</v>
      </c>
      <c r="O703" s="7" t="s">
        <v>822</v>
      </c>
      <c r="P703" s="7">
        <v>1</v>
      </c>
      <c r="Q703" s="7">
        <v>149268</v>
      </c>
      <c r="R703" s="7">
        <v>147050.4</v>
      </c>
      <c r="S703" s="7">
        <v>2217.6000000000058</v>
      </c>
      <c r="T703" s="7" t="s">
        <v>823</v>
      </c>
      <c r="U703" s="7"/>
    </row>
    <row r="704" spans="1:21" x14ac:dyDescent="0.25">
      <c r="A704" s="7" t="s">
        <v>729</v>
      </c>
      <c r="B704" s="7" t="s">
        <v>805</v>
      </c>
      <c r="C704" s="7">
        <v>44731</v>
      </c>
      <c r="D704" s="7">
        <v>44748</v>
      </c>
      <c r="E704" s="7" t="s">
        <v>39</v>
      </c>
      <c r="F704" s="7" t="s">
        <v>18</v>
      </c>
      <c r="G704" s="7">
        <v>1375</v>
      </c>
      <c r="H704" s="7">
        <v>30.95</v>
      </c>
      <c r="I704" s="7">
        <v>30.02</v>
      </c>
      <c r="J704" s="7">
        <v>223</v>
      </c>
      <c r="K704" s="7" t="s">
        <v>15</v>
      </c>
      <c r="L704" s="7">
        <v>17</v>
      </c>
      <c r="M704" s="7">
        <v>11</v>
      </c>
      <c r="N704" s="7">
        <v>6</v>
      </c>
      <c r="O704" s="7" t="s">
        <v>824</v>
      </c>
      <c r="P704" s="7">
        <v>0</v>
      </c>
      <c r="Q704" s="7">
        <v>42556.25</v>
      </c>
      <c r="R704" s="7">
        <v>41277.5</v>
      </c>
      <c r="S704" s="7">
        <v>1278.75</v>
      </c>
      <c r="T704" s="7" t="s">
        <v>825</v>
      </c>
      <c r="U704" s="7"/>
    </row>
    <row r="705" spans="1:21" x14ac:dyDescent="0.25">
      <c r="A705" s="7" t="s">
        <v>730</v>
      </c>
      <c r="B705" s="7" t="s">
        <v>805</v>
      </c>
      <c r="C705" s="7">
        <v>45040</v>
      </c>
      <c r="D705" s="7">
        <v>45051</v>
      </c>
      <c r="E705" s="7" t="s">
        <v>39</v>
      </c>
      <c r="F705" s="7" t="s">
        <v>33</v>
      </c>
      <c r="G705" s="7">
        <v>1971</v>
      </c>
      <c r="H705" s="7">
        <v>32.4</v>
      </c>
      <c r="I705" s="7">
        <v>30.48</v>
      </c>
      <c r="J705" s="7">
        <v>321</v>
      </c>
      <c r="K705" s="7" t="s">
        <v>15</v>
      </c>
      <c r="L705" s="7">
        <v>11</v>
      </c>
      <c r="M705" s="7">
        <v>11</v>
      </c>
      <c r="N705" s="7">
        <v>0</v>
      </c>
      <c r="O705" s="7" t="s">
        <v>824</v>
      </c>
      <c r="P705" s="7">
        <v>0</v>
      </c>
      <c r="Q705" s="7">
        <v>63860.399999999994</v>
      </c>
      <c r="R705" s="7">
        <v>60076.08</v>
      </c>
      <c r="S705" s="7">
        <v>3784.3199999999924</v>
      </c>
      <c r="T705" s="7" t="s">
        <v>823</v>
      </c>
      <c r="U705" s="7"/>
    </row>
    <row r="706" spans="1:21" x14ac:dyDescent="0.25">
      <c r="A706" s="7" t="s">
        <v>731</v>
      </c>
      <c r="B706" s="7" t="s">
        <v>805</v>
      </c>
      <c r="C706" s="7">
        <v>44692</v>
      </c>
      <c r="D706" s="7">
        <v>44703</v>
      </c>
      <c r="E706" s="7" t="s">
        <v>26</v>
      </c>
      <c r="F706" s="7" t="s">
        <v>35</v>
      </c>
      <c r="G706" s="7">
        <v>1326</v>
      </c>
      <c r="H706" s="7">
        <v>59.49</v>
      </c>
      <c r="I706" s="7">
        <v>56.21</v>
      </c>
      <c r="J706" s="7"/>
      <c r="K706" s="7" t="s">
        <v>15</v>
      </c>
      <c r="L706" s="7">
        <v>11</v>
      </c>
      <c r="M706" s="7">
        <v>11</v>
      </c>
      <c r="N706" s="7">
        <v>0</v>
      </c>
      <c r="O706" s="7" t="s">
        <v>822</v>
      </c>
      <c r="P706" s="7">
        <v>1</v>
      </c>
      <c r="Q706" s="7">
        <v>78883.740000000005</v>
      </c>
      <c r="R706" s="7">
        <v>74534.460000000006</v>
      </c>
      <c r="S706" s="7">
        <v>4349.2799999999988</v>
      </c>
      <c r="T706" s="7" t="s">
        <v>823</v>
      </c>
      <c r="U706" s="7"/>
    </row>
    <row r="707" spans="1:21" x14ac:dyDescent="0.25">
      <c r="A707" s="7" t="s">
        <v>732</v>
      </c>
      <c r="B707" s="7" t="s">
        <v>805</v>
      </c>
      <c r="C707" s="7">
        <v>45199</v>
      </c>
      <c r="D707" s="7">
        <v>45212</v>
      </c>
      <c r="E707" s="7" t="s">
        <v>21</v>
      </c>
      <c r="F707" s="7" t="s">
        <v>14</v>
      </c>
      <c r="G707" s="7">
        <v>548</v>
      </c>
      <c r="H707" s="7">
        <v>69.7</v>
      </c>
      <c r="I707" s="7">
        <v>61.87</v>
      </c>
      <c r="J707" s="7">
        <v>90</v>
      </c>
      <c r="K707" s="7" t="s">
        <v>15</v>
      </c>
      <c r="L707" s="7">
        <v>13</v>
      </c>
      <c r="M707" s="7">
        <v>11</v>
      </c>
      <c r="N707" s="7">
        <v>2</v>
      </c>
      <c r="O707" s="7" t="s">
        <v>824</v>
      </c>
      <c r="P707" s="7">
        <v>0</v>
      </c>
      <c r="Q707" s="7">
        <v>38195.599999999999</v>
      </c>
      <c r="R707" s="7">
        <v>33904.76</v>
      </c>
      <c r="S707" s="7">
        <v>4290.8399999999965</v>
      </c>
      <c r="T707" s="7" t="s">
        <v>826</v>
      </c>
      <c r="U707" s="7"/>
    </row>
    <row r="708" spans="1:21" x14ac:dyDescent="0.25">
      <c r="A708" s="7" t="s">
        <v>733</v>
      </c>
      <c r="B708" s="7" t="s">
        <v>807</v>
      </c>
      <c r="C708" s="7">
        <v>45108</v>
      </c>
      <c r="D708" s="7">
        <v>45114</v>
      </c>
      <c r="E708" s="7" t="s">
        <v>21</v>
      </c>
      <c r="F708" s="7" t="s">
        <v>18</v>
      </c>
      <c r="G708" s="7">
        <v>803</v>
      </c>
      <c r="H708" s="7">
        <v>67.81</v>
      </c>
      <c r="I708" s="7">
        <v>61.53</v>
      </c>
      <c r="J708" s="7">
        <v>78</v>
      </c>
      <c r="K708" s="7" t="s">
        <v>15</v>
      </c>
      <c r="L708" s="7">
        <v>6</v>
      </c>
      <c r="M708" s="7">
        <v>11</v>
      </c>
      <c r="N708" s="7">
        <v>0</v>
      </c>
      <c r="O708" s="7" t="s">
        <v>824</v>
      </c>
      <c r="P708" s="7">
        <v>0</v>
      </c>
      <c r="Q708" s="7">
        <v>54451.43</v>
      </c>
      <c r="R708" s="7">
        <v>49408.590000000004</v>
      </c>
      <c r="S708" s="7">
        <v>5042.8399999999965</v>
      </c>
      <c r="T708" s="7" t="s">
        <v>823</v>
      </c>
      <c r="U708" s="7"/>
    </row>
    <row r="709" spans="1:21" x14ac:dyDescent="0.25">
      <c r="A709" s="7" t="s">
        <v>734</v>
      </c>
      <c r="B709" s="7" t="s">
        <v>804</v>
      </c>
      <c r="C709" s="7">
        <v>44589</v>
      </c>
      <c r="D709" s="7">
        <v>44607</v>
      </c>
      <c r="E709" s="7" t="s">
        <v>21</v>
      </c>
      <c r="F709" s="7" t="s">
        <v>18</v>
      </c>
      <c r="G709" s="7">
        <v>84</v>
      </c>
      <c r="H709" s="7">
        <v>18.23</v>
      </c>
      <c r="I709" s="7">
        <v>15.55</v>
      </c>
      <c r="J709" s="7">
        <v>0</v>
      </c>
      <c r="K709" s="7" t="s">
        <v>15</v>
      </c>
      <c r="L709" s="7">
        <v>18</v>
      </c>
      <c r="M709" s="7">
        <v>11</v>
      </c>
      <c r="N709" s="7">
        <v>7</v>
      </c>
      <c r="O709" s="7" t="s">
        <v>824</v>
      </c>
      <c r="P709" s="7">
        <v>0</v>
      </c>
      <c r="Q709" s="7">
        <v>1531.32</v>
      </c>
      <c r="R709" s="7">
        <v>1306.2</v>
      </c>
      <c r="S709" s="7">
        <v>225.11999999999989</v>
      </c>
      <c r="T709" s="7" t="s">
        <v>825</v>
      </c>
      <c r="U709" s="7"/>
    </row>
    <row r="710" spans="1:21" x14ac:dyDescent="0.25">
      <c r="A710" s="7" t="s">
        <v>735</v>
      </c>
      <c r="B710" s="7" t="s">
        <v>808</v>
      </c>
      <c r="C710" s="7">
        <v>44965</v>
      </c>
      <c r="D710" s="7">
        <v>44977</v>
      </c>
      <c r="E710" s="7" t="s">
        <v>24</v>
      </c>
      <c r="F710" s="7" t="s">
        <v>18</v>
      </c>
      <c r="G710" s="7">
        <v>776</v>
      </c>
      <c r="H710" s="7">
        <v>94.75</v>
      </c>
      <c r="I710" s="7">
        <v>90.89</v>
      </c>
      <c r="J710" s="7">
        <v>19</v>
      </c>
      <c r="K710" s="7" t="s">
        <v>15</v>
      </c>
      <c r="L710" s="7">
        <v>12</v>
      </c>
      <c r="M710" s="7">
        <v>11</v>
      </c>
      <c r="N710" s="7">
        <v>1</v>
      </c>
      <c r="O710" s="7" t="s">
        <v>824</v>
      </c>
      <c r="P710" s="7">
        <v>0</v>
      </c>
      <c r="Q710" s="7">
        <v>73526</v>
      </c>
      <c r="R710" s="7">
        <v>70530.64</v>
      </c>
      <c r="S710" s="7">
        <v>2995.3600000000006</v>
      </c>
      <c r="T710" s="7" t="s">
        <v>826</v>
      </c>
      <c r="U710" s="7"/>
    </row>
    <row r="711" spans="1:21" x14ac:dyDescent="0.25">
      <c r="A711" s="7" t="s">
        <v>736</v>
      </c>
      <c r="B711" s="7" t="s">
        <v>804</v>
      </c>
      <c r="C711" s="7">
        <v>45168</v>
      </c>
      <c r="D711" s="7">
        <v>45177</v>
      </c>
      <c r="E711" s="7" t="s">
        <v>21</v>
      </c>
      <c r="F711" s="7" t="s">
        <v>18</v>
      </c>
      <c r="G711" s="7">
        <v>898</v>
      </c>
      <c r="H711" s="7">
        <v>37.119999999999997</v>
      </c>
      <c r="I711" s="7">
        <v>35.54</v>
      </c>
      <c r="J711" s="7">
        <v>18</v>
      </c>
      <c r="K711" s="7" t="s">
        <v>27</v>
      </c>
      <c r="L711" s="7">
        <v>9</v>
      </c>
      <c r="M711" s="7">
        <v>11</v>
      </c>
      <c r="N711" s="7">
        <v>0</v>
      </c>
      <c r="O711" s="7" t="s">
        <v>824</v>
      </c>
      <c r="P711" s="7">
        <v>0</v>
      </c>
      <c r="Q711" s="7">
        <v>33333.759999999995</v>
      </c>
      <c r="R711" s="7">
        <v>31914.92</v>
      </c>
      <c r="S711" s="7">
        <v>1418.8399999999965</v>
      </c>
      <c r="T711" s="7" t="s">
        <v>823</v>
      </c>
      <c r="U711" s="7"/>
    </row>
    <row r="712" spans="1:21" x14ac:dyDescent="0.25">
      <c r="A712" s="7" t="s">
        <v>737</v>
      </c>
      <c r="B712" s="7" t="s">
        <v>807</v>
      </c>
      <c r="C712" s="7">
        <v>45139</v>
      </c>
      <c r="D712" s="7">
        <v>45146</v>
      </c>
      <c r="E712" s="7" t="s">
        <v>13</v>
      </c>
      <c r="F712" s="7" t="s">
        <v>14</v>
      </c>
      <c r="G712" s="7">
        <v>139</v>
      </c>
      <c r="H712" s="7">
        <v>23.71</v>
      </c>
      <c r="I712" s="7">
        <v>20.18</v>
      </c>
      <c r="J712" s="7">
        <v>14</v>
      </c>
      <c r="K712" s="7" t="s">
        <v>15</v>
      </c>
      <c r="L712" s="7">
        <v>7</v>
      </c>
      <c r="M712" s="7">
        <v>11</v>
      </c>
      <c r="N712" s="7">
        <v>0</v>
      </c>
      <c r="O712" s="7" t="s">
        <v>824</v>
      </c>
      <c r="P712" s="7">
        <v>0</v>
      </c>
      <c r="Q712" s="7">
        <v>3295.69</v>
      </c>
      <c r="R712" s="7">
        <v>2805.02</v>
      </c>
      <c r="S712" s="7">
        <v>490.67000000000007</v>
      </c>
      <c r="T712" s="7" t="s">
        <v>823</v>
      </c>
      <c r="U712" s="7"/>
    </row>
    <row r="713" spans="1:21" x14ac:dyDescent="0.25">
      <c r="A713" s="7" t="s">
        <v>738</v>
      </c>
      <c r="B713" s="7" t="s">
        <v>806</v>
      </c>
      <c r="C713" s="7">
        <v>45240</v>
      </c>
      <c r="D713" s="7">
        <v>45250</v>
      </c>
      <c r="E713" s="7" t="s">
        <v>26</v>
      </c>
      <c r="F713" s="7" t="s">
        <v>18</v>
      </c>
      <c r="G713" s="7">
        <v>825</v>
      </c>
      <c r="H713" s="7">
        <v>99.89</v>
      </c>
      <c r="I713" s="7">
        <v>97.65</v>
      </c>
      <c r="J713" s="7">
        <v>30</v>
      </c>
      <c r="K713" s="7" t="s">
        <v>15</v>
      </c>
      <c r="L713" s="7">
        <v>10</v>
      </c>
      <c r="M713" s="7">
        <v>11</v>
      </c>
      <c r="N713" s="7">
        <v>0</v>
      </c>
      <c r="O713" s="7" t="s">
        <v>824</v>
      </c>
      <c r="P713" s="7">
        <v>0</v>
      </c>
      <c r="Q713" s="7">
        <v>82409.25</v>
      </c>
      <c r="R713" s="7">
        <v>80561.25</v>
      </c>
      <c r="S713" s="7">
        <v>1848</v>
      </c>
      <c r="T713" s="7" t="s">
        <v>823</v>
      </c>
      <c r="U713" s="7"/>
    </row>
    <row r="714" spans="1:21" x14ac:dyDescent="0.25">
      <c r="A714" s="7" t="s">
        <v>739</v>
      </c>
      <c r="B714" s="7" t="s">
        <v>804</v>
      </c>
      <c r="C714" s="7">
        <v>44589</v>
      </c>
      <c r="D714" s="7">
        <v>44599</v>
      </c>
      <c r="E714" s="7" t="s">
        <v>21</v>
      </c>
      <c r="F714" s="7" t="s">
        <v>18</v>
      </c>
      <c r="G714" s="7">
        <v>654</v>
      </c>
      <c r="H714" s="7">
        <v>96.01</v>
      </c>
      <c r="I714" s="7">
        <v>90.31</v>
      </c>
      <c r="J714" s="7">
        <v>10</v>
      </c>
      <c r="K714" s="7" t="s">
        <v>15</v>
      </c>
      <c r="L714" s="7">
        <v>10</v>
      </c>
      <c r="M714" s="7">
        <v>11</v>
      </c>
      <c r="N714" s="7">
        <v>0</v>
      </c>
      <c r="O714" s="7" t="s">
        <v>824</v>
      </c>
      <c r="P714" s="7">
        <v>0</v>
      </c>
      <c r="Q714" s="7">
        <v>62790.54</v>
      </c>
      <c r="R714" s="7">
        <v>59062.74</v>
      </c>
      <c r="S714" s="7">
        <v>3727.8000000000029</v>
      </c>
      <c r="T714" s="7" t="s">
        <v>823</v>
      </c>
      <c r="U714" s="7"/>
    </row>
    <row r="715" spans="1:21" x14ac:dyDescent="0.25">
      <c r="A715" s="7" t="s">
        <v>740</v>
      </c>
      <c r="B715" s="7" t="s">
        <v>806</v>
      </c>
      <c r="C715" s="7">
        <v>44647</v>
      </c>
      <c r="D715" s="7">
        <v>44657</v>
      </c>
      <c r="E715" s="7" t="s">
        <v>21</v>
      </c>
      <c r="F715" s="7" t="s">
        <v>18</v>
      </c>
      <c r="G715" s="7">
        <v>1995</v>
      </c>
      <c r="H715" s="7">
        <v>88.47</v>
      </c>
      <c r="I715" s="7">
        <v>82.65</v>
      </c>
      <c r="J715" s="7">
        <v>87</v>
      </c>
      <c r="K715" s="7" t="s">
        <v>27</v>
      </c>
      <c r="L715" s="7">
        <v>10</v>
      </c>
      <c r="M715" s="7">
        <v>11</v>
      </c>
      <c r="N715" s="7">
        <v>0</v>
      </c>
      <c r="O715" s="7" t="s">
        <v>824</v>
      </c>
      <c r="P715" s="7">
        <v>0</v>
      </c>
      <c r="Q715" s="7">
        <v>176497.65</v>
      </c>
      <c r="R715" s="7">
        <v>164886.75</v>
      </c>
      <c r="S715" s="7">
        <v>11610.899999999994</v>
      </c>
      <c r="T715" s="7" t="s">
        <v>823</v>
      </c>
      <c r="U715" s="7"/>
    </row>
    <row r="716" spans="1:21" x14ac:dyDescent="0.25">
      <c r="A716" s="7" t="s">
        <v>741</v>
      </c>
      <c r="B716" s="7" t="s">
        <v>807</v>
      </c>
      <c r="C716" s="7">
        <v>45220</v>
      </c>
      <c r="D716" s="7">
        <v>45227</v>
      </c>
      <c r="E716" s="7" t="s">
        <v>21</v>
      </c>
      <c r="F716" s="7" t="s">
        <v>18</v>
      </c>
      <c r="G716" s="7">
        <v>1019</v>
      </c>
      <c r="H716" s="7">
        <v>91.56</v>
      </c>
      <c r="I716" s="7">
        <v>77.930000000000007</v>
      </c>
      <c r="J716" s="7">
        <v>111</v>
      </c>
      <c r="K716" s="7" t="s">
        <v>27</v>
      </c>
      <c r="L716" s="7">
        <v>7</v>
      </c>
      <c r="M716" s="7">
        <v>11</v>
      </c>
      <c r="N716" s="7">
        <v>0</v>
      </c>
      <c r="O716" s="7" t="s">
        <v>824</v>
      </c>
      <c r="P716" s="7">
        <v>0</v>
      </c>
      <c r="Q716" s="7">
        <v>93299.64</v>
      </c>
      <c r="R716" s="7">
        <v>79410.670000000013</v>
      </c>
      <c r="S716" s="7">
        <v>13888.969999999987</v>
      </c>
      <c r="T716" s="7" t="s">
        <v>823</v>
      </c>
      <c r="U716" s="7"/>
    </row>
    <row r="717" spans="1:21" x14ac:dyDescent="0.25">
      <c r="A717" s="7" t="s">
        <v>742</v>
      </c>
      <c r="B717" s="7" t="s">
        <v>808</v>
      </c>
      <c r="C717" s="7">
        <v>45000</v>
      </c>
      <c r="D717" s="7">
        <v>45016</v>
      </c>
      <c r="E717" s="7" t="s">
        <v>24</v>
      </c>
      <c r="F717" s="7" t="s">
        <v>35</v>
      </c>
      <c r="G717" s="7">
        <v>1675</v>
      </c>
      <c r="H717" s="7">
        <v>73.8</v>
      </c>
      <c r="I717" s="7">
        <v>65.34</v>
      </c>
      <c r="J717" s="7">
        <v>42</v>
      </c>
      <c r="K717" s="7" t="s">
        <v>15</v>
      </c>
      <c r="L717" s="7">
        <v>16</v>
      </c>
      <c r="M717" s="7">
        <v>11</v>
      </c>
      <c r="N717" s="7">
        <v>5</v>
      </c>
      <c r="O717" s="7" t="s">
        <v>824</v>
      </c>
      <c r="P717" s="7">
        <v>0</v>
      </c>
      <c r="Q717" s="7">
        <v>123615</v>
      </c>
      <c r="R717" s="7">
        <v>109444.5</v>
      </c>
      <c r="S717" s="7">
        <v>14170.5</v>
      </c>
      <c r="T717" s="7" t="s">
        <v>825</v>
      </c>
      <c r="U717" s="7"/>
    </row>
    <row r="718" spans="1:21" x14ac:dyDescent="0.25">
      <c r="A718" s="7" t="s">
        <v>743</v>
      </c>
      <c r="B718" s="7" t="s">
        <v>806</v>
      </c>
      <c r="C718" s="7">
        <v>44700</v>
      </c>
      <c r="D718" s="7">
        <v>44712</v>
      </c>
      <c r="E718" s="7" t="s">
        <v>26</v>
      </c>
      <c r="F718" s="7" t="s">
        <v>35</v>
      </c>
      <c r="G718" s="7">
        <v>1071</v>
      </c>
      <c r="H718" s="7">
        <v>60.77</v>
      </c>
      <c r="I718" s="7">
        <v>58.5</v>
      </c>
      <c r="J718" s="7"/>
      <c r="K718" s="7" t="s">
        <v>15</v>
      </c>
      <c r="L718" s="7">
        <v>12</v>
      </c>
      <c r="M718" s="7">
        <v>11</v>
      </c>
      <c r="N718" s="7">
        <v>1</v>
      </c>
      <c r="O718" s="7" t="s">
        <v>824</v>
      </c>
      <c r="P718" s="7">
        <v>0</v>
      </c>
      <c r="Q718" s="7">
        <v>65084.670000000006</v>
      </c>
      <c r="R718" s="7">
        <v>62653.5</v>
      </c>
      <c r="S718" s="7">
        <v>2431.1700000000055</v>
      </c>
      <c r="T718" s="7" t="s">
        <v>826</v>
      </c>
      <c r="U718" s="7"/>
    </row>
    <row r="719" spans="1:21" x14ac:dyDescent="0.25">
      <c r="A719" s="7" t="s">
        <v>744</v>
      </c>
      <c r="B719" s="7" t="s">
        <v>807</v>
      </c>
      <c r="C719" s="7">
        <v>45034</v>
      </c>
      <c r="D719" s="7">
        <v>45043</v>
      </c>
      <c r="E719" s="7" t="s">
        <v>13</v>
      </c>
      <c r="F719" s="7" t="s">
        <v>18</v>
      </c>
      <c r="G719" s="7">
        <v>467</v>
      </c>
      <c r="H719" s="7">
        <v>19.170000000000002</v>
      </c>
      <c r="I719" s="7">
        <v>17.11</v>
      </c>
      <c r="J719" s="7">
        <v>49</v>
      </c>
      <c r="K719" s="7" t="s">
        <v>15</v>
      </c>
      <c r="L719" s="7">
        <v>9</v>
      </c>
      <c r="M719" s="7">
        <v>11</v>
      </c>
      <c r="N719" s="7">
        <v>0</v>
      </c>
      <c r="O719" s="7" t="s">
        <v>824</v>
      </c>
      <c r="P719" s="7">
        <v>0</v>
      </c>
      <c r="Q719" s="7">
        <v>8952.3900000000012</v>
      </c>
      <c r="R719" s="7">
        <v>7990.37</v>
      </c>
      <c r="S719" s="7">
        <v>962.02000000000135</v>
      </c>
      <c r="T719" s="7" t="s">
        <v>823</v>
      </c>
      <c r="U719" s="7"/>
    </row>
    <row r="720" spans="1:21" x14ac:dyDescent="0.25">
      <c r="A720" s="7" t="s">
        <v>745</v>
      </c>
      <c r="B720" s="7" t="s">
        <v>805</v>
      </c>
      <c r="C720" s="7">
        <v>44748</v>
      </c>
      <c r="D720" s="7">
        <v>44767</v>
      </c>
      <c r="E720" s="7" t="s">
        <v>21</v>
      </c>
      <c r="F720" s="7" t="s">
        <v>35</v>
      </c>
      <c r="G720" s="7">
        <v>164</v>
      </c>
      <c r="H720" s="7">
        <v>48.16</v>
      </c>
      <c r="I720" s="7">
        <v>47.46</v>
      </c>
      <c r="J720" s="7">
        <v>27</v>
      </c>
      <c r="K720" s="7" t="s">
        <v>15</v>
      </c>
      <c r="L720" s="7">
        <v>19</v>
      </c>
      <c r="M720" s="7">
        <v>11</v>
      </c>
      <c r="N720" s="7">
        <v>8</v>
      </c>
      <c r="O720" s="7" t="s">
        <v>824</v>
      </c>
      <c r="P720" s="7">
        <v>0</v>
      </c>
      <c r="Q720" s="7">
        <v>7898.24</v>
      </c>
      <c r="R720" s="7">
        <v>7783.4400000000005</v>
      </c>
      <c r="S720" s="7">
        <v>114.79999999999927</v>
      </c>
      <c r="T720" s="7" t="s">
        <v>825</v>
      </c>
      <c r="U720" s="7"/>
    </row>
    <row r="721" spans="1:21" x14ac:dyDescent="0.25">
      <c r="A721" s="7" t="s">
        <v>746</v>
      </c>
      <c r="B721" s="7" t="s">
        <v>808</v>
      </c>
      <c r="C721" s="7">
        <v>44613</v>
      </c>
      <c r="D721" s="7">
        <v>44626</v>
      </c>
      <c r="E721" s="7" t="s">
        <v>39</v>
      </c>
      <c r="F721" s="7" t="s">
        <v>14</v>
      </c>
      <c r="G721" s="7">
        <v>666</v>
      </c>
      <c r="H721" s="7">
        <v>43.76</v>
      </c>
      <c r="I721" s="7">
        <v>41.13</v>
      </c>
      <c r="J721" s="7">
        <v>18</v>
      </c>
      <c r="K721" s="7" t="s">
        <v>15</v>
      </c>
      <c r="L721" s="7">
        <v>13</v>
      </c>
      <c r="M721" s="7">
        <v>11</v>
      </c>
      <c r="N721" s="7">
        <v>2</v>
      </c>
      <c r="O721" s="7" t="s">
        <v>824</v>
      </c>
      <c r="P721" s="7">
        <v>0</v>
      </c>
      <c r="Q721" s="7">
        <v>29144.16</v>
      </c>
      <c r="R721" s="7">
        <v>27392.58</v>
      </c>
      <c r="S721" s="7">
        <v>1751.5799999999981</v>
      </c>
      <c r="T721" s="7" t="s">
        <v>826</v>
      </c>
      <c r="U721" s="7"/>
    </row>
    <row r="722" spans="1:21" x14ac:dyDescent="0.25">
      <c r="A722" s="7" t="s">
        <v>747</v>
      </c>
      <c r="B722" s="7" t="s">
        <v>805</v>
      </c>
      <c r="C722" s="7">
        <v>44828</v>
      </c>
      <c r="D722" s="7">
        <v>44841</v>
      </c>
      <c r="E722" s="7" t="s">
        <v>24</v>
      </c>
      <c r="F722" s="7" t="s">
        <v>33</v>
      </c>
      <c r="G722" s="7">
        <v>1976</v>
      </c>
      <c r="H722" s="7">
        <v>34.71</v>
      </c>
      <c r="I722" s="7">
        <v>31.56</v>
      </c>
      <c r="J722" s="7">
        <v>286</v>
      </c>
      <c r="K722" s="7" t="s">
        <v>27</v>
      </c>
      <c r="L722" s="7">
        <v>13</v>
      </c>
      <c r="M722" s="7">
        <v>11</v>
      </c>
      <c r="N722" s="7">
        <v>2</v>
      </c>
      <c r="O722" s="7" t="s">
        <v>824</v>
      </c>
      <c r="P722" s="7">
        <v>0</v>
      </c>
      <c r="Q722" s="7">
        <v>68586.960000000006</v>
      </c>
      <c r="R722" s="7">
        <v>62362.559999999998</v>
      </c>
      <c r="S722" s="7">
        <v>6224.4000000000087</v>
      </c>
      <c r="T722" s="7" t="s">
        <v>826</v>
      </c>
      <c r="U722" s="7"/>
    </row>
    <row r="723" spans="1:21" x14ac:dyDescent="0.25">
      <c r="A723" s="7" t="s">
        <v>748</v>
      </c>
      <c r="B723" s="7" t="s">
        <v>808</v>
      </c>
      <c r="C723" s="7">
        <v>44950</v>
      </c>
      <c r="D723" s="7">
        <v>44955</v>
      </c>
      <c r="E723" s="7" t="s">
        <v>21</v>
      </c>
      <c r="F723" s="7" t="s">
        <v>18</v>
      </c>
      <c r="G723" s="7">
        <v>1269</v>
      </c>
      <c r="H723" s="7">
        <v>79.61</v>
      </c>
      <c r="I723" s="7">
        <v>71.86</v>
      </c>
      <c r="J723" s="7">
        <v>47</v>
      </c>
      <c r="K723" s="7" t="s">
        <v>15</v>
      </c>
      <c r="L723" s="7">
        <v>5</v>
      </c>
      <c r="M723" s="7">
        <v>11</v>
      </c>
      <c r="N723" s="7">
        <v>0</v>
      </c>
      <c r="O723" s="7" t="s">
        <v>824</v>
      </c>
      <c r="P723" s="7">
        <v>0</v>
      </c>
      <c r="Q723" s="7">
        <v>101025.09</v>
      </c>
      <c r="R723" s="7">
        <v>91190.34</v>
      </c>
      <c r="S723" s="7">
        <v>9834.75</v>
      </c>
      <c r="T723" s="7" t="s">
        <v>823</v>
      </c>
      <c r="U723" s="7"/>
    </row>
    <row r="724" spans="1:21" x14ac:dyDescent="0.25">
      <c r="A724" s="7" t="s">
        <v>749</v>
      </c>
      <c r="B724" s="7" t="s">
        <v>808</v>
      </c>
      <c r="C724" s="7">
        <v>44897</v>
      </c>
      <c r="D724" s="7">
        <v>44907</v>
      </c>
      <c r="E724" s="7" t="s">
        <v>21</v>
      </c>
      <c r="F724" s="7" t="s">
        <v>18</v>
      </c>
      <c r="G724" s="7">
        <v>875</v>
      </c>
      <c r="H724" s="7">
        <v>57.63</v>
      </c>
      <c r="I724" s="7">
        <v>51.8</v>
      </c>
      <c r="J724" s="7">
        <v>16</v>
      </c>
      <c r="K724" s="7" t="s">
        <v>15</v>
      </c>
      <c r="L724" s="7">
        <v>10</v>
      </c>
      <c r="M724" s="7">
        <v>11</v>
      </c>
      <c r="N724" s="7">
        <v>0</v>
      </c>
      <c r="O724" s="7" t="s">
        <v>824</v>
      </c>
      <c r="P724" s="7">
        <v>0</v>
      </c>
      <c r="Q724" s="7">
        <v>50426.25</v>
      </c>
      <c r="R724" s="7">
        <v>45325</v>
      </c>
      <c r="S724" s="7">
        <v>5101.25</v>
      </c>
      <c r="T724" s="7" t="s">
        <v>823</v>
      </c>
      <c r="U724" s="7"/>
    </row>
    <row r="725" spans="1:21" x14ac:dyDescent="0.25">
      <c r="A725" s="7" t="s">
        <v>750</v>
      </c>
      <c r="B725" s="7" t="s">
        <v>804</v>
      </c>
      <c r="C725" s="7">
        <v>44778</v>
      </c>
      <c r="D725" s="7">
        <v>44789</v>
      </c>
      <c r="E725" s="7" t="s">
        <v>24</v>
      </c>
      <c r="F725" s="7" t="s">
        <v>33</v>
      </c>
      <c r="G725" s="7">
        <v>1574</v>
      </c>
      <c r="H725" s="7">
        <v>17.899999999999999</v>
      </c>
      <c r="I725" s="7">
        <v>15.85</v>
      </c>
      <c r="J725" s="7">
        <v>31</v>
      </c>
      <c r="K725" s="7" t="s">
        <v>15</v>
      </c>
      <c r="L725" s="7">
        <v>11</v>
      </c>
      <c r="M725" s="7">
        <v>11</v>
      </c>
      <c r="N725" s="7">
        <v>0</v>
      </c>
      <c r="O725" s="7" t="s">
        <v>824</v>
      </c>
      <c r="P725" s="7">
        <v>0</v>
      </c>
      <c r="Q725" s="7">
        <v>28174.6</v>
      </c>
      <c r="R725" s="7">
        <v>24947.899999999998</v>
      </c>
      <c r="S725" s="7">
        <v>3226.7000000000007</v>
      </c>
      <c r="T725" s="7" t="s">
        <v>823</v>
      </c>
      <c r="U725" s="7"/>
    </row>
    <row r="726" spans="1:21" x14ac:dyDescent="0.25">
      <c r="A726" s="7" t="s">
        <v>751</v>
      </c>
      <c r="B726" s="7" t="s">
        <v>808</v>
      </c>
      <c r="C726" s="7">
        <v>45027</v>
      </c>
      <c r="D726" s="7">
        <v>45042</v>
      </c>
      <c r="E726" s="7" t="s">
        <v>13</v>
      </c>
      <c r="F726" s="7" t="s">
        <v>33</v>
      </c>
      <c r="G726" s="7">
        <v>1699</v>
      </c>
      <c r="H726" s="7">
        <v>32.049999999999997</v>
      </c>
      <c r="I726" s="7">
        <v>29.34</v>
      </c>
      <c r="J726" s="7">
        <v>69</v>
      </c>
      <c r="K726" s="7" t="s">
        <v>15</v>
      </c>
      <c r="L726" s="7">
        <v>15</v>
      </c>
      <c r="M726" s="7">
        <v>11</v>
      </c>
      <c r="N726" s="7">
        <v>4</v>
      </c>
      <c r="O726" s="7" t="s">
        <v>824</v>
      </c>
      <c r="P726" s="7">
        <v>0</v>
      </c>
      <c r="Q726" s="7">
        <v>54452.95</v>
      </c>
      <c r="R726" s="7">
        <v>49848.659999999996</v>
      </c>
      <c r="S726" s="7">
        <v>4604.2900000000009</v>
      </c>
      <c r="T726" s="7" t="s">
        <v>826</v>
      </c>
      <c r="U726" s="7"/>
    </row>
    <row r="727" spans="1:21" x14ac:dyDescent="0.25">
      <c r="A727" s="7" t="s">
        <v>752</v>
      </c>
      <c r="B727" s="7" t="s">
        <v>804</v>
      </c>
      <c r="C727" s="7">
        <v>44896</v>
      </c>
      <c r="D727" s="7">
        <v>44912</v>
      </c>
      <c r="E727" s="7" t="s">
        <v>39</v>
      </c>
      <c r="F727" s="7" t="s">
        <v>18</v>
      </c>
      <c r="G727" s="7">
        <v>1566</v>
      </c>
      <c r="H727" s="7">
        <v>75.430000000000007</v>
      </c>
      <c r="I727" s="7">
        <v>71.27</v>
      </c>
      <c r="J727" s="7">
        <v>27</v>
      </c>
      <c r="K727" s="7" t="s">
        <v>15</v>
      </c>
      <c r="L727" s="7">
        <v>16</v>
      </c>
      <c r="M727" s="7">
        <v>11</v>
      </c>
      <c r="N727" s="7">
        <v>5</v>
      </c>
      <c r="O727" s="7" t="s">
        <v>824</v>
      </c>
      <c r="P727" s="7">
        <v>0</v>
      </c>
      <c r="Q727" s="7">
        <v>118123.38</v>
      </c>
      <c r="R727" s="7">
        <v>111608.81999999999</v>
      </c>
      <c r="S727" s="7">
        <v>6514.5600000000122</v>
      </c>
      <c r="T727" s="7" t="s">
        <v>825</v>
      </c>
      <c r="U727" s="7"/>
    </row>
    <row r="728" spans="1:21" x14ac:dyDescent="0.25">
      <c r="A728" s="7" t="s">
        <v>753</v>
      </c>
      <c r="B728" s="7" t="s">
        <v>806</v>
      </c>
      <c r="C728" s="7">
        <v>44907</v>
      </c>
      <c r="D728" s="7">
        <v>44925</v>
      </c>
      <c r="E728" s="7" t="s">
        <v>39</v>
      </c>
      <c r="F728" s="7" t="s">
        <v>18</v>
      </c>
      <c r="G728" s="7">
        <v>1148</v>
      </c>
      <c r="H728" s="7">
        <v>17.78</v>
      </c>
      <c r="I728" s="7">
        <v>17.16</v>
      </c>
      <c r="J728" s="7">
        <v>61</v>
      </c>
      <c r="K728" s="7" t="s">
        <v>15</v>
      </c>
      <c r="L728" s="7">
        <v>18</v>
      </c>
      <c r="M728" s="7">
        <v>11</v>
      </c>
      <c r="N728" s="7">
        <v>7</v>
      </c>
      <c r="O728" s="7" t="s">
        <v>824</v>
      </c>
      <c r="P728" s="7">
        <v>0</v>
      </c>
      <c r="Q728" s="7">
        <v>20411.440000000002</v>
      </c>
      <c r="R728" s="7">
        <v>19699.68</v>
      </c>
      <c r="S728" s="7">
        <v>711.76000000000204</v>
      </c>
      <c r="T728" s="7" t="s">
        <v>825</v>
      </c>
      <c r="U728" s="7"/>
    </row>
    <row r="729" spans="1:21" x14ac:dyDescent="0.25">
      <c r="A729" s="7" t="s">
        <v>754</v>
      </c>
      <c r="B729" s="7" t="s">
        <v>808</v>
      </c>
      <c r="C729" s="7">
        <v>44950</v>
      </c>
      <c r="D729" s="7">
        <v>44968</v>
      </c>
      <c r="E729" s="7" t="s">
        <v>13</v>
      </c>
      <c r="F729" s="7" t="s">
        <v>18</v>
      </c>
      <c r="G729" s="7">
        <v>462</v>
      </c>
      <c r="H729" s="7">
        <v>91.81</v>
      </c>
      <c r="I729" s="7">
        <v>83.14</v>
      </c>
      <c r="J729" s="7">
        <v>11</v>
      </c>
      <c r="K729" s="7" t="s">
        <v>15</v>
      </c>
      <c r="L729" s="7">
        <v>18</v>
      </c>
      <c r="M729" s="7">
        <v>11</v>
      </c>
      <c r="N729" s="7">
        <v>7</v>
      </c>
      <c r="O729" s="7" t="s">
        <v>824</v>
      </c>
      <c r="P729" s="7">
        <v>0</v>
      </c>
      <c r="Q729" s="7">
        <v>42416.22</v>
      </c>
      <c r="R729" s="7">
        <v>38410.68</v>
      </c>
      <c r="S729" s="7">
        <v>4005.5400000000009</v>
      </c>
      <c r="T729" s="7" t="s">
        <v>825</v>
      </c>
      <c r="U729" s="7"/>
    </row>
    <row r="730" spans="1:21" x14ac:dyDescent="0.25">
      <c r="A730" s="7" t="s">
        <v>755</v>
      </c>
      <c r="B730" s="7" t="s">
        <v>806</v>
      </c>
      <c r="C730" s="7">
        <v>44846</v>
      </c>
      <c r="D730" s="7">
        <v>44851</v>
      </c>
      <c r="E730" s="7" t="s">
        <v>24</v>
      </c>
      <c r="F730" s="7" t="s">
        <v>18</v>
      </c>
      <c r="G730" s="7">
        <v>1449</v>
      </c>
      <c r="H730" s="7">
        <v>57.02</v>
      </c>
      <c r="I730" s="7">
        <v>49.28</v>
      </c>
      <c r="J730" s="7">
        <v>71</v>
      </c>
      <c r="K730" s="7" t="s">
        <v>15</v>
      </c>
      <c r="L730" s="7">
        <v>5</v>
      </c>
      <c r="M730" s="7">
        <v>11</v>
      </c>
      <c r="N730" s="7">
        <v>0</v>
      </c>
      <c r="O730" s="7" t="s">
        <v>824</v>
      </c>
      <c r="P730" s="7">
        <v>0</v>
      </c>
      <c r="Q730" s="7">
        <v>82621.98000000001</v>
      </c>
      <c r="R730" s="7">
        <v>71406.720000000001</v>
      </c>
      <c r="S730" s="7">
        <v>11215.260000000009</v>
      </c>
      <c r="T730" s="7" t="s">
        <v>823</v>
      </c>
      <c r="U730" s="7"/>
    </row>
    <row r="731" spans="1:21" x14ac:dyDescent="0.25">
      <c r="A731" s="7" t="s">
        <v>756</v>
      </c>
      <c r="B731" s="7" t="s">
        <v>808</v>
      </c>
      <c r="C731" s="7">
        <v>44993</v>
      </c>
      <c r="D731" s="7">
        <v>45012</v>
      </c>
      <c r="E731" s="7" t="s">
        <v>21</v>
      </c>
      <c r="F731" s="7" t="s">
        <v>18</v>
      </c>
      <c r="G731" s="7">
        <v>1493</v>
      </c>
      <c r="H731" s="7">
        <v>56.98</v>
      </c>
      <c r="I731" s="7">
        <v>52.51</v>
      </c>
      <c r="J731" s="7">
        <v>43</v>
      </c>
      <c r="K731" s="7" t="s">
        <v>15</v>
      </c>
      <c r="L731" s="7">
        <v>19</v>
      </c>
      <c r="M731" s="7">
        <v>11</v>
      </c>
      <c r="N731" s="7">
        <v>8</v>
      </c>
      <c r="O731" s="7" t="s">
        <v>824</v>
      </c>
      <c r="P731" s="7">
        <v>0</v>
      </c>
      <c r="Q731" s="7">
        <v>85071.14</v>
      </c>
      <c r="R731" s="7">
        <v>78397.429999999993</v>
      </c>
      <c r="S731" s="7">
        <v>6673.7100000000064</v>
      </c>
      <c r="T731" s="7" t="s">
        <v>825</v>
      </c>
      <c r="U731" s="7"/>
    </row>
    <row r="732" spans="1:21" x14ac:dyDescent="0.25">
      <c r="A732" s="7" t="s">
        <v>757</v>
      </c>
      <c r="B732" s="7" t="s">
        <v>804</v>
      </c>
      <c r="C732" s="7">
        <v>44820</v>
      </c>
      <c r="D732" s="7">
        <v>44822</v>
      </c>
      <c r="E732" s="7" t="s">
        <v>13</v>
      </c>
      <c r="F732" s="7" t="s">
        <v>18</v>
      </c>
      <c r="G732" s="7">
        <v>778</v>
      </c>
      <c r="H732" s="7">
        <v>65.849999999999994</v>
      </c>
      <c r="I732" s="7">
        <v>62.08</v>
      </c>
      <c r="J732" s="7"/>
      <c r="K732" s="7" t="s">
        <v>27</v>
      </c>
      <c r="L732" s="7">
        <v>2</v>
      </c>
      <c r="M732" s="7">
        <v>11</v>
      </c>
      <c r="N732" s="7">
        <v>0</v>
      </c>
      <c r="O732" s="7" t="s">
        <v>822</v>
      </c>
      <c r="P732" s="7">
        <v>1</v>
      </c>
      <c r="Q732" s="7">
        <v>51231.299999999996</v>
      </c>
      <c r="R732" s="7">
        <v>48298.239999999998</v>
      </c>
      <c r="S732" s="7">
        <v>2933.0599999999977</v>
      </c>
      <c r="T732" s="7" t="s">
        <v>823</v>
      </c>
      <c r="U732" s="7"/>
    </row>
    <row r="733" spans="1:21" x14ac:dyDescent="0.25">
      <c r="A733" s="7" t="s">
        <v>758</v>
      </c>
      <c r="B733" s="7" t="s">
        <v>805</v>
      </c>
      <c r="C733" s="7">
        <v>44645</v>
      </c>
      <c r="D733" s="7">
        <v>44662</v>
      </c>
      <c r="E733" s="7" t="s">
        <v>24</v>
      </c>
      <c r="F733" s="7" t="s">
        <v>33</v>
      </c>
      <c r="G733" s="7">
        <v>1350</v>
      </c>
      <c r="H733" s="7">
        <v>85.06</v>
      </c>
      <c r="I733" s="7">
        <v>82.34</v>
      </c>
      <c r="J733" s="7"/>
      <c r="K733" s="7" t="s">
        <v>27</v>
      </c>
      <c r="L733" s="7">
        <v>17</v>
      </c>
      <c r="M733" s="7">
        <v>11</v>
      </c>
      <c r="N733" s="7">
        <v>6</v>
      </c>
      <c r="O733" s="7" t="s">
        <v>824</v>
      </c>
      <c r="P733" s="7">
        <v>0</v>
      </c>
      <c r="Q733" s="7">
        <v>114831</v>
      </c>
      <c r="R733" s="7">
        <v>111159</v>
      </c>
      <c r="S733" s="7">
        <v>3672</v>
      </c>
      <c r="T733" s="7" t="s">
        <v>825</v>
      </c>
      <c r="U733" s="7"/>
    </row>
    <row r="734" spans="1:21" x14ac:dyDescent="0.25">
      <c r="A734" s="7" t="s">
        <v>759</v>
      </c>
      <c r="B734" s="7" t="s">
        <v>808</v>
      </c>
      <c r="C734" s="7">
        <v>45043</v>
      </c>
      <c r="D734" s="7">
        <v>45051</v>
      </c>
      <c r="E734" s="7" t="s">
        <v>24</v>
      </c>
      <c r="F734" s="7" t="s">
        <v>18</v>
      </c>
      <c r="G734" s="7">
        <v>1070</v>
      </c>
      <c r="H734" s="7">
        <v>44.4</v>
      </c>
      <c r="I734" s="7">
        <v>40.07</v>
      </c>
      <c r="J734" s="7">
        <v>26</v>
      </c>
      <c r="K734" s="7" t="s">
        <v>15</v>
      </c>
      <c r="L734" s="7">
        <v>8</v>
      </c>
      <c r="M734" s="7">
        <v>11</v>
      </c>
      <c r="N734" s="7">
        <v>0</v>
      </c>
      <c r="O734" s="7" t="s">
        <v>824</v>
      </c>
      <c r="P734" s="7">
        <v>0</v>
      </c>
      <c r="Q734" s="7">
        <v>47508</v>
      </c>
      <c r="R734" s="7">
        <v>42874.9</v>
      </c>
      <c r="S734" s="7">
        <v>4633.0999999999985</v>
      </c>
      <c r="T734" s="7" t="s">
        <v>823</v>
      </c>
      <c r="U734" s="7"/>
    </row>
    <row r="735" spans="1:21" x14ac:dyDescent="0.25">
      <c r="A735" s="7" t="s">
        <v>760</v>
      </c>
      <c r="B735" s="7" t="s">
        <v>807</v>
      </c>
      <c r="C735" s="7">
        <v>44581</v>
      </c>
      <c r="D735" s="7">
        <v>44595</v>
      </c>
      <c r="E735" s="7" t="s">
        <v>24</v>
      </c>
      <c r="F735" s="7" t="s">
        <v>35</v>
      </c>
      <c r="G735" s="7">
        <v>810</v>
      </c>
      <c r="H735" s="7">
        <v>71.02</v>
      </c>
      <c r="I735" s="7">
        <v>66.8</v>
      </c>
      <c r="J735" s="7">
        <v>73</v>
      </c>
      <c r="K735" s="7" t="s">
        <v>15</v>
      </c>
      <c r="L735" s="7">
        <v>14</v>
      </c>
      <c r="M735" s="7">
        <v>11</v>
      </c>
      <c r="N735" s="7">
        <v>3</v>
      </c>
      <c r="O735" s="7" t="s">
        <v>824</v>
      </c>
      <c r="P735" s="7">
        <v>0</v>
      </c>
      <c r="Q735" s="7">
        <v>57526.2</v>
      </c>
      <c r="R735" s="7">
        <v>54108</v>
      </c>
      <c r="S735" s="7">
        <v>3418.1999999999971</v>
      </c>
      <c r="T735" s="7" t="s">
        <v>826</v>
      </c>
      <c r="U735" s="7"/>
    </row>
    <row r="736" spans="1:21" x14ac:dyDescent="0.25">
      <c r="A736" s="7" t="s">
        <v>761</v>
      </c>
      <c r="B736" s="7" t="s">
        <v>805</v>
      </c>
      <c r="C736" s="7">
        <v>45114</v>
      </c>
      <c r="D736" s="7">
        <v>45130</v>
      </c>
      <c r="E736" s="7" t="s">
        <v>24</v>
      </c>
      <c r="F736" s="7" t="s">
        <v>14</v>
      </c>
      <c r="G736" s="7">
        <v>725</v>
      </c>
      <c r="H736" s="7">
        <v>66.400000000000006</v>
      </c>
      <c r="I736" s="7">
        <v>62.1</v>
      </c>
      <c r="J736" s="7">
        <v>118</v>
      </c>
      <c r="K736" s="7" t="s">
        <v>15</v>
      </c>
      <c r="L736" s="7">
        <v>16</v>
      </c>
      <c r="M736" s="7">
        <v>11</v>
      </c>
      <c r="N736" s="7">
        <v>5</v>
      </c>
      <c r="O736" s="7" t="s">
        <v>824</v>
      </c>
      <c r="P736" s="7">
        <v>0</v>
      </c>
      <c r="Q736" s="7">
        <v>48140.000000000007</v>
      </c>
      <c r="R736" s="7">
        <v>45022.5</v>
      </c>
      <c r="S736" s="7">
        <v>3117.5000000000073</v>
      </c>
      <c r="T736" s="7" t="s">
        <v>825</v>
      </c>
      <c r="U736" s="7"/>
    </row>
    <row r="737" spans="1:21" x14ac:dyDescent="0.25">
      <c r="A737" s="7" t="s">
        <v>762</v>
      </c>
      <c r="B737" s="7" t="s">
        <v>804</v>
      </c>
      <c r="C737" s="7">
        <v>44615</v>
      </c>
      <c r="D737" s="7">
        <v>44620</v>
      </c>
      <c r="E737" s="7" t="s">
        <v>39</v>
      </c>
      <c r="F737" s="7" t="s">
        <v>18</v>
      </c>
      <c r="G737" s="7">
        <v>1467</v>
      </c>
      <c r="H737" s="7">
        <v>34.200000000000003</v>
      </c>
      <c r="I737" s="7">
        <v>30.5</v>
      </c>
      <c r="J737" s="7">
        <v>25</v>
      </c>
      <c r="K737" s="7" t="s">
        <v>15</v>
      </c>
      <c r="L737" s="7">
        <v>5</v>
      </c>
      <c r="M737" s="7">
        <v>11</v>
      </c>
      <c r="N737" s="7">
        <v>0</v>
      </c>
      <c r="O737" s="7" t="s">
        <v>824</v>
      </c>
      <c r="P737" s="7">
        <v>0</v>
      </c>
      <c r="Q737" s="7">
        <v>50171.4</v>
      </c>
      <c r="R737" s="7">
        <v>44743.5</v>
      </c>
      <c r="S737" s="7">
        <v>5427.9000000000015</v>
      </c>
      <c r="T737" s="7" t="s">
        <v>823</v>
      </c>
      <c r="U737" s="7"/>
    </row>
    <row r="738" spans="1:21" x14ac:dyDescent="0.25">
      <c r="A738" s="7" t="s">
        <v>763</v>
      </c>
      <c r="B738" s="7" t="s">
        <v>807</v>
      </c>
      <c r="C738" s="7">
        <v>44920</v>
      </c>
      <c r="D738" s="7">
        <v>44938</v>
      </c>
      <c r="E738" s="7" t="s">
        <v>24</v>
      </c>
      <c r="F738" s="7" t="s">
        <v>18</v>
      </c>
      <c r="G738" s="7">
        <v>1942</v>
      </c>
      <c r="H738" s="7">
        <v>93.98</v>
      </c>
      <c r="I738" s="7">
        <v>81.31</v>
      </c>
      <c r="J738" s="7">
        <v>198</v>
      </c>
      <c r="K738" s="7" t="s">
        <v>15</v>
      </c>
      <c r="L738" s="7">
        <v>18</v>
      </c>
      <c r="M738" s="7">
        <v>11</v>
      </c>
      <c r="N738" s="7">
        <v>7</v>
      </c>
      <c r="O738" s="7" t="s">
        <v>824</v>
      </c>
      <c r="P738" s="7">
        <v>0</v>
      </c>
      <c r="Q738" s="7">
        <v>182509.16</v>
      </c>
      <c r="R738" s="7">
        <v>157904.02000000002</v>
      </c>
      <c r="S738" s="7">
        <v>24605.139999999985</v>
      </c>
      <c r="T738" s="7" t="s">
        <v>825</v>
      </c>
      <c r="U738" s="7"/>
    </row>
    <row r="739" spans="1:21" x14ac:dyDescent="0.25">
      <c r="A739" s="7" t="s">
        <v>764</v>
      </c>
      <c r="B739" s="7" t="s">
        <v>806</v>
      </c>
      <c r="C739" s="7">
        <v>44791</v>
      </c>
      <c r="D739" s="7">
        <v>44801</v>
      </c>
      <c r="E739" s="7" t="s">
        <v>13</v>
      </c>
      <c r="F739" s="7" t="s">
        <v>18</v>
      </c>
      <c r="G739" s="7">
        <v>506</v>
      </c>
      <c r="H739" s="7">
        <v>84.63</v>
      </c>
      <c r="I739" s="7">
        <v>72.69</v>
      </c>
      <c r="J739" s="7">
        <v>20</v>
      </c>
      <c r="K739" s="7" t="s">
        <v>15</v>
      </c>
      <c r="L739" s="7">
        <v>10</v>
      </c>
      <c r="M739" s="7">
        <v>11</v>
      </c>
      <c r="N739" s="7">
        <v>0</v>
      </c>
      <c r="O739" s="7" t="s">
        <v>824</v>
      </c>
      <c r="P739" s="7">
        <v>0</v>
      </c>
      <c r="Q739" s="7">
        <v>42822.78</v>
      </c>
      <c r="R739" s="7">
        <v>36781.14</v>
      </c>
      <c r="S739" s="7">
        <v>6041.6399999999994</v>
      </c>
      <c r="T739" s="7" t="s">
        <v>823</v>
      </c>
      <c r="U739" s="7"/>
    </row>
    <row r="740" spans="1:21" x14ac:dyDescent="0.25">
      <c r="A740" s="7" t="s">
        <v>765</v>
      </c>
      <c r="B740" s="7" t="s">
        <v>804</v>
      </c>
      <c r="C740" s="7">
        <v>45227</v>
      </c>
      <c r="D740" s="7">
        <v>45243</v>
      </c>
      <c r="E740" s="7" t="s">
        <v>21</v>
      </c>
      <c r="F740" s="7" t="s">
        <v>18</v>
      </c>
      <c r="G740" s="7">
        <v>969</v>
      </c>
      <c r="H740" s="7">
        <v>76.53</v>
      </c>
      <c r="I740" s="7">
        <v>75.64</v>
      </c>
      <c r="J740" s="7">
        <v>30</v>
      </c>
      <c r="K740" s="7" t="s">
        <v>15</v>
      </c>
      <c r="L740" s="7">
        <v>16</v>
      </c>
      <c r="M740" s="7">
        <v>11</v>
      </c>
      <c r="N740" s="7">
        <v>5</v>
      </c>
      <c r="O740" s="7" t="s">
        <v>824</v>
      </c>
      <c r="P740" s="7">
        <v>0</v>
      </c>
      <c r="Q740" s="7">
        <v>74157.570000000007</v>
      </c>
      <c r="R740" s="7">
        <v>73295.16</v>
      </c>
      <c r="S740" s="7">
        <v>862.41000000000349</v>
      </c>
      <c r="T740" s="7" t="s">
        <v>825</v>
      </c>
      <c r="U740" s="7"/>
    </row>
    <row r="741" spans="1:21" x14ac:dyDescent="0.25">
      <c r="A741" s="7" t="s">
        <v>766</v>
      </c>
      <c r="B741" s="7" t="s">
        <v>805</v>
      </c>
      <c r="C741" s="7">
        <v>44632</v>
      </c>
      <c r="D741" s="7">
        <v>44639</v>
      </c>
      <c r="E741" s="7" t="s">
        <v>21</v>
      </c>
      <c r="F741" s="7" t="s">
        <v>18</v>
      </c>
      <c r="G741" s="7">
        <v>241</v>
      </c>
      <c r="H741" s="7">
        <v>87.42</v>
      </c>
      <c r="I741" s="7">
        <v>82.15</v>
      </c>
      <c r="J741" s="7"/>
      <c r="K741" s="7" t="s">
        <v>15</v>
      </c>
      <c r="L741" s="7">
        <v>7</v>
      </c>
      <c r="M741" s="7">
        <v>11</v>
      </c>
      <c r="N741" s="7">
        <v>0</v>
      </c>
      <c r="O741" s="7" t="s">
        <v>822</v>
      </c>
      <c r="P741" s="7">
        <v>1</v>
      </c>
      <c r="Q741" s="7">
        <v>21068.22</v>
      </c>
      <c r="R741" s="7">
        <v>19798.150000000001</v>
      </c>
      <c r="S741" s="7">
        <v>1270.0699999999997</v>
      </c>
      <c r="T741" s="7" t="s">
        <v>823</v>
      </c>
      <c r="U741" s="7"/>
    </row>
    <row r="742" spans="1:21" x14ac:dyDescent="0.25">
      <c r="A742" s="7" t="s">
        <v>767</v>
      </c>
      <c r="B742" s="7" t="s">
        <v>806</v>
      </c>
      <c r="C742" s="7">
        <v>45229</v>
      </c>
      <c r="D742" s="7">
        <v>45239</v>
      </c>
      <c r="E742" s="7" t="s">
        <v>26</v>
      </c>
      <c r="F742" s="7" t="s">
        <v>18</v>
      </c>
      <c r="G742" s="7">
        <v>788</v>
      </c>
      <c r="H742" s="7">
        <v>97.3</v>
      </c>
      <c r="I742" s="7">
        <v>94.44</v>
      </c>
      <c r="J742" s="7">
        <v>32</v>
      </c>
      <c r="K742" s="7" t="s">
        <v>15</v>
      </c>
      <c r="L742" s="7">
        <v>10</v>
      </c>
      <c r="M742" s="7">
        <v>11</v>
      </c>
      <c r="N742" s="7">
        <v>0</v>
      </c>
      <c r="O742" s="7" t="s">
        <v>824</v>
      </c>
      <c r="P742" s="7">
        <v>0</v>
      </c>
      <c r="Q742" s="7">
        <v>76672.399999999994</v>
      </c>
      <c r="R742" s="7">
        <v>74418.720000000001</v>
      </c>
      <c r="S742" s="7">
        <v>2253.679999999993</v>
      </c>
      <c r="T742" s="7" t="s">
        <v>823</v>
      </c>
      <c r="U742" s="7"/>
    </row>
    <row r="743" spans="1:21" x14ac:dyDescent="0.25">
      <c r="A743" s="7" t="s">
        <v>768</v>
      </c>
      <c r="B743" s="7" t="s">
        <v>806</v>
      </c>
      <c r="C743" s="7">
        <v>44603</v>
      </c>
      <c r="D743" s="7">
        <v>44605</v>
      </c>
      <c r="E743" s="7" t="s">
        <v>13</v>
      </c>
      <c r="F743" s="7" t="s">
        <v>18</v>
      </c>
      <c r="G743" s="7">
        <v>1762</v>
      </c>
      <c r="H743" s="7">
        <v>74.12</v>
      </c>
      <c r="I743" s="7">
        <v>65.709999999999994</v>
      </c>
      <c r="J743" s="7">
        <v>94</v>
      </c>
      <c r="K743" s="7" t="s">
        <v>15</v>
      </c>
      <c r="L743" s="7">
        <v>2</v>
      </c>
      <c r="M743" s="7">
        <v>11</v>
      </c>
      <c r="N743" s="7">
        <v>0</v>
      </c>
      <c r="O743" s="7" t="s">
        <v>824</v>
      </c>
      <c r="P743" s="7">
        <v>0</v>
      </c>
      <c r="Q743" s="7">
        <v>130599.44</v>
      </c>
      <c r="R743" s="7">
        <v>115781.01999999999</v>
      </c>
      <c r="S743" s="7">
        <v>14818.420000000013</v>
      </c>
      <c r="T743" s="7" t="s">
        <v>823</v>
      </c>
      <c r="U743" s="7"/>
    </row>
    <row r="744" spans="1:21" x14ac:dyDescent="0.25">
      <c r="A744" s="7" t="s">
        <v>769</v>
      </c>
      <c r="B744" s="7" t="s">
        <v>804</v>
      </c>
      <c r="C744" s="7">
        <v>44593</v>
      </c>
      <c r="D744" s="7">
        <v>44604</v>
      </c>
      <c r="E744" s="7" t="s">
        <v>26</v>
      </c>
      <c r="F744" s="7" t="s">
        <v>35</v>
      </c>
      <c r="G744" s="7">
        <v>1172</v>
      </c>
      <c r="H744" s="7">
        <v>85.76</v>
      </c>
      <c r="I744" s="7">
        <v>81.430000000000007</v>
      </c>
      <c r="J744" s="7">
        <v>25</v>
      </c>
      <c r="K744" s="7" t="s">
        <v>15</v>
      </c>
      <c r="L744" s="7">
        <v>11</v>
      </c>
      <c r="M744" s="7">
        <v>11</v>
      </c>
      <c r="N744" s="7">
        <v>0</v>
      </c>
      <c r="O744" s="7" t="s">
        <v>824</v>
      </c>
      <c r="P744" s="7">
        <v>0</v>
      </c>
      <c r="Q744" s="7">
        <v>100510.72</v>
      </c>
      <c r="R744" s="7">
        <v>95435.96</v>
      </c>
      <c r="S744" s="7">
        <v>5074.7599999999948</v>
      </c>
      <c r="T744" s="7" t="s">
        <v>823</v>
      </c>
      <c r="U744" s="7"/>
    </row>
    <row r="745" spans="1:21" x14ac:dyDescent="0.25">
      <c r="A745" s="7" t="s">
        <v>770</v>
      </c>
      <c r="B745" s="7" t="s">
        <v>805</v>
      </c>
      <c r="C745" s="7">
        <v>44815</v>
      </c>
      <c r="D745" s="7">
        <v>44834</v>
      </c>
      <c r="E745" s="7" t="s">
        <v>13</v>
      </c>
      <c r="F745" s="7" t="s">
        <v>18</v>
      </c>
      <c r="G745" s="7">
        <v>1621</v>
      </c>
      <c r="H745" s="7">
        <v>75.680000000000007</v>
      </c>
      <c r="I745" s="7">
        <v>73.78</v>
      </c>
      <c r="J745" s="7">
        <v>226</v>
      </c>
      <c r="K745" s="7" t="s">
        <v>27</v>
      </c>
      <c r="L745" s="7">
        <v>19</v>
      </c>
      <c r="M745" s="7">
        <v>11</v>
      </c>
      <c r="N745" s="7">
        <v>8</v>
      </c>
      <c r="O745" s="7" t="s">
        <v>824</v>
      </c>
      <c r="P745" s="7">
        <v>0</v>
      </c>
      <c r="Q745" s="7">
        <v>122677.28000000001</v>
      </c>
      <c r="R745" s="7">
        <v>119597.38</v>
      </c>
      <c r="S745" s="7">
        <v>3079.9000000000087</v>
      </c>
      <c r="T745" s="7" t="s">
        <v>825</v>
      </c>
      <c r="U745" s="7"/>
    </row>
    <row r="746" spans="1:21" x14ac:dyDescent="0.25">
      <c r="A746" s="7" t="s">
        <v>771</v>
      </c>
      <c r="B746" s="7" t="s">
        <v>804</v>
      </c>
      <c r="C746" s="7">
        <v>44766</v>
      </c>
      <c r="D746" s="7">
        <v>44768</v>
      </c>
      <c r="E746" s="7" t="s">
        <v>24</v>
      </c>
      <c r="F746" s="7" t="s">
        <v>18</v>
      </c>
      <c r="G746" s="7">
        <v>1027</v>
      </c>
      <c r="H746" s="7">
        <v>73.349999999999994</v>
      </c>
      <c r="I746" s="7">
        <v>65.42</v>
      </c>
      <c r="J746" s="7">
        <v>24</v>
      </c>
      <c r="K746" s="7" t="s">
        <v>27</v>
      </c>
      <c r="L746" s="7">
        <v>2</v>
      </c>
      <c r="M746" s="7">
        <v>11</v>
      </c>
      <c r="N746" s="7">
        <v>0</v>
      </c>
      <c r="O746" s="7" t="s">
        <v>824</v>
      </c>
      <c r="P746" s="7">
        <v>0</v>
      </c>
      <c r="Q746" s="7">
        <v>75330.45</v>
      </c>
      <c r="R746" s="7">
        <v>67186.34</v>
      </c>
      <c r="S746" s="7">
        <v>8144.1100000000006</v>
      </c>
      <c r="T746" s="7" t="s">
        <v>823</v>
      </c>
      <c r="U746" s="7"/>
    </row>
    <row r="747" spans="1:21" x14ac:dyDescent="0.25">
      <c r="A747" s="7" t="s">
        <v>772</v>
      </c>
      <c r="B747" s="7" t="s">
        <v>807</v>
      </c>
      <c r="C747" s="7">
        <v>44582</v>
      </c>
      <c r="D747" s="7">
        <v>44593</v>
      </c>
      <c r="E747" s="7" t="s">
        <v>26</v>
      </c>
      <c r="F747" s="7" t="s">
        <v>18</v>
      </c>
      <c r="G747" s="7">
        <v>1058</v>
      </c>
      <c r="H747" s="7">
        <v>65.680000000000007</v>
      </c>
      <c r="I747" s="7">
        <v>57.21</v>
      </c>
      <c r="J747" s="7">
        <v>101</v>
      </c>
      <c r="K747" s="7" t="s">
        <v>15</v>
      </c>
      <c r="L747" s="7">
        <v>11</v>
      </c>
      <c r="M747" s="7">
        <v>11</v>
      </c>
      <c r="N747" s="7">
        <v>0</v>
      </c>
      <c r="O747" s="7" t="s">
        <v>824</v>
      </c>
      <c r="P747" s="7">
        <v>0</v>
      </c>
      <c r="Q747" s="7">
        <v>69489.440000000002</v>
      </c>
      <c r="R747" s="7">
        <v>60528.18</v>
      </c>
      <c r="S747" s="7">
        <v>8961.260000000002</v>
      </c>
      <c r="T747" s="7" t="s">
        <v>823</v>
      </c>
      <c r="U747" s="7"/>
    </row>
    <row r="748" spans="1:21" x14ac:dyDescent="0.25">
      <c r="A748" s="7" t="s">
        <v>773</v>
      </c>
      <c r="B748" s="7" t="s">
        <v>807</v>
      </c>
      <c r="C748" s="7">
        <v>45198</v>
      </c>
      <c r="D748" s="7">
        <v>45204</v>
      </c>
      <c r="E748" s="7" t="s">
        <v>24</v>
      </c>
      <c r="F748" s="7" t="s">
        <v>18</v>
      </c>
      <c r="G748" s="7">
        <v>145</v>
      </c>
      <c r="H748" s="7">
        <v>85.52</v>
      </c>
      <c r="I748" s="7">
        <v>81.86</v>
      </c>
      <c r="J748" s="7">
        <v>11</v>
      </c>
      <c r="K748" s="7" t="s">
        <v>27</v>
      </c>
      <c r="L748" s="7">
        <v>6</v>
      </c>
      <c r="M748" s="7">
        <v>11</v>
      </c>
      <c r="N748" s="7">
        <v>0</v>
      </c>
      <c r="O748" s="7" t="s">
        <v>824</v>
      </c>
      <c r="P748" s="7">
        <v>0</v>
      </c>
      <c r="Q748" s="7">
        <v>12400.4</v>
      </c>
      <c r="R748" s="7">
        <v>11869.7</v>
      </c>
      <c r="S748" s="7">
        <v>530.69999999999891</v>
      </c>
      <c r="T748" s="7" t="s">
        <v>823</v>
      </c>
      <c r="U748" s="7"/>
    </row>
    <row r="749" spans="1:21" x14ac:dyDescent="0.25">
      <c r="A749" s="7" t="s">
        <v>774</v>
      </c>
      <c r="B749" s="7" t="s">
        <v>808</v>
      </c>
      <c r="C749" s="7">
        <v>44718</v>
      </c>
      <c r="D749" s="7">
        <v>44729</v>
      </c>
      <c r="E749" s="7" t="s">
        <v>13</v>
      </c>
      <c r="F749" s="7" t="s">
        <v>18</v>
      </c>
      <c r="G749" s="7">
        <v>1737</v>
      </c>
      <c r="H749" s="7">
        <v>24.88</v>
      </c>
      <c r="I749" s="7">
        <v>24.28</v>
      </c>
      <c r="J749" s="7">
        <v>46</v>
      </c>
      <c r="K749" s="7" t="s">
        <v>15</v>
      </c>
      <c r="L749" s="7">
        <v>11</v>
      </c>
      <c r="M749" s="7">
        <v>11</v>
      </c>
      <c r="N749" s="7">
        <v>0</v>
      </c>
      <c r="O749" s="7" t="s">
        <v>824</v>
      </c>
      <c r="P749" s="7">
        <v>0</v>
      </c>
      <c r="Q749" s="7">
        <v>43216.56</v>
      </c>
      <c r="R749" s="7">
        <v>42174.36</v>
      </c>
      <c r="S749" s="7">
        <v>1042.1999999999971</v>
      </c>
      <c r="T749" s="7" t="s">
        <v>823</v>
      </c>
      <c r="U749" s="7"/>
    </row>
    <row r="750" spans="1:21" x14ac:dyDescent="0.25">
      <c r="A750" s="7" t="s">
        <v>775</v>
      </c>
      <c r="B750" s="7" t="s">
        <v>806</v>
      </c>
      <c r="C750" s="7">
        <v>44806</v>
      </c>
      <c r="D750" s="7">
        <v>44819</v>
      </c>
      <c r="E750" s="7" t="s">
        <v>39</v>
      </c>
      <c r="F750" s="7" t="s">
        <v>18</v>
      </c>
      <c r="G750" s="7">
        <v>712</v>
      </c>
      <c r="H750" s="7">
        <v>92.85</v>
      </c>
      <c r="I750" s="7">
        <v>89.39</v>
      </c>
      <c r="J750" s="7">
        <v>43</v>
      </c>
      <c r="K750" s="7" t="s">
        <v>15</v>
      </c>
      <c r="L750" s="7">
        <v>13</v>
      </c>
      <c r="M750" s="7">
        <v>11</v>
      </c>
      <c r="N750" s="7">
        <v>2</v>
      </c>
      <c r="O750" s="7" t="s">
        <v>824</v>
      </c>
      <c r="P750" s="7">
        <v>0</v>
      </c>
      <c r="Q750" s="7">
        <v>66109.2</v>
      </c>
      <c r="R750" s="7">
        <v>63645.68</v>
      </c>
      <c r="S750" s="7">
        <v>2463.5199999999968</v>
      </c>
      <c r="T750" s="7" t="s">
        <v>826</v>
      </c>
      <c r="U750" s="7"/>
    </row>
    <row r="751" spans="1:21" x14ac:dyDescent="0.25">
      <c r="A751" s="7" t="s">
        <v>776</v>
      </c>
      <c r="B751" s="7" t="s">
        <v>808</v>
      </c>
      <c r="C751" s="7">
        <v>44691</v>
      </c>
      <c r="D751" s="7">
        <v>44697</v>
      </c>
      <c r="E751" s="7" t="s">
        <v>39</v>
      </c>
      <c r="F751" s="7" t="s">
        <v>18</v>
      </c>
      <c r="G751" s="7">
        <v>1263</v>
      </c>
      <c r="H751" s="7">
        <v>90.24</v>
      </c>
      <c r="I751" s="7">
        <v>86.84</v>
      </c>
      <c r="J751" s="7">
        <v>28</v>
      </c>
      <c r="K751" s="7" t="s">
        <v>15</v>
      </c>
      <c r="L751" s="7">
        <v>6</v>
      </c>
      <c r="M751" s="7">
        <v>11</v>
      </c>
      <c r="N751" s="7">
        <v>0</v>
      </c>
      <c r="O751" s="7" t="s">
        <v>824</v>
      </c>
      <c r="P751" s="7">
        <v>0</v>
      </c>
      <c r="Q751" s="7">
        <v>113973.12</v>
      </c>
      <c r="R751" s="7">
        <v>109678.92</v>
      </c>
      <c r="S751" s="7">
        <v>4294.1999999999971</v>
      </c>
      <c r="T751" s="7" t="s">
        <v>823</v>
      </c>
      <c r="U751" s="7"/>
    </row>
    <row r="752" spans="1:21" x14ac:dyDescent="0.25">
      <c r="A752" s="7" t="s">
        <v>777</v>
      </c>
      <c r="B752" s="7" t="s">
        <v>805</v>
      </c>
      <c r="C752" s="7">
        <v>45046</v>
      </c>
      <c r="D752" s="7">
        <v>45057</v>
      </c>
      <c r="E752" s="7" t="s">
        <v>39</v>
      </c>
      <c r="F752" s="7" t="s">
        <v>18</v>
      </c>
      <c r="G752" s="7">
        <v>1809</v>
      </c>
      <c r="H752" s="7">
        <v>13.58</v>
      </c>
      <c r="I752" s="7">
        <v>12.68</v>
      </c>
      <c r="J752" s="7"/>
      <c r="K752" s="7" t="s">
        <v>27</v>
      </c>
      <c r="L752" s="7">
        <v>11</v>
      </c>
      <c r="M752" s="7">
        <v>11</v>
      </c>
      <c r="N752" s="7">
        <v>0</v>
      </c>
      <c r="O752" s="7" t="s">
        <v>822</v>
      </c>
      <c r="P752" s="7">
        <v>1</v>
      </c>
      <c r="Q752" s="7">
        <v>24566.22</v>
      </c>
      <c r="R752" s="7">
        <v>22938.12</v>
      </c>
      <c r="S752" s="7">
        <v>1628.1000000000022</v>
      </c>
      <c r="T752" s="7" t="s">
        <v>823</v>
      </c>
      <c r="U752" s="7"/>
    </row>
    <row r="753" spans="1:21" x14ac:dyDescent="0.25">
      <c r="A753" s="7" t="s">
        <v>778</v>
      </c>
      <c r="B753" s="7" t="s">
        <v>807</v>
      </c>
      <c r="C753" s="7">
        <v>45247</v>
      </c>
      <c r="D753" s="7">
        <v>45258</v>
      </c>
      <c r="E753" s="7" t="s">
        <v>39</v>
      </c>
      <c r="F753" s="7" t="s">
        <v>14</v>
      </c>
      <c r="G753" s="7">
        <v>86</v>
      </c>
      <c r="H753" s="7">
        <v>93.6</v>
      </c>
      <c r="I753" s="7">
        <v>88.22</v>
      </c>
      <c r="J753" s="7">
        <v>5</v>
      </c>
      <c r="K753" s="7" t="s">
        <v>15</v>
      </c>
      <c r="L753" s="7">
        <v>11</v>
      </c>
      <c r="M753" s="7">
        <v>11</v>
      </c>
      <c r="N753" s="7">
        <v>0</v>
      </c>
      <c r="O753" s="7" t="s">
        <v>824</v>
      </c>
      <c r="P753" s="7">
        <v>0</v>
      </c>
      <c r="Q753" s="7">
        <v>8049.5999999999995</v>
      </c>
      <c r="R753" s="7">
        <v>7586.92</v>
      </c>
      <c r="S753" s="7">
        <v>462.67999999999938</v>
      </c>
      <c r="T753" s="7" t="s">
        <v>823</v>
      </c>
      <c r="U753" s="7"/>
    </row>
    <row r="754" spans="1:21" x14ac:dyDescent="0.25">
      <c r="A754" s="7" t="s">
        <v>779</v>
      </c>
      <c r="B754" s="7" t="s">
        <v>808</v>
      </c>
      <c r="C754" s="7">
        <v>44679</v>
      </c>
      <c r="D754" s="7">
        <v>44690</v>
      </c>
      <c r="E754" s="7" t="s">
        <v>21</v>
      </c>
      <c r="F754" s="7" t="s">
        <v>18</v>
      </c>
      <c r="G754" s="7">
        <v>1853</v>
      </c>
      <c r="H754" s="7">
        <v>21.92</v>
      </c>
      <c r="I754" s="7">
        <v>20.72</v>
      </c>
      <c r="J754" s="7"/>
      <c r="K754" s="7" t="s">
        <v>15</v>
      </c>
      <c r="L754" s="7">
        <v>11</v>
      </c>
      <c r="M754" s="7">
        <v>11</v>
      </c>
      <c r="N754" s="7">
        <v>0</v>
      </c>
      <c r="O754" s="7" t="s">
        <v>822</v>
      </c>
      <c r="P754" s="7">
        <v>1</v>
      </c>
      <c r="Q754" s="7">
        <v>40617.760000000002</v>
      </c>
      <c r="R754" s="7">
        <v>38394.159999999996</v>
      </c>
      <c r="S754" s="7">
        <v>2223.6000000000058</v>
      </c>
      <c r="T754" s="7" t="s">
        <v>823</v>
      </c>
      <c r="U754" s="7"/>
    </row>
    <row r="755" spans="1:21" x14ac:dyDescent="0.25">
      <c r="A755" s="7" t="s">
        <v>780</v>
      </c>
      <c r="B755" s="7" t="s">
        <v>807</v>
      </c>
      <c r="C755" s="7">
        <v>45139</v>
      </c>
      <c r="D755" s="7">
        <v>45140</v>
      </c>
      <c r="E755" s="7" t="s">
        <v>39</v>
      </c>
      <c r="F755" s="7" t="s">
        <v>18</v>
      </c>
      <c r="G755" s="7">
        <v>1442</v>
      </c>
      <c r="H755" s="7">
        <v>43.98</v>
      </c>
      <c r="I755" s="7">
        <v>41.82</v>
      </c>
      <c r="J755" s="7">
        <v>140</v>
      </c>
      <c r="K755" s="7" t="s">
        <v>27</v>
      </c>
      <c r="L755" s="7">
        <v>1</v>
      </c>
      <c r="M755" s="7">
        <v>11</v>
      </c>
      <c r="N755" s="7">
        <v>0</v>
      </c>
      <c r="O755" s="7" t="s">
        <v>824</v>
      </c>
      <c r="P755" s="7">
        <v>0</v>
      </c>
      <c r="Q755" s="7">
        <v>63419.159999999996</v>
      </c>
      <c r="R755" s="7">
        <v>60304.44</v>
      </c>
      <c r="S755" s="7">
        <v>3114.7199999999939</v>
      </c>
      <c r="T755" s="7" t="s">
        <v>823</v>
      </c>
      <c r="U755" s="7"/>
    </row>
    <row r="756" spans="1:21" x14ac:dyDescent="0.25">
      <c r="A756" s="7" t="s">
        <v>781</v>
      </c>
      <c r="B756" s="7" t="s">
        <v>807</v>
      </c>
      <c r="C756" s="7">
        <v>44785</v>
      </c>
      <c r="D756" s="7">
        <v>44805</v>
      </c>
      <c r="E756" s="7" t="s">
        <v>13</v>
      </c>
      <c r="F756" s="7" t="s">
        <v>35</v>
      </c>
      <c r="G756" s="7">
        <v>1768</v>
      </c>
      <c r="H756" s="7">
        <v>79.61</v>
      </c>
      <c r="I756" s="7">
        <v>74.97</v>
      </c>
      <c r="J756" s="7">
        <v>207</v>
      </c>
      <c r="K756" s="7" t="s">
        <v>27</v>
      </c>
      <c r="L756" s="7">
        <v>20</v>
      </c>
      <c r="M756" s="7">
        <v>11</v>
      </c>
      <c r="N756" s="7">
        <v>9</v>
      </c>
      <c r="O756" s="7" t="s">
        <v>824</v>
      </c>
      <c r="P756" s="7">
        <v>0</v>
      </c>
      <c r="Q756" s="7">
        <v>140750.48000000001</v>
      </c>
      <c r="R756" s="7">
        <v>132546.96</v>
      </c>
      <c r="S756" s="7">
        <v>8203.5200000000186</v>
      </c>
      <c r="T756" s="7" t="s">
        <v>825</v>
      </c>
      <c r="U756" s="7"/>
    </row>
    <row r="757" spans="1:21" x14ac:dyDescent="0.25">
      <c r="A757" s="7" t="s">
        <v>782</v>
      </c>
      <c r="B757" s="7" t="s">
        <v>807</v>
      </c>
      <c r="C757" s="7">
        <v>45038</v>
      </c>
      <c r="D757" s="7">
        <v>45049</v>
      </c>
      <c r="E757" s="7" t="s">
        <v>39</v>
      </c>
      <c r="F757" s="7" t="s">
        <v>33</v>
      </c>
      <c r="G757" s="7">
        <v>1598</v>
      </c>
      <c r="H757" s="7">
        <v>26.3</v>
      </c>
      <c r="I757" s="7">
        <v>26.03</v>
      </c>
      <c r="J757" s="7">
        <v>154</v>
      </c>
      <c r="K757" s="7" t="s">
        <v>27</v>
      </c>
      <c r="L757" s="7">
        <v>11</v>
      </c>
      <c r="M757" s="7">
        <v>11</v>
      </c>
      <c r="N757" s="7">
        <v>0</v>
      </c>
      <c r="O757" s="7" t="s">
        <v>824</v>
      </c>
      <c r="P757" s="7">
        <v>0</v>
      </c>
      <c r="Q757" s="7">
        <v>42027.4</v>
      </c>
      <c r="R757" s="7">
        <v>41595.94</v>
      </c>
      <c r="S757" s="7">
        <v>431.45999999999913</v>
      </c>
      <c r="T757" s="7" t="s">
        <v>823</v>
      </c>
      <c r="U757" s="7"/>
    </row>
    <row r="758" spans="1:21" x14ac:dyDescent="0.25">
      <c r="A758" s="7" t="s">
        <v>783</v>
      </c>
      <c r="B758" s="7" t="s">
        <v>804</v>
      </c>
      <c r="C758" s="7">
        <v>45278</v>
      </c>
      <c r="D758" s="7">
        <v>45296</v>
      </c>
      <c r="E758" s="7" t="s">
        <v>21</v>
      </c>
      <c r="F758" s="7" t="s">
        <v>14</v>
      </c>
      <c r="G758" s="7">
        <v>328</v>
      </c>
      <c r="H758" s="7">
        <v>93.23</v>
      </c>
      <c r="I758" s="7">
        <v>82.63</v>
      </c>
      <c r="J758" s="7">
        <v>6</v>
      </c>
      <c r="K758" s="7" t="s">
        <v>15</v>
      </c>
      <c r="L758" s="7">
        <v>18</v>
      </c>
      <c r="M758" s="7">
        <v>11</v>
      </c>
      <c r="N758" s="7">
        <v>7</v>
      </c>
      <c r="O758" s="7" t="s">
        <v>824</v>
      </c>
      <c r="P758" s="7">
        <v>0</v>
      </c>
      <c r="Q758" s="7">
        <v>30579.440000000002</v>
      </c>
      <c r="R758" s="7">
        <v>27102.639999999999</v>
      </c>
      <c r="S758" s="7">
        <v>3476.8000000000029</v>
      </c>
      <c r="T758" s="7" t="s">
        <v>825</v>
      </c>
      <c r="U758" s="7"/>
    </row>
    <row r="759" spans="1:21" x14ac:dyDescent="0.25">
      <c r="A759" s="7" t="s">
        <v>784</v>
      </c>
      <c r="B759" s="7" t="s">
        <v>808</v>
      </c>
      <c r="C759" s="7">
        <v>44824</v>
      </c>
      <c r="D759" s="7">
        <v>44829</v>
      </c>
      <c r="E759" s="7" t="s">
        <v>24</v>
      </c>
      <c r="F759" s="7" t="s">
        <v>18</v>
      </c>
      <c r="G759" s="7">
        <v>266</v>
      </c>
      <c r="H759" s="7">
        <v>88.29</v>
      </c>
      <c r="I759" s="7">
        <v>80.22</v>
      </c>
      <c r="J759" s="7">
        <v>4</v>
      </c>
      <c r="K759" s="7" t="s">
        <v>15</v>
      </c>
      <c r="L759" s="7">
        <v>5</v>
      </c>
      <c r="M759" s="7">
        <v>11</v>
      </c>
      <c r="N759" s="7">
        <v>0</v>
      </c>
      <c r="O759" s="7" t="s">
        <v>824</v>
      </c>
      <c r="P759" s="7">
        <v>0</v>
      </c>
      <c r="Q759" s="7">
        <v>23485.140000000003</v>
      </c>
      <c r="R759" s="7">
        <v>21338.52</v>
      </c>
      <c r="S759" s="7">
        <v>2146.6200000000026</v>
      </c>
      <c r="T759" s="7" t="s">
        <v>823</v>
      </c>
      <c r="U759" s="7"/>
    </row>
    <row r="760" spans="1:21" x14ac:dyDescent="0.25">
      <c r="A760" s="7" t="s">
        <v>785</v>
      </c>
      <c r="B760" s="7" t="s">
        <v>806</v>
      </c>
      <c r="C760" s="7">
        <v>44939</v>
      </c>
      <c r="D760" s="7">
        <v>44954</v>
      </c>
      <c r="E760" s="7" t="s">
        <v>26</v>
      </c>
      <c r="F760" s="7" t="s">
        <v>18</v>
      </c>
      <c r="G760" s="7">
        <v>916</v>
      </c>
      <c r="H760" s="7">
        <v>59.01</v>
      </c>
      <c r="I760" s="7">
        <v>53.37</v>
      </c>
      <c r="J760" s="7">
        <v>47</v>
      </c>
      <c r="K760" s="7" t="s">
        <v>15</v>
      </c>
      <c r="L760" s="7">
        <v>15</v>
      </c>
      <c r="M760" s="7">
        <v>11</v>
      </c>
      <c r="N760" s="7">
        <v>4</v>
      </c>
      <c r="O760" s="7" t="s">
        <v>824</v>
      </c>
      <c r="P760" s="7">
        <v>0</v>
      </c>
      <c r="Q760" s="7">
        <v>54053.159999999996</v>
      </c>
      <c r="R760" s="7">
        <v>48886.92</v>
      </c>
      <c r="S760" s="7">
        <v>5166.239999999998</v>
      </c>
      <c r="T760" s="7" t="s">
        <v>826</v>
      </c>
      <c r="U760" s="7"/>
    </row>
    <row r="761" spans="1:21" x14ac:dyDescent="0.25">
      <c r="A761" s="7" t="s">
        <v>786</v>
      </c>
      <c r="B761" s="7" t="s">
        <v>808</v>
      </c>
      <c r="C761" s="7">
        <v>44733</v>
      </c>
      <c r="D761" s="7">
        <v>44737</v>
      </c>
      <c r="E761" s="7" t="s">
        <v>24</v>
      </c>
      <c r="F761" s="7" t="s">
        <v>14</v>
      </c>
      <c r="G761" s="7">
        <v>922</v>
      </c>
      <c r="H761" s="7">
        <v>10.84</v>
      </c>
      <c r="I761" s="7">
        <v>9.27</v>
      </c>
      <c r="J761" s="7">
        <v>29</v>
      </c>
      <c r="K761" s="7" t="s">
        <v>15</v>
      </c>
      <c r="L761" s="7">
        <v>4</v>
      </c>
      <c r="M761" s="7">
        <v>11</v>
      </c>
      <c r="N761" s="7">
        <v>0</v>
      </c>
      <c r="O761" s="7" t="s">
        <v>824</v>
      </c>
      <c r="P761" s="7">
        <v>0</v>
      </c>
      <c r="Q761" s="7">
        <v>9994.48</v>
      </c>
      <c r="R761" s="7">
        <v>8546.94</v>
      </c>
      <c r="S761" s="7">
        <v>1447.5399999999991</v>
      </c>
      <c r="T761" s="7" t="s">
        <v>823</v>
      </c>
      <c r="U761" s="7"/>
    </row>
    <row r="762" spans="1:21" x14ac:dyDescent="0.25">
      <c r="A762" s="7" t="s">
        <v>787</v>
      </c>
      <c r="B762" s="7" t="s">
        <v>806</v>
      </c>
      <c r="C762" s="7">
        <v>45182</v>
      </c>
      <c r="D762" s="7">
        <v>45197</v>
      </c>
      <c r="E762" s="7" t="s">
        <v>24</v>
      </c>
      <c r="F762" s="7" t="s">
        <v>18</v>
      </c>
      <c r="G762" s="7">
        <v>1871</v>
      </c>
      <c r="H762" s="7">
        <v>39.42</v>
      </c>
      <c r="I762" s="7">
        <v>37.409999999999997</v>
      </c>
      <c r="J762" s="7">
        <v>101</v>
      </c>
      <c r="K762" s="7" t="s">
        <v>27</v>
      </c>
      <c r="L762" s="7">
        <v>15</v>
      </c>
      <c r="M762" s="7">
        <v>11</v>
      </c>
      <c r="N762" s="7">
        <v>4</v>
      </c>
      <c r="O762" s="7" t="s">
        <v>824</v>
      </c>
      <c r="P762" s="7">
        <v>0</v>
      </c>
      <c r="Q762" s="7">
        <v>73754.820000000007</v>
      </c>
      <c r="R762" s="7">
        <v>69994.11</v>
      </c>
      <c r="S762" s="7">
        <v>3760.7100000000064</v>
      </c>
      <c r="T762" s="7" t="s">
        <v>826</v>
      </c>
      <c r="U762" s="7"/>
    </row>
    <row r="763" spans="1:21" x14ac:dyDescent="0.25">
      <c r="A763" s="7" t="s">
        <v>788</v>
      </c>
      <c r="B763" s="7" t="s">
        <v>808</v>
      </c>
      <c r="C763" s="7">
        <v>45183</v>
      </c>
      <c r="D763" s="7">
        <v>45189</v>
      </c>
      <c r="E763" s="7" t="s">
        <v>26</v>
      </c>
      <c r="F763" s="7" t="s">
        <v>18</v>
      </c>
      <c r="G763" s="7">
        <v>1346</v>
      </c>
      <c r="H763" s="7">
        <v>72.08</v>
      </c>
      <c r="I763" s="7">
        <v>67.040000000000006</v>
      </c>
      <c r="J763" s="7">
        <v>38</v>
      </c>
      <c r="K763" s="7" t="s">
        <v>15</v>
      </c>
      <c r="L763" s="7">
        <v>6</v>
      </c>
      <c r="M763" s="7">
        <v>11</v>
      </c>
      <c r="N763" s="7">
        <v>0</v>
      </c>
      <c r="O763" s="7" t="s">
        <v>824</v>
      </c>
      <c r="P763" s="7">
        <v>0</v>
      </c>
      <c r="Q763" s="7">
        <v>97019.68</v>
      </c>
      <c r="R763" s="7">
        <v>90235.840000000011</v>
      </c>
      <c r="S763" s="7">
        <v>6783.839999999982</v>
      </c>
      <c r="T763" s="7" t="s">
        <v>823</v>
      </c>
      <c r="U763" s="7"/>
    </row>
    <row r="764" spans="1:21" x14ac:dyDescent="0.25">
      <c r="A764" s="7" t="s">
        <v>789</v>
      </c>
      <c r="B764" s="7" t="s">
        <v>808</v>
      </c>
      <c r="C764" s="7">
        <v>44679</v>
      </c>
      <c r="D764" s="7">
        <v>44690</v>
      </c>
      <c r="E764" s="7" t="s">
        <v>39</v>
      </c>
      <c r="F764" s="7" t="s">
        <v>18</v>
      </c>
      <c r="G764" s="7">
        <v>1954</v>
      </c>
      <c r="H764" s="7">
        <v>99.78</v>
      </c>
      <c r="I764" s="7">
        <v>87.47</v>
      </c>
      <c r="J764" s="7">
        <v>57</v>
      </c>
      <c r="K764" s="7" t="s">
        <v>15</v>
      </c>
      <c r="L764" s="7">
        <v>11</v>
      </c>
      <c r="M764" s="7">
        <v>11</v>
      </c>
      <c r="N764" s="7">
        <v>0</v>
      </c>
      <c r="O764" s="7" t="s">
        <v>824</v>
      </c>
      <c r="P764" s="7">
        <v>0</v>
      </c>
      <c r="Q764" s="7">
        <v>194970.12</v>
      </c>
      <c r="R764" s="7">
        <v>170916.38</v>
      </c>
      <c r="S764" s="7">
        <v>24053.739999999991</v>
      </c>
      <c r="T764" s="7" t="s">
        <v>823</v>
      </c>
      <c r="U764" s="7"/>
    </row>
    <row r="765" spans="1:21" x14ac:dyDescent="0.25">
      <c r="A765" s="7" t="s">
        <v>790</v>
      </c>
      <c r="B765" s="7" t="s">
        <v>807</v>
      </c>
      <c r="C765" s="7">
        <v>44729</v>
      </c>
      <c r="D765" s="7">
        <v>44748</v>
      </c>
      <c r="E765" s="7" t="s">
        <v>39</v>
      </c>
      <c r="F765" s="7" t="s">
        <v>18</v>
      </c>
      <c r="G765" s="7">
        <v>111</v>
      </c>
      <c r="H765" s="7">
        <v>68.53</v>
      </c>
      <c r="I765" s="7">
        <v>65.22</v>
      </c>
      <c r="J765" s="7">
        <v>11</v>
      </c>
      <c r="K765" s="7" t="s">
        <v>15</v>
      </c>
      <c r="L765" s="7">
        <v>19</v>
      </c>
      <c r="M765" s="7">
        <v>11</v>
      </c>
      <c r="N765" s="7">
        <v>8</v>
      </c>
      <c r="O765" s="7" t="s">
        <v>824</v>
      </c>
      <c r="P765" s="7">
        <v>0</v>
      </c>
      <c r="Q765" s="7">
        <v>7606.83</v>
      </c>
      <c r="R765" s="7">
        <v>7239.42</v>
      </c>
      <c r="S765" s="7">
        <v>367.40999999999985</v>
      </c>
      <c r="T765" s="7" t="s">
        <v>825</v>
      </c>
      <c r="U765" s="7"/>
    </row>
    <row r="766" spans="1:21" x14ac:dyDescent="0.25">
      <c r="A766" s="7" t="s">
        <v>791</v>
      </c>
      <c r="B766" s="7" t="s">
        <v>806</v>
      </c>
      <c r="C766" s="7">
        <v>44880</v>
      </c>
      <c r="D766" s="7">
        <v>44887</v>
      </c>
      <c r="E766" s="7" t="s">
        <v>13</v>
      </c>
      <c r="F766" s="7" t="s">
        <v>35</v>
      </c>
      <c r="G766" s="7">
        <v>645</v>
      </c>
      <c r="H766" s="7">
        <v>35.049999999999997</v>
      </c>
      <c r="I766" s="7">
        <v>30.88</v>
      </c>
      <c r="J766" s="7">
        <v>27</v>
      </c>
      <c r="K766" s="7" t="s">
        <v>15</v>
      </c>
      <c r="L766" s="7">
        <v>7</v>
      </c>
      <c r="M766" s="7">
        <v>11</v>
      </c>
      <c r="N766" s="7">
        <v>0</v>
      </c>
      <c r="O766" s="7" t="s">
        <v>824</v>
      </c>
      <c r="P766" s="7">
        <v>0</v>
      </c>
      <c r="Q766" s="7">
        <v>22607.249999999996</v>
      </c>
      <c r="R766" s="7">
        <v>19917.599999999999</v>
      </c>
      <c r="S766" s="7">
        <v>2689.6499999999978</v>
      </c>
      <c r="T766" s="7" t="s">
        <v>823</v>
      </c>
      <c r="U766" s="7"/>
    </row>
    <row r="767" spans="1:21" x14ac:dyDescent="0.25">
      <c r="A767" s="7" t="s">
        <v>792</v>
      </c>
      <c r="B767" s="7" t="s">
        <v>806</v>
      </c>
      <c r="C767" s="7">
        <v>44672</v>
      </c>
      <c r="D767" s="7">
        <v>44685</v>
      </c>
      <c r="E767" s="7" t="s">
        <v>39</v>
      </c>
      <c r="F767" s="7" t="s">
        <v>14</v>
      </c>
      <c r="G767" s="7">
        <v>1953</v>
      </c>
      <c r="H767" s="7">
        <v>68.069999999999993</v>
      </c>
      <c r="I767" s="7">
        <v>62.95</v>
      </c>
      <c r="J767" s="7">
        <v>87</v>
      </c>
      <c r="K767" s="7" t="s">
        <v>15</v>
      </c>
      <c r="L767" s="7">
        <v>13</v>
      </c>
      <c r="M767" s="7">
        <v>11</v>
      </c>
      <c r="N767" s="7">
        <v>2</v>
      </c>
      <c r="O767" s="7" t="s">
        <v>824</v>
      </c>
      <c r="P767" s="7">
        <v>0</v>
      </c>
      <c r="Q767" s="7">
        <v>132940.71</v>
      </c>
      <c r="R767" s="7">
        <v>122941.35</v>
      </c>
      <c r="S767" s="7">
        <v>9999.359999999986</v>
      </c>
      <c r="T767" s="7" t="s">
        <v>826</v>
      </c>
      <c r="U767" s="7"/>
    </row>
    <row r="768" spans="1:21" x14ac:dyDescent="0.25">
      <c r="A768" s="7" t="s">
        <v>793</v>
      </c>
      <c r="B768" s="7" t="s">
        <v>806</v>
      </c>
      <c r="C768" s="7">
        <v>45154</v>
      </c>
      <c r="D768" s="7">
        <v>45171</v>
      </c>
      <c r="E768" s="7" t="s">
        <v>39</v>
      </c>
      <c r="F768" s="7" t="s">
        <v>18</v>
      </c>
      <c r="G768" s="7">
        <v>778</v>
      </c>
      <c r="H768" s="7">
        <v>64.17</v>
      </c>
      <c r="I768" s="7">
        <v>61.6</v>
      </c>
      <c r="J768" s="7">
        <v>47</v>
      </c>
      <c r="K768" s="7" t="s">
        <v>15</v>
      </c>
      <c r="L768" s="7">
        <v>17</v>
      </c>
      <c r="M768" s="7">
        <v>11</v>
      </c>
      <c r="N768" s="7">
        <v>6</v>
      </c>
      <c r="O768" s="7" t="s">
        <v>824</v>
      </c>
      <c r="P768" s="7">
        <v>0</v>
      </c>
      <c r="Q768" s="7">
        <v>49924.26</v>
      </c>
      <c r="R768" s="7">
        <v>47924.800000000003</v>
      </c>
      <c r="S768" s="7">
        <v>1999.4599999999991</v>
      </c>
      <c r="T768" s="7" t="s">
        <v>825</v>
      </c>
      <c r="U768" s="7"/>
    </row>
    <row r="769" spans="1:21" x14ac:dyDescent="0.25">
      <c r="A769" s="7" t="s">
        <v>794</v>
      </c>
      <c r="B769" s="7" t="s">
        <v>808</v>
      </c>
      <c r="C769" s="7">
        <v>44588</v>
      </c>
      <c r="D769" s="7">
        <v>44601</v>
      </c>
      <c r="E769" s="7" t="s">
        <v>13</v>
      </c>
      <c r="F769" s="7" t="s">
        <v>18</v>
      </c>
      <c r="G769" s="7">
        <v>1415</v>
      </c>
      <c r="H769" s="7">
        <v>80.19</v>
      </c>
      <c r="I769" s="7">
        <v>78.34</v>
      </c>
      <c r="J769" s="7"/>
      <c r="K769" s="7" t="s">
        <v>15</v>
      </c>
      <c r="L769" s="7">
        <v>13</v>
      </c>
      <c r="M769" s="7">
        <v>11</v>
      </c>
      <c r="N769" s="7">
        <v>2</v>
      </c>
      <c r="O769" s="7" t="s">
        <v>824</v>
      </c>
      <c r="P769" s="7">
        <v>0</v>
      </c>
      <c r="Q769" s="7">
        <v>113468.84999999999</v>
      </c>
      <c r="R769" s="7">
        <v>110851.1</v>
      </c>
      <c r="S769" s="7">
        <v>2617.7499999999854</v>
      </c>
      <c r="T769" s="7" t="s">
        <v>826</v>
      </c>
      <c r="U769" s="7"/>
    </row>
    <row r="770" spans="1:21" x14ac:dyDescent="0.25">
      <c r="A770" s="7" t="s">
        <v>795</v>
      </c>
      <c r="B770" s="7" t="s">
        <v>806</v>
      </c>
      <c r="C770" s="7">
        <v>44881</v>
      </c>
      <c r="D770" s="7">
        <v>44887</v>
      </c>
      <c r="E770" s="7" t="s">
        <v>26</v>
      </c>
      <c r="F770" s="7" t="s">
        <v>18</v>
      </c>
      <c r="G770" s="7">
        <v>446</v>
      </c>
      <c r="H770" s="7">
        <v>20.61</v>
      </c>
      <c r="I770" s="7">
        <v>19.46</v>
      </c>
      <c r="J770" s="7">
        <v>14</v>
      </c>
      <c r="K770" s="7" t="s">
        <v>15</v>
      </c>
      <c r="L770" s="7">
        <v>6</v>
      </c>
      <c r="M770" s="7">
        <v>11</v>
      </c>
      <c r="N770" s="7">
        <v>0</v>
      </c>
      <c r="O770" s="7" t="s">
        <v>824</v>
      </c>
      <c r="P770" s="7">
        <v>0</v>
      </c>
      <c r="Q770" s="7">
        <v>9192.06</v>
      </c>
      <c r="R770" s="7">
        <v>8679.16</v>
      </c>
      <c r="S770" s="7">
        <v>512.89999999999964</v>
      </c>
      <c r="T770" s="7" t="s">
        <v>823</v>
      </c>
      <c r="U770" s="7"/>
    </row>
    <row r="771" spans="1:21" x14ac:dyDescent="0.25">
      <c r="A771" s="7" t="s">
        <v>796</v>
      </c>
      <c r="B771" s="7" t="s">
        <v>808</v>
      </c>
      <c r="C771" s="7">
        <v>45151</v>
      </c>
      <c r="D771" s="7">
        <v>45162</v>
      </c>
      <c r="E771" s="7" t="s">
        <v>13</v>
      </c>
      <c r="F771" s="7" t="s">
        <v>18</v>
      </c>
      <c r="G771" s="7">
        <v>748</v>
      </c>
      <c r="H771" s="7">
        <v>85.95</v>
      </c>
      <c r="I771" s="7">
        <v>79.16</v>
      </c>
      <c r="J771" s="7">
        <v>32</v>
      </c>
      <c r="K771" s="7" t="s">
        <v>15</v>
      </c>
      <c r="L771" s="7">
        <v>11</v>
      </c>
      <c r="M771" s="7">
        <v>11</v>
      </c>
      <c r="N771" s="7">
        <v>0</v>
      </c>
      <c r="O771" s="7" t="s">
        <v>824</v>
      </c>
      <c r="P771" s="7">
        <v>0</v>
      </c>
      <c r="Q771" s="7">
        <v>64290.6</v>
      </c>
      <c r="R771" s="7">
        <v>59211.68</v>
      </c>
      <c r="S771" s="7">
        <v>5078.9199999999983</v>
      </c>
      <c r="T771" s="7" t="s">
        <v>823</v>
      </c>
      <c r="U771" s="7"/>
    </row>
    <row r="772" spans="1:21" x14ac:dyDescent="0.25">
      <c r="A772" s="7" t="s">
        <v>797</v>
      </c>
      <c r="B772" s="7" t="s">
        <v>804</v>
      </c>
      <c r="C772" s="7">
        <v>45255</v>
      </c>
      <c r="D772" s="7">
        <v>45263</v>
      </c>
      <c r="E772" s="7" t="s">
        <v>39</v>
      </c>
      <c r="F772" s="7" t="s">
        <v>35</v>
      </c>
      <c r="G772" s="7">
        <v>1092</v>
      </c>
      <c r="H772" s="7">
        <v>65.17</v>
      </c>
      <c r="I772" s="7">
        <v>63.11</v>
      </c>
      <c r="J772" s="7">
        <v>21</v>
      </c>
      <c r="K772" s="7" t="s">
        <v>15</v>
      </c>
      <c r="L772" s="7">
        <v>8</v>
      </c>
      <c r="M772" s="7">
        <v>11</v>
      </c>
      <c r="N772" s="7">
        <v>0</v>
      </c>
      <c r="O772" s="7" t="s">
        <v>824</v>
      </c>
      <c r="P772" s="7">
        <v>0</v>
      </c>
      <c r="Q772" s="7">
        <v>71165.64</v>
      </c>
      <c r="R772" s="7">
        <v>68916.12</v>
      </c>
      <c r="S772" s="7">
        <v>2249.5200000000041</v>
      </c>
      <c r="T772" s="7" t="s">
        <v>823</v>
      </c>
      <c r="U772" s="7"/>
    </row>
    <row r="773" spans="1:21" x14ac:dyDescent="0.25">
      <c r="A773" s="7" t="s">
        <v>798</v>
      </c>
      <c r="B773" s="7" t="s">
        <v>807</v>
      </c>
      <c r="C773" s="7">
        <v>44946</v>
      </c>
      <c r="D773" s="7">
        <v>44959</v>
      </c>
      <c r="E773" s="7" t="s">
        <v>39</v>
      </c>
      <c r="F773" s="7" t="s">
        <v>18</v>
      </c>
      <c r="G773" s="7">
        <v>226</v>
      </c>
      <c r="H773" s="7">
        <v>102.47</v>
      </c>
      <c r="I773" s="7">
        <v>99.16</v>
      </c>
      <c r="J773" s="7">
        <v>28</v>
      </c>
      <c r="K773" s="7" t="s">
        <v>15</v>
      </c>
      <c r="L773" s="7">
        <v>13</v>
      </c>
      <c r="M773" s="7">
        <v>11</v>
      </c>
      <c r="N773" s="7">
        <v>2</v>
      </c>
      <c r="O773" s="7" t="s">
        <v>824</v>
      </c>
      <c r="P773" s="7">
        <v>0</v>
      </c>
      <c r="Q773" s="7">
        <v>23158.22</v>
      </c>
      <c r="R773" s="7">
        <v>22410.16</v>
      </c>
      <c r="S773" s="7">
        <v>748.06000000000131</v>
      </c>
      <c r="T773" s="7" t="s">
        <v>826</v>
      </c>
      <c r="U773" s="7"/>
    </row>
    <row r="774" spans="1:21" x14ac:dyDescent="0.25">
      <c r="A774" s="7" t="s">
        <v>799</v>
      </c>
      <c r="B774" s="7" t="s">
        <v>805</v>
      </c>
      <c r="C774" s="7">
        <v>44968</v>
      </c>
      <c r="D774" s="7">
        <v>44977</v>
      </c>
      <c r="E774" s="7" t="s">
        <v>39</v>
      </c>
      <c r="F774" s="7" t="s">
        <v>18</v>
      </c>
      <c r="G774" s="7">
        <v>1685</v>
      </c>
      <c r="H774" s="7">
        <v>43.42</v>
      </c>
      <c r="I774" s="7">
        <v>42.24</v>
      </c>
      <c r="J774" s="7">
        <v>262</v>
      </c>
      <c r="K774" s="7" t="s">
        <v>15</v>
      </c>
      <c r="L774" s="7">
        <v>9</v>
      </c>
      <c r="M774" s="7">
        <v>11</v>
      </c>
      <c r="N774" s="7">
        <v>0</v>
      </c>
      <c r="O774" s="7" t="s">
        <v>824</v>
      </c>
      <c r="P774" s="7">
        <v>0</v>
      </c>
      <c r="Q774" s="7">
        <v>73162.7</v>
      </c>
      <c r="R774" s="7">
        <v>71174.400000000009</v>
      </c>
      <c r="S774" s="7">
        <v>1988.2999999999884</v>
      </c>
      <c r="T774" s="7" t="s">
        <v>823</v>
      </c>
      <c r="U774" s="7"/>
    </row>
    <row r="775" spans="1:21" x14ac:dyDescent="0.25">
      <c r="A775" s="7" t="s">
        <v>800</v>
      </c>
      <c r="B775" s="7" t="s">
        <v>804</v>
      </c>
      <c r="C775" s="7">
        <v>44765</v>
      </c>
      <c r="D775" s="7">
        <v>44776</v>
      </c>
      <c r="E775" s="7" t="s">
        <v>13</v>
      </c>
      <c r="F775" s="7" t="s">
        <v>18</v>
      </c>
      <c r="G775" s="7">
        <v>445</v>
      </c>
      <c r="H775" s="7">
        <v>68.94</v>
      </c>
      <c r="I775" s="7">
        <v>60.35</v>
      </c>
      <c r="J775" s="7">
        <v>7</v>
      </c>
      <c r="K775" s="7" t="s">
        <v>15</v>
      </c>
      <c r="L775" s="7">
        <v>11</v>
      </c>
      <c r="M775" s="7">
        <v>11</v>
      </c>
      <c r="N775" s="7">
        <v>0</v>
      </c>
      <c r="O775" s="7" t="s">
        <v>824</v>
      </c>
      <c r="P775" s="7">
        <v>0</v>
      </c>
      <c r="Q775" s="7">
        <v>30678.3</v>
      </c>
      <c r="R775" s="7">
        <v>26855.75</v>
      </c>
      <c r="S775" s="7">
        <v>3822.5499999999993</v>
      </c>
      <c r="T775" s="7" t="s">
        <v>823</v>
      </c>
      <c r="U775" s="7"/>
    </row>
    <row r="776" spans="1:21" x14ac:dyDescent="0.25">
      <c r="A776" s="7" t="s">
        <v>801</v>
      </c>
      <c r="B776" s="7" t="s">
        <v>806</v>
      </c>
      <c r="C776" s="7">
        <v>44639</v>
      </c>
      <c r="D776" s="7">
        <v>44658</v>
      </c>
      <c r="E776" s="7" t="s">
        <v>26</v>
      </c>
      <c r="F776" s="7" t="s">
        <v>18</v>
      </c>
      <c r="G776" s="7">
        <v>494</v>
      </c>
      <c r="H776" s="7">
        <v>94.82</v>
      </c>
      <c r="I776" s="7">
        <v>81.89</v>
      </c>
      <c r="J776" s="7">
        <v>29</v>
      </c>
      <c r="K776" s="7" t="s">
        <v>15</v>
      </c>
      <c r="L776" s="7">
        <v>19</v>
      </c>
      <c r="M776" s="7">
        <v>11</v>
      </c>
      <c r="N776" s="7">
        <v>8</v>
      </c>
      <c r="O776" s="7" t="s">
        <v>824</v>
      </c>
      <c r="P776" s="7">
        <v>0</v>
      </c>
      <c r="Q776" s="7">
        <v>46841.079999999994</v>
      </c>
      <c r="R776" s="7">
        <v>40453.660000000003</v>
      </c>
      <c r="S776" s="7">
        <v>6387.419999999991</v>
      </c>
      <c r="T776" s="7" t="s">
        <v>825</v>
      </c>
      <c r="U776" s="7"/>
    </row>
    <row r="777" spans="1:21" x14ac:dyDescent="0.25">
      <c r="A777" s="7" t="s">
        <v>802</v>
      </c>
      <c r="B777" s="7" t="s">
        <v>807</v>
      </c>
      <c r="C777" s="7">
        <v>45168</v>
      </c>
      <c r="D777" s="7">
        <v>45180</v>
      </c>
      <c r="E777" s="7" t="s">
        <v>21</v>
      </c>
      <c r="F777" s="7" t="s">
        <v>18</v>
      </c>
      <c r="G777" s="7">
        <v>1306</v>
      </c>
      <c r="H777" s="7">
        <v>21.05</v>
      </c>
      <c r="I777" s="7">
        <v>18.27</v>
      </c>
      <c r="J777" s="7">
        <v>128</v>
      </c>
      <c r="K777" s="7" t="s">
        <v>15</v>
      </c>
      <c r="L777" s="7">
        <v>12</v>
      </c>
      <c r="M777" s="7">
        <v>11</v>
      </c>
      <c r="N777" s="7">
        <v>1</v>
      </c>
      <c r="O777" s="7" t="s">
        <v>824</v>
      </c>
      <c r="P777" s="7">
        <v>0</v>
      </c>
      <c r="Q777" s="7">
        <v>27491.3</v>
      </c>
      <c r="R777" s="7">
        <v>23860.62</v>
      </c>
      <c r="S777" s="7">
        <v>3630.6800000000003</v>
      </c>
      <c r="T777" s="7" t="s">
        <v>826</v>
      </c>
      <c r="U777" s="7"/>
    </row>
    <row r="778" spans="1:21" x14ac:dyDescent="0.25">
      <c r="A778" s="7" t="s">
        <v>803</v>
      </c>
      <c r="B778" s="7" t="s">
        <v>807</v>
      </c>
      <c r="C778" s="7">
        <v>45269</v>
      </c>
      <c r="D778" s="7">
        <v>45271</v>
      </c>
      <c r="E778" s="7" t="s">
        <v>13</v>
      </c>
      <c r="F778" s="7" t="s">
        <v>18</v>
      </c>
      <c r="G778" s="7">
        <v>1988</v>
      </c>
      <c r="H778" s="7">
        <v>105.2</v>
      </c>
      <c r="I778" s="7">
        <v>93.23</v>
      </c>
      <c r="J778" s="7">
        <v>187</v>
      </c>
      <c r="K778" s="7" t="s">
        <v>15</v>
      </c>
      <c r="L778" s="7">
        <v>2</v>
      </c>
      <c r="M778" s="7">
        <v>11</v>
      </c>
      <c r="N778" s="7">
        <v>0</v>
      </c>
      <c r="O778" s="7" t="s">
        <v>824</v>
      </c>
      <c r="P778" s="7">
        <v>0</v>
      </c>
      <c r="Q778" s="7">
        <v>209137.6</v>
      </c>
      <c r="R778" s="7">
        <v>185341.24000000002</v>
      </c>
      <c r="S778" s="7">
        <v>23796.359999999986</v>
      </c>
      <c r="T778" s="7" t="s">
        <v>823</v>
      </c>
      <c r="U77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52D2-9EF1-434D-8C0F-3750878F1A88}">
  <dimension ref="A1:B8"/>
  <sheetViews>
    <sheetView workbookViewId="0">
      <selection activeCell="D23" sqref="D23"/>
    </sheetView>
  </sheetViews>
  <sheetFormatPr defaultRowHeight="15" x14ac:dyDescent="0.25"/>
  <cols>
    <col min="1" max="1" width="16.85546875" bestFit="1" customWidth="1"/>
    <col min="2" max="2" width="27.42578125" bestFit="1" customWidth="1"/>
  </cols>
  <sheetData>
    <row r="1" spans="1:2" x14ac:dyDescent="0.25">
      <c r="A1" s="3" t="s">
        <v>809</v>
      </c>
      <c r="B1" t="s">
        <v>813</v>
      </c>
    </row>
    <row r="3" spans="1:2" x14ac:dyDescent="0.25">
      <c r="A3" s="3" t="s">
        <v>1</v>
      </c>
      <c r="B3" t="s">
        <v>812</v>
      </c>
    </row>
    <row r="4" spans="1:2" x14ac:dyDescent="0.25">
      <c r="A4" t="s">
        <v>804</v>
      </c>
      <c r="B4" s="4">
        <v>10.741379310344827</v>
      </c>
    </row>
    <row r="5" spans="1:2" x14ac:dyDescent="0.25">
      <c r="A5" t="s">
        <v>807</v>
      </c>
      <c r="B5" s="4">
        <v>11.272727272727273</v>
      </c>
    </row>
    <row r="6" spans="1:2" x14ac:dyDescent="0.25">
      <c r="A6" t="s">
        <v>805</v>
      </c>
      <c r="B6" s="4">
        <v>10.85430463576159</v>
      </c>
    </row>
    <row r="7" spans="1:2" x14ac:dyDescent="0.25">
      <c r="A7" t="s">
        <v>808</v>
      </c>
      <c r="B7" s="4">
        <v>10.865771812080537</v>
      </c>
    </row>
    <row r="8" spans="1:2" x14ac:dyDescent="0.25">
      <c r="A8" t="s">
        <v>806</v>
      </c>
      <c r="B8" s="4">
        <v>10.192307692307692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FE5E-A22C-4F22-86F6-1173497146AC}">
  <dimension ref="A1:K778"/>
  <sheetViews>
    <sheetView workbookViewId="0">
      <selection activeCell="D13" sqref="D13"/>
    </sheetView>
  </sheetViews>
  <sheetFormatPr defaultRowHeight="15" x14ac:dyDescent="0.25"/>
  <cols>
    <col min="1" max="1" width="9.28515625" bestFit="1" customWidth="1"/>
    <col min="2" max="2" width="14.28515625" bestFit="1" customWidth="1"/>
    <col min="3" max="3" width="10.85546875" bestFit="1" customWidth="1"/>
    <col min="4" max="4" width="12.7109375" bestFit="1" customWidth="1"/>
    <col min="5" max="5" width="14.28515625" bestFit="1" customWidth="1"/>
    <col min="6" max="6" width="17" bestFit="1" customWidth="1"/>
    <col min="7" max="7" width="8.42578125" bestFit="1" customWidth="1"/>
    <col min="8" max="8" width="9.85546875" bestFit="1" customWidth="1"/>
    <col min="9" max="9" width="16" bestFit="1" customWidth="1"/>
    <col min="10" max="10" width="14.42578125" bestFit="1" customWidth="1"/>
    <col min="11" max="11" width="11.57031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t="s">
        <v>12</v>
      </c>
      <c r="C2" s="1">
        <v>45216</v>
      </c>
      <c r="D2" s="1">
        <v>45224</v>
      </c>
      <c r="E2" t="s">
        <v>13</v>
      </c>
      <c r="F2" t="s">
        <v>14</v>
      </c>
      <c r="G2">
        <v>1176</v>
      </c>
      <c r="H2">
        <v>20.13</v>
      </c>
      <c r="I2">
        <v>17.809999999999999</v>
      </c>
      <c r="K2" t="s">
        <v>15</v>
      </c>
    </row>
    <row r="3" spans="1:11" x14ac:dyDescent="0.25">
      <c r="A3" t="s">
        <v>16</v>
      </c>
      <c r="B3" t="s">
        <v>17</v>
      </c>
      <c r="C3" s="1">
        <v>44676</v>
      </c>
      <c r="D3" s="1">
        <v>44686</v>
      </c>
      <c r="E3" t="s">
        <v>13</v>
      </c>
      <c r="F3" t="s">
        <v>18</v>
      </c>
      <c r="G3">
        <v>1509</v>
      </c>
      <c r="H3">
        <v>39.32</v>
      </c>
      <c r="I3">
        <v>37.340000000000003</v>
      </c>
      <c r="J3">
        <v>235</v>
      </c>
      <c r="K3" t="s">
        <v>15</v>
      </c>
    </row>
    <row r="4" spans="1:11" x14ac:dyDescent="0.25">
      <c r="A4" t="s">
        <v>19</v>
      </c>
      <c r="B4" t="s">
        <v>20</v>
      </c>
      <c r="C4" s="1">
        <v>44587</v>
      </c>
      <c r="D4" s="1">
        <v>44607</v>
      </c>
      <c r="E4" t="s">
        <v>21</v>
      </c>
      <c r="F4" t="s">
        <v>18</v>
      </c>
      <c r="G4">
        <v>910</v>
      </c>
      <c r="H4">
        <v>95.51</v>
      </c>
      <c r="I4">
        <v>92.26</v>
      </c>
      <c r="J4">
        <v>41</v>
      </c>
      <c r="K4" t="s">
        <v>15</v>
      </c>
    </row>
    <row r="5" spans="1:11" x14ac:dyDescent="0.25">
      <c r="A5" t="s">
        <v>22</v>
      </c>
      <c r="B5" t="s">
        <v>23</v>
      </c>
      <c r="C5" s="1">
        <v>44843</v>
      </c>
      <c r="D5" s="1">
        <v>44862</v>
      </c>
      <c r="E5" t="s">
        <v>24</v>
      </c>
      <c r="F5" t="s">
        <v>18</v>
      </c>
      <c r="G5">
        <v>1344</v>
      </c>
      <c r="H5">
        <v>99.85</v>
      </c>
      <c r="I5">
        <v>95.52</v>
      </c>
      <c r="J5">
        <v>112</v>
      </c>
      <c r="K5" t="s">
        <v>15</v>
      </c>
    </row>
    <row r="6" spans="1:11" x14ac:dyDescent="0.25">
      <c r="A6" t="s">
        <v>25</v>
      </c>
      <c r="B6" t="s">
        <v>17</v>
      </c>
      <c r="C6" s="1">
        <v>44812</v>
      </c>
      <c r="D6" s="1">
        <v>44824</v>
      </c>
      <c r="E6" t="s">
        <v>26</v>
      </c>
      <c r="F6" t="s">
        <v>18</v>
      </c>
      <c r="G6">
        <v>1180</v>
      </c>
      <c r="H6">
        <v>64.069999999999993</v>
      </c>
      <c r="I6">
        <v>60.53</v>
      </c>
      <c r="J6">
        <v>171</v>
      </c>
      <c r="K6" t="s">
        <v>27</v>
      </c>
    </row>
    <row r="7" spans="1:11" x14ac:dyDescent="0.25">
      <c r="A7" t="s">
        <v>28</v>
      </c>
      <c r="B7" t="s">
        <v>29</v>
      </c>
      <c r="C7" s="1">
        <v>44790</v>
      </c>
      <c r="D7" s="1">
        <v>44802</v>
      </c>
      <c r="E7" t="s">
        <v>21</v>
      </c>
      <c r="F7" t="s">
        <v>18</v>
      </c>
      <c r="G7">
        <v>1145</v>
      </c>
      <c r="H7">
        <v>69.209999999999994</v>
      </c>
      <c r="I7">
        <v>63.57</v>
      </c>
      <c r="J7">
        <v>39</v>
      </c>
      <c r="K7" t="s">
        <v>15</v>
      </c>
    </row>
    <row r="8" spans="1:11" x14ac:dyDescent="0.25">
      <c r="A8" t="s">
        <v>30</v>
      </c>
      <c r="B8" t="s">
        <v>20</v>
      </c>
      <c r="C8" s="1">
        <v>44704</v>
      </c>
      <c r="D8" s="1">
        <v>44715</v>
      </c>
      <c r="E8" t="s">
        <v>21</v>
      </c>
      <c r="F8" t="s">
        <v>18</v>
      </c>
      <c r="G8">
        <v>1774</v>
      </c>
      <c r="H8">
        <v>51.37</v>
      </c>
      <c r="I8">
        <v>47.82</v>
      </c>
      <c r="J8">
        <v>96</v>
      </c>
      <c r="K8" t="s">
        <v>27</v>
      </c>
    </row>
    <row r="9" spans="1:11" x14ac:dyDescent="0.25">
      <c r="A9" t="s">
        <v>31</v>
      </c>
      <c r="B9" t="s">
        <v>12</v>
      </c>
      <c r="C9" s="1">
        <v>44666</v>
      </c>
      <c r="D9" s="1">
        <v>44680</v>
      </c>
      <c r="E9" t="s">
        <v>21</v>
      </c>
      <c r="F9" t="s">
        <v>18</v>
      </c>
      <c r="G9">
        <v>1094</v>
      </c>
      <c r="H9">
        <v>36.93</v>
      </c>
      <c r="I9">
        <v>32.78</v>
      </c>
      <c r="J9">
        <v>22</v>
      </c>
      <c r="K9" t="s">
        <v>15</v>
      </c>
    </row>
    <row r="10" spans="1:11" x14ac:dyDescent="0.25">
      <c r="A10" t="s">
        <v>32</v>
      </c>
      <c r="B10" t="s">
        <v>20</v>
      </c>
      <c r="C10" s="1">
        <v>45254</v>
      </c>
      <c r="D10" s="1">
        <v>45258</v>
      </c>
      <c r="E10" t="s">
        <v>26</v>
      </c>
      <c r="F10" t="s">
        <v>33</v>
      </c>
      <c r="G10">
        <v>1688</v>
      </c>
      <c r="H10">
        <v>43.93</v>
      </c>
      <c r="I10">
        <v>39.89</v>
      </c>
      <c r="J10">
        <v>89</v>
      </c>
      <c r="K10" t="s">
        <v>15</v>
      </c>
    </row>
    <row r="11" spans="1:11" x14ac:dyDescent="0.25">
      <c r="A11" t="s">
        <v>34</v>
      </c>
      <c r="B11" t="s">
        <v>20</v>
      </c>
      <c r="C11" s="1">
        <v>45120</v>
      </c>
      <c r="D11" s="1">
        <v>45132</v>
      </c>
      <c r="E11" t="s">
        <v>26</v>
      </c>
      <c r="F11" t="s">
        <v>35</v>
      </c>
      <c r="G11">
        <v>171</v>
      </c>
      <c r="H11">
        <v>76.87</v>
      </c>
      <c r="I11">
        <v>70.2</v>
      </c>
      <c r="J11">
        <v>8</v>
      </c>
      <c r="K11" t="s">
        <v>15</v>
      </c>
    </row>
    <row r="12" spans="1:11" x14ac:dyDescent="0.25">
      <c r="A12" t="s">
        <v>36</v>
      </c>
      <c r="B12" t="s">
        <v>29</v>
      </c>
      <c r="C12" s="1">
        <v>44651</v>
      </c>
      <c r="D12" s="1">
        <v>44666</v>
      </c>
      <c r="E12" t="s">
        <v>26</v>
      </c>
      <c r="F12" t="s">
        <v>18</v>
      </c>
      <c r="G12">
        <v>5000</v>
      </c>
      <c r="H12">
        <v>78.489999999999995</v>
      </c>
      <c r="I12">
        <v>73.680000000000007</v>
      </c>
      <c r="J12">
        <v>18</v>
      </c>
      <c r="K12" t="s">
        <v>15</v>
      </c>
    </row>
    <row r="13" spans="1:11" x14ac:dyDescent="0.25">
      <c r="A13" t="s">
        <v>37</v>
      </c>
      <c r="B13" t="s">
        <v>23</v>
      </c>
      <c r="C13" s="1">
        <v>45166</v>
      </c>
      <c r="D13" s="1">
        <v>45180</v>
      </c>
      <c r="E13" t="s">
        <v>26</v>
      </c>
      <c r="F13" t="s">
        <v>18</v>
      </c>
      <c r="G13">
        <v>5000</v>
      </c>
      <c r="H13">
        <v>88.96</v>
      </c>
      <c r="I13">
        <v>86.58</v>
      </c>
      <c r="J13">
        <v>115</v>
      </c>
      <c r="K13" t="s">
        <v>15</v>
      </c>
    </row>
    <row r="14" spans="1:11" x14ac:dyDescent="0.25">
      <c r="A14" t="s">
        <v>38</v>
      </c>
      <c r="B14" t="s">
        <v>23</v>
      </c>
      <c r="C14" s="1">
        <v>44994</v>
      </c>
      <c r="D14" s="1">
        <v>45011</v>
      </c>
      <c r="E14" t="s">
        <v>39</v>
      </c>
      <c r="F14" t="s">
        <v>35</v>
      </c>
      <c r="G14">
        <v>5000</v>
      </c>
      <c r="H14">
        <v>86.74</v>
      </c>
      <c r="I14">
        <v>74.86</v>
      </c>
      <c r="J14">
        <v>51</v>
      </c>
      <c r="K14" t="s">
        <v>15</v>
      </c>
    </row>
    <row r="15" spans="1:11" x14ac:dyDescent="0.25">
      <c r="A15" t="s">
        <v>40</v>
      </c>
      <c r="B15" t="s">
        <v>23</v>
      </c>
      <c r="C15" s="1">
        <v>44594</v>
      </c>
      <c r="E15" t="s">
        <v>21</v>
      </c>
      <c r="F15" t="s">
        <v>18</v>
      </c>
      <c r="G15">
        <v>5000</v>
      </c>
      <c r="H15">
        <v>18.3</v>
      </c>
      <c r="I15">
        <v>16.88</v>
      </c>
      <c r="K15" t="s">
        <v>15</v>
      </c>
    </row>
    <row r="16" spans="1:11" x14ac:dyDescent="0.25">
      <c r="A16" t="s">
        <v>41</v>
      </c>
      <c r="B16" t="s">
        <v>17</v>
      </c>
      <c r="C16" s="1">
        <v>44592</v>
      </c>
      <c r="D16" s="1">
        <v>44610</v>
      </c>
      <c r="E16" t="s">
        <v>39</v>
      </c>
      <c r="F16" t="s">
        <v>35</v>
      </c>
      <c r="G16">
        <v>5000</v>
      </c>
      <c r="H16">
        <v>54.5</v>
      </c>
      <c r="I16">
        <v>48.45</v>
      </c>
      <c r="J16">
        <v>22</v>
      </c>
      <c r="K16" t="s">
        <v>15</v>
      </c>
    </row>
    <row r="17" spans="1:11" x14ac:dyDescent="0.25">
      <c r="A17" t="s">
        <v>42</v>
      </c>
      <c r="B17" t="s">
        <v>23</v>
      </c>
      <c r="C17" s="1">
        <v>44657</v>
      </c>
      <c r="D17" s="1">
        <v>44672</v>
      </c>
      <c r="E17" t="s">
        <v>24</v>
      </c>
      <c r="F17" t="s">
        <v>18</v>
      </c>
      <c r="G17">
        <v>5000</v>
      </c>
      <c r="H17">
        <v>15.41</v>
      </c>
      <c r="I17">
        <v>15.12</v>
      </c>
      <c r="K17" t="s">
        <v>15</v>
      </c>
    </row>
    <row r="18" spans="1:11" x14ac:dyDescent="0.25">
      <c r="A18" t="s">
        <v>43</v>
      </c>
      <c r="B18" t="s">
        <v>17</v>
      </c>
      <c r="C18" s="1">
        <v>44785</v>
      </c>
      <c r="D18" s="1">
        <v>44804</v>
      </c>
      <c r="E18" t="s">
        <v>21</v>
      </c>
      <c r="F18" t="s">
        <v>18</v>
      </c>
      <c r="G18">
        <v>1173</v>
      </c>
      <c r="H18">
        <v>61.54</v>
      </c>
      <c r="I18">
        <v>55.49</v>
      </c>
      <c r="J18">
        <v>172</v>
      </c>
      <c r="K18" t="s">
        <v>27</v>
      </c>
    </row>
    <row r="19" spans="1:11" x14ac:dyDescent="0.25">
      <c r="A19" t="s">
        <v>44</v>
      </c>
      <c r="B19" t="s">
        <v>29</v>
      </c>
      <c r="C19" s="1">
        <v>44800</v>
      </c>
      <c r="D19" s="1">
        <v>44808</v>
      </c>
      <c r="E19" t="s">
        <v>26</v>
      </c>
      <c r="F19" t="s">
        <v>18</v>
      </c>
      <c r="G19">
        <v>921</v>
      </c>
      <c r="H19">
        <v>51.48</v>
      </c>
      <c r="I19">
        <v>50.61</v>
      </c>
      <c r="K19" t="s">
        <v>15</v>
      </c>
    </row>
    <row r="20" spans="1:11" x14ac:dyDescent="0.25">
      <c r="A20" t="s">
        <v>45</v>
      </c>
      <c r="B20" t="s">
        <v>20</v>
      </c>
      <c r="C20" s="1">
        <v>45079</v>
      </c>
      <c r="D20" s="1">
        <v>45082</v>
      </c>
      <c r="E20" t="s">
        <v>26</v>
      </c>
      <c r="F20" t="s">
        <v>33</v>
      </c>
      <c r="G20">
        <v>1737</v>
      </c>
      <c r="H20">
        <v>97.53</v>
      </c>
      <c r="I20">
        <v>87.37</v>
      </c>
      <c r="J20">
        <v>79</v>
      </c>
      <c r="K20" t="s">
        <v>15</v>
      </c>
    </row>
    <row r="21" spans="1:11" x14ac:dyDescent="0.25">
      <c r="A21" t="s">
        <v>46</v>
      </c>
      <c r="B21" t="s">
        <v>17</v>
      </c>
      <c r="C21" s="1">
        <v>45178</v>
      </c>
      <c r="D21" s="1">
        <v>45193</v>
      </c>
      <c r="E21" t="s">
        <v>26</v>
      </c>
      <c r="F21" t="s">
        <v>18</v>
      </c>
      <c r="G21">
        <v>180</v>
      </c>
      <c r="H21">
        <v>45.74</v>
      </c>
      <c r="I21">
        <v>38.89</v>
      </c>
      <c r="K21" t="s">
        <v>27</v>
      </c>
    </row>
    <row r="22" spans="1:11" x14ac:dyDescent="0.25">
      <c r="A22" t="s">
        <v>47</v>
      </c>
      <c r="B22" t="s">
        <v>29</v>
      </c>
      <c r="C22" s="1">
        <v>44589</v>
      </c>
      <c r="D22" s="1">
        <v>44604</v>
      </c>
      <c r="E22" t="s">
        <v>39</v>
      </c>
      <c r="F22" t="s">
        <v>14</v>
      </c>
      <c r="G22">
        <v>1735</v>
      </c>
      <c r="H22">
        <v>20.54</v>
      </c>
      <c r="I22">
        <v>19.690000000000001</v>
      </c>
      <c r="J22">
        <v>49</v>
      </c>
      <c r="K22" t="s">
        <v>15</v>
      </c>
    </row>
    <row r="23" spans="1:11" x14ac:dyDescent="0.25">
      <c r="A23" t="s">
        <v>48</v>
      </c>
      <c r="B23" t="s">
        <v>17</v>
      </c>
      <c r="C23" s="1">
        <v>45136</v>
      </c>
      <c r="D23" s="1">
        <v>45149</v>
      </c>
      <c r="E23" t="s">
        <v>26</v>
      </c>
      <c r="F23" t="s">
        <v>18</v>
      </c>
      <c r="G23">
        <v>1382</v>
      </c>
      <c r="H23">
        <v>24.93</v>
      </c>
      <c r="I23">
        <v>23.75</v>
      </c>
      <c r="K23" t="s">
        <v>15</v>
      </c>
    </row>
    <row r="24" spans="1:11" x14ac:dyDescent="0.25">
      <c r="A24" t="s">
        <v>49</v>
      </c>
      <c r="B24" t="s">
        <v>29</v>
      </c>
      <c r="C24" s="1">
        <v>44765</v>
      </c>
      <c r="D24" s="1">
        <v>44781</v>
      </c>
      <c r="E24" t="s">
        <v>21</v>
      </c>
      <c r="F24" t="s">
        <v>18</v>
      </c>
      <c r="G24">
        <v>819</v>
      </c>
      <c r="H24">
        <v>80.89</v>
      </c>
      <c r="I24">
        <v>77.03</v>
      </c>
      <c r="J24">
        <v>29</v>
      </c>
      <c r="K24" t="s">
        <v>15</v>
      </c>
    </row>
    <row r="25" spans="1:11" x14ac:dyDescent="0.25">
      <c r="A25" t="s">
        <v>50</v>
      </c>
      <c r="B25" t="s">
        <v>23</v>
      </c>
      <c r="C25" s="1">
        <v>45227</v>
      </c>
      <c r="D25" s="1">
        <v>45233</v>
      </c>
      <c r="E25" t="s">
        <v>13</v>
      </c>
      <c r="F25" t="s">
        <v>33</v>
      </c>
      <c r="G25">
        <v>393</v>
      </c>
      <c r="H25">
        <v>72.53</v>
      </c>
      <c r="I25">
        <v>66.31</v>
      </c>
      <c r="J25">
        <v>42</v>
      </c>
      <c r="K25" t="s">
        <v>27</v>
      </c>
    </row>
    <row r="26" spans="1:11" x14ac:dyDescent="0.25">
      <c r="A26" t="s">
        <v>51</v>
      </c>
      <c r="B26" t="s">
        <v>23</v>
      </c>
      <c r="C26" s="1">
        <v>45280</v>
      </c>
      <c r="D26" s="1">
        <v>45292</v>
      </c>
      <c r="E26" t="s">
        <v>21</v>
      </c>
      <c r="F26" t="s">
        <v>18</v>
      </c>
      <c r="G26">
        <v>1565</v>
      </c>
      <c r="H26">
        <v>21.3</v>
      </c>
      <c r="I26">
        <v>20.09</v>
      </c>
      <c r="J26">
        <v>161</v>
      </c>
      <c r="K26" t="s">
        <v>15</v>
      </c>
    </row>
    <row r="27" spans="1:11" x14ac:dyDescent="0.25">
      <c r="A27" t="s">
        <v>52</v>
      </c>
      <c r="B27" t="s">
        <v>29</v>
      </c>
      <c r="C27" s="1">
        <v>45120</v>
      </c>
      <c r="D27" s="1">
        <v>45131</v>
      </c>
      <c r="E27" t="s">
        <v>24</v>
      </c>
      <c r="F27" t="s">
        <v>18</v>
      </c>
      <c r="G27">
        <v>1487</v>
      </c>
      <c r="H27">
        <v>19.149999999999999</v>
      </c>
      <c r="I27">
        <v>17.239999999999998</v>
      </c>
      <c r="K27" t="s">
        <v>15</v>
      </c>
    </row>
    <row r="28" spans="1:11" x14ac:dyDescent="0.25">
      <c r="A28" t="s">
        <v>53</v>
      </c>
      <c r="B28" t="s">
        <v>12</v>
      </c>
      <c r="C28" s="1">
        <v>44991</v>
      </c>
      <c r="D28" s="1">
        <v>45011</v>
      </c>
      <c r="E28" t="s">
        <v>21</v>
      </c>
      <c r="F28" t="s">
        <v>18</v>
      </c>
      <c r="G28">
        <v>855</v>
      </c>
      <c r="H28">
        <v>78.2</v>
      </c>
      <c r="I28">
        <v>67.16</v>
      </c>
      <c r="J28">
        <v>17</v>
      </c>
      <c r="K28" t="s">
        <v>15</v>
      </c>
    </row>
    <row r="29" spans="1:11" x14ac:dyDescent="0.25">
      <c r="A29" t="s">
        <v>54</v>
      </c>
      <c r="B29" t="s">
        <v>29</v>
      </c>
      <c r="C29" s="1">
        <v>44787</v>
      </c>
      <c r="D29" s="1">
        <v>44796</v>
      </c>
      <c r="E29" t="s">
        <v>26</v>
      </c>
      <c r="F29" t="s">
        <v>18</v>
      </c>
      <c r="G29">
        <v>435</v>
      </c>
      <c r="H29">
        <v>17.13</v>
      </c>
      <c r="I29">
        <v>15.84</v>
      </c>
      <c r="J29">
        <v>8</v>
      </c>
      <c r="K29" t="s">
        <v>15</v>
      </c>
    </row>
    <row r="30" spans="1:11" x14ac:dyDescent="0.25">
      <c r="A30" t="s">
        <v>55</v>
      </c>
      <c r="B30" t="s">
        <v>17</v>
      </c>
      <c r="C30" s="1">
        <v>45021</v>
      </c>
      <c r="D30" s="1">
        <v>45038</v>
      </c>
      <c r="E30" t="s">
        <v>21</v>
      </c>
      <c r="F30" t="s">
        <v>18</v>
      </c>
      <c r="G30">
        <v>1265</v>
      </c>
      <c r="H30">
        <v>90.26</v>
      </c>
      <c r="I30">
        <v>79.47</v>
      </c>
      <c r="J30">
        <v>187</v>
      </c>
      <c r="K30" t="s">
        <v>15</v>
      </c>
    </row>
    <row r="31" spans="1:11" x14ac:dyDescent="0.25">
      <c r="A31" t="s">
        <v>56</v>
      </c>
      <c r="B31" t="s">
        <v>29</v>
      </c>
      <c r="C31" s="1">
        <v>45165</v>
      </c>
      <c r="E31" t="s">
        <v>21</v>
      </c>
      <c r="F31" t="s">
        <v>18</v>
      </c>
      <c r="G31">
        <v>1005</v>
      </c>
      <c r="H31">
        <v>80.55</v>
      </c>
      <c r="I31">
        <v>73.31</v>
      </c>
      <c r="J31">
        <v>30</v>
      </c>
      <c r="K31" t="s">
        <v>15</v>
      </c>
    </row>
    <row r="32" spans="1:11" x14ac:dyDescent="0.25">
      <c r="A32" t="s">
        <v>57</v>
      </c>
      <c r="B32" t="s">
        <v>20</v>
      </c>
      <c r="C32" s="1">
        <v>44846</v>
      </c>
      <c r="D32" s="1">
        <v>44860</v>
      </c>
      <c r="E32" t="s">
        <v>39</v>
      </c>
      <c r="F32" t="s">
        <v>18</v>
      </c>
      <c r="G32">
        <v>326</v>
      </c>
      <c r="H32">
        <v>18.100000000000001</v>
      </c>
      <c r="I32">
        <v>15.92</v>
      </c>
      <c r="K32" t="s">
        <v>27</v>
      </c>
    </row>
    <row r="33" spans="1:11" x14ac:dyDescent="0.25">
      <c r="A33" t="s">
        <v>58</v>
      </c>
      <c r="B33" t="s">
        <v>12</v>
      </c>
      <c r="C33" s="1">
        <v>44568</v>
      </c>
      <c r="D33" s="1">
        <v>44576</v>
      </c>
      <c r="E33" t="s">
        <v>13</v>
      </c>
      <c r="F33" t="s">
        <v>18</v>
      </c>
      <c r="G33">
        <v>1234</v>
      </c>
      <c r="H33">
        <v>17.64</v>
      </c>
      <c r="I33">
        <v>15.66</v>
      </c>
      <c r="J33">
        <v>26</v>
      </c>
      <c r="K33" t="s">
        <v>15</v>
      </c>
    </row>
    <row r="34" spans="1:11" x14ac:dyDescent="0.25">
      <c r="A34" t="s">
        <v>59</v>
      </c>
      <c r="B34" t="s">
        <v>29</v>
      </c>
      <c r="C34" s="1">
        <v>44725</v>
      </c>
      <c r="D34" s="1">
        <v>44741</v>
      </c>
      <c r="E34" t="s">
        <v>21</v>
      </c>
      <c r="F34" t="s">
        <v>18</v>
      </c>
      <c r="G34">
        <v>509</v>
      </c>
      <c r="H34">
        <v>101.27</v>
      </c>
      <c r="I34">
        <v>97.82</v>
      </c>
      <c r="J34">
        <v>19</v>
      </c>
      <c r="K34" t="s">
        <v>15</v>
      </c>
    </row>
    <row r="35" spans="1:11" x14ac:dyDescent="0.25">
      <c r="A35" t="s">
        <v>60</v>
      </c>
      <c r="B35" t="s">
        <v>12</v>
      </c>
      <c r="C35" s="1">
        <v>45276</v>
      </c>
      <c r="D35" s="1">
        <v>45277</v>
      </c>
      <c r="E35" t="s">
        <v>24</v>
      </c>
      <c r="F35" t="s">
        <v>18</v>
      </c>
      <c r="G35">
        <v>1387</v>
      </c>
      <c r="H35">
        <v>48.71</v>
      </c>
      <c r="I35">
        <v>43.71</v>
      </c>
      <c r="J35">
        <v>27</v>
      </c>
      <c r="K35" t="s">
        <v>15</v>
      </c>
    </row>
    <row r="36" spans="1:11" x14ac:dyDescent="0.25">
      <c r="A36" t="s">
        <v>61</v>
      </c>
      <c r="B36" t="s">
        <v>12</v>
      </c>
      <c r="C36" s="1">
        <v>44994</v>
      </c>
      <c r="D36" s="1">
        <v>45002</v>
      </c>
      <c r="E36" t="s">
        <v>21</v>
      </c>
      <c r="F36" t="s">
        <v>18</v>
      </c>
      <c r="G36">
        <v>71</v>
      </c>
      <c r="H36">
        <v>46.39</v>
      </c>
      <c r="I36">
        <v>43.18</v>
      </c>
      <c r="J36">
        <v>0</v>
      </c>
      <c r="K36" t="s">
        <v>15</v>
      </c>
    </row>
    <row r="37" spans="1:11" x14ac:dyDescent="0.25">
      <c r="A37" t="s">
        <v>62</v>
      </c>
      <c r="B37" t="s">
        <v>29</v>
      </c>
      <c r="C37" s="1">
        <v>44910</v>
      </c>
      <c r="D37" s="1">
        <v>44918</v>
      </c>
      <c r="E37" t="s">
        <v>13</v>
      </c>
      <c r="F37" t="s">
        <v>18</v>
      </c>
      <c r="G37">
        <v>302</v>
      </c>
      <c r="H37">
        <v>87.73</v>
      </c>
      <c r="I37">
        <v>81.52</v>
      </c>
      <c r="J37">
        <v>9</v>
      </c>
      <c r="K37" t="s">
        <v>15</v>
      </c>
    </row>
    <row r="38" spans="1:11" x14ac:dyDescent="0.25">
      <c r="A38" t="s">
        <v>63</v>
      </c>
      <c r="B38" t="s">
        <v>29</v>
      </c>
      <c r="C38" s="1">
        <v>44846</v>
      </c>
      <c r="D38" s="1">
        <v>44865</v>
      </c>
      <c r="E38" t="s">
        <v>13</v>
      </c>
      <c r="F38" t="s">
        <v>35</v>
      </c>
      <c r="G38">
        <v>797</v>
      </c>
      <c r="H38">
        <v>99.54</v>
      </c>
      <c r="I38">
        <v>91.37</v>
      </c>
      <c r="J38">
        <v>18</v>
      </c>
      <c r="K38" t="s">
        <v>15</v>
      </c>
    </row>
    <row r="39" spans="1:11" x14ac:dyDescent="0.25">
      <c r="A39" t="s">
        <v>64</v>
      </c>
      <c r="B39" t="s">
        <v>23</v>
      </c>
      <c r="C39" s="1">
        <v>44721</v>
      </c>
      <c r="D39" s="1">
        <v>44739</v>
      </c>
      <c r="E39" t="s">
        <v>13</v>
      </c>
      <c r="F39" t="s">
        <v>35</v>
      </c>
      <c r="G39">
        <v>906</v>
      </c>
      <c r="H39">
        <v>101.21</v>
      </c>
      <c r="I39">
        <v>90.9</v>
      </c>
      <c r="J39">
        <v>94</v>
      </c>
      <c r="K39" t="s">
        <v>15</v>
      </c>
    </row>
    <row r="40" spans="1:11" x14ac:dyDescent="0.25">
      <c r="A40" t="s">
        <v>65</v>
      </c>
      <c r="B40" t="s">
        <v>29</v>
      </c>
      <c r="C40" s="1">
        <v>44782</v>
      </c>
      <c r="D40" s="1">
        <v>44796</v>
      </c>
      <c r="E40" t="s">
        <v>13</v>
      </c>
      <c r="F40" t="s">
        <v>18</v>
      </c>
      <c r="G40">
        <v>1634</v>
      </c>
      <c r="H40">
        <v>80.53</v>
      </c>
      <c r="I40">
        <v>76.150000000000006</v>
      </c>
      <c r="J40">
        <v>50</v>
      </c>
      <c r="K40" t="s">
        <v>15</v>
      </c>
    </row>
    <row r="41" spans="1:11" x14ac:dyDescent="0.25">
      <c r="A41" t="s">
        <v>66</v>
      </c>
      <c r="B41" t="s">
        <v>29</v>
      </c>
      <c r="C41" s="1">
        <v>44906</v>
      </c>
      <c r="E41" t="s">
        <v>13</v>
      </c>
      <c r="F41" t="s">
        <v>18</v>
      </c>
      <c r="G41">
        <v>524</v>
      </c>
      <c r="H41">
        <v>46.28</v>
      </c>
      <c r="I41">
        <v>39.65</v>
      </c>
      <c r="J41">
        <v>14</v>
      </c>
      <c r="K41" t="s">
        <v>15</v>
      </c>
    </row>
    <row r="42" spans="1:11" x14ac:dyDescent="0.25">
      <c r="A42" t="s">
        <v>67</v>
      </c>
      <c r="B42" t="s">
        <v>23</v>
      </c>
      <c r="C42" s="1">
        <v>44666</v>
      </c>
      <c r="D42" s="1">
        <v>44678</v>
      </c>
      <c r="E42" t="s">
        <v>39</v>
      </c>
      <c r="F42" t="s">
        <v>18</v>
      </c>
      <c r="G42">
        <v>1132</v>
      </c>
      <c r="H42">
        <v>17.78</v>
      </c>
      <c r="I42">
        <v>15.36</v>
      </c>
      <c r="J42">
        <v>96</v>
      </c>
      <c r="K42" t="s">
        <v>15</v>
      </c>
    </row>
    <row r="43" spans="1:11" x14ac:dyDescent="0.25">
      <c r="A43" t="s">
        <v>68</v>
      </c>
      <c r="B43" t="s">
        <v>23</v>
      </c>
      <c r="C43" s="1">
        <v>44656</v>
      </c>
      <c r="D43" s="1">
        <v>44665</v>
      </c>
      <c r="E43" t="s">
        <v>13</v>
      </c>
      <c r="F43" t="s">
        <v>18</v>
      </c>
      <c r="G43">
        <v>560</v>
      </c>
      <c r="H43">
        <v>81.14</v>
      </c>
      <c r="I43">
        <v>77.87</v>
      </c>
      <c r="J43">
        <v>34</v>
      </c>
      <c r="K43" t="s">
        <v>27</v>
      </c>
    </row>
    <row r="44" spans="1:11" x14ac:dyDescent="0.25">
      <c r="A44" t="s">
        <v>69</v>
      </c>
      <c r="B44" t="s">
        <v>20</v>
      </c>
      <c r="C44" s="1">
        <v>44951</v>
      </c>
      <c r="D44" s="1">
        <v>44959</v>
      </c>
      <c r="E44" t="s">
        <v>39</v>
      </c>
      <c r="F44" t="s">
        <v>18</v>
      </c>
      <c r="G44">
        <v>1755</v>
      </c>
      <c r="H44">
        <v>63.87</v>
      </c>
      <c r="I44">
        <v>58.4</v>
      </c>
      <c r="J44">
        <v>85</v>
      </c>
      <c r="K44" t="s">
        <v>15</v>
      </c>
    </row>
    <row r="45" spans="1:11" x14ac:dyDescent="0.25">
      <c r="A45" t="s">
        <v>70</v>
      </c>
      <c r="B45" t="s">
        <v>29</v>
      </c>
      <c r="C45" s="1">
        <v>44661</v>
      </c>
      <c r="D45" s="1">
        <v>44668</v>
      </c>
      <c r="E45" t="s">
        <v>21</v>
      </c>
      <c r="F45" t="s">
        <v>18</v>
      </c>
      <c r="G45">
        <v>1549</v>
      </c>
      <c r="H45">
        <v>48.9</v>
      </c>
      <c r="I45">
        <v>42.42</v>
      </c>
      <c r="J45">
        <v>48</v>
      </c>
      <c r="K45" t="s">
        <v>15</v>
      </c>
    </row>
    <row r="46" spans="1:11" x14ac:dyDescent="0.25">
      <c r="A46" t="s">
        <v>71</v>
      </c>
      <c r="B46" t="s">
        <v>17</v>
      </c>
      <c r="C46" s="1">
        <v>44929</v>
      </c>
      <c r="D46" s="1">
        <v>44947</v>
      </c>
      <c r="E46" t="s">
        <v>21</v>
      </c>
      <c r="F46" t="s">
        <v>18</v>
      </c>
      <c r="G46">
        <v>749</v>
      </c>
      <c r="H46">
        <v>97.07</v>
      </c>
      <c r="I46">
        <v>94.16</v>
      </c>
      <c r="J46">
        <v>123</v>
      </c>
      <c r="K46" t="s">
        <v>15</v>
      </c>
    </row>
    <row r="47" spans="1:11" x14ac:dyDescent="0.25">
      <c r="A47" t="s">
        <v>72</v>
      </c>
      <c r="B47" t="s">
        <v>12</v>
      </c>
      <c r="C47" s="1">
        <v>44914</v>
      </c>
      <c r="E47" t="s">
        <v>39</v>
      </c>
      <c r="F47" t="s">
        <v>18</v>
      </c>
      <c r="G47">
        <v>1025</v>
      </c>
      <c r="H47">
        <v>21.11</v>
      </c>
      <c r="I47">
        <v>19.25</v>
      </c>
      <c r="J47">
        <v>15</v>
      </c>
      <c r="K47" t="s">
        <v>15</v>
      </c>
    </row>
    <row r="48" spans="1:11" x14ac:dyDescent="0.25">
      <c r="A48" t="s">
        <v>73</v>
      </c>
      <c r="B48" t="s">
        <v>23</v>
      </c>
      <c r="C48" s="1">
        <v>45180</v>
      </c>
      <c r="D48" s="1">
        <v>45187</v>
      </c>
      <c r="E48" t="s">
        <v>26</v>
      </c>
      <c r="F48" t="s">
        <v>18</v>
      </c>
      <c r="G48">
        <v>1856</v>
      </c>
      <c r="H48">
        <v>59.77</v>
      </c>
      <c r="I48">
        <v>50.81</v>
      </c>
      <c r="J48">
        <v>191</v>
      </c>
      <c r="K48" t="s">
        <v>15</v>
      </c>
    </row>
    <row r="49" spans="1:11" x14ac:dyDescent="0.25">
      <c r="A49" t="s">
        <v>74</v>
      </c>
      <c r="B49" t="s">
        <v>29</v>
      </c>
      <c r="C49" s="1">
        <v>44832</v>
      </c>
      <c r="D49" s="1">
        <v>44848</v>
      </c>
      <c r="E49" t="s">
        <v>13</v>
      </c>
      <c r="F49" t="s">
        <v>18</v>
      </c>
      <c r="G49">
        <v>239</v>
      </c>
      <c r="H49">
        <v>11.46</v>
      </c>
      <c r="I49">
        <v>11.28</v>
      </c>
      <c r="J49">
        <v>4</v>
      </c>
      <c r="K49" t="s">
        <v>15</v>
      </c>
    </row>
    <row r="50" spans="1:11" x14ac:dyDescent="0.25">
      <c r="A50" t="s">
        <v>75</v>
      </c>
      <c r="B50" t="s">
        <v>17</v>
      </c>
      <c r="C50" s="1">
        <v>44606</v>
      </c>
      <c r="D50" s="1">
        <v>44625</v>
      </c>
      <c r="E50" t="s">
        <v>13</v>
      </c>
      <c r="F50" t="s">
        <v>35</v>
      </c>
      <c r="G50">
        <v>1007</v>
      </c>
      <c r="H50">
        <v>52.44</v>
      </c>
      <c r="I50">
        <v>46.06</v>
      </c>
      <c r="J50">
        <v>167</v>
      </c>
      <c r="K50" t="s">
        <v>15</v>
      </c>
    </row>
    <row r="51" spans="1:11" x14ac:dyDescent="0.25">
      <c r="A51" t="s">
        <v>76</v>
      </c>
      <c r="B51" t="s">
        <v>12</v>
      </c>
      <c r="C51" s="1">
        <v>45032</v>
      </c>
      <c r="E51" t="s">
        <v>21</v>
      </c>
      <c r="F51" t="s">
        <v>35</v>
      </c>
      <c r="G51">
        <v>736</v>
      </c>
      <c r="H51">
        <v>16.2</v>
      </c>
      <c r="I51">
        <v>15.33</v>
      </c>
      <c r="J51">
        <v>18</v>
      </c>
      <c r="K51" t="s">
        <v>15</v>
      </c>
    </row>
    <row r="52" spans="1:11" x14ac:dyDescent="0.25">
      <c r="A52" t="s">
        <v>77</v>
      </c>
      <c r="B52" t="s">
        <v>29</v>
      </c>
      <c r="C52" s="1">
        <v>45111</v>
      </c>
      <c r="D52" s="1">
        <v>45121</v>
      </c>
      <c r="E52" t="s">
        <v>39</v>
      </c>
      <c r="F52" t="s">
        <v>18</v>
      </c>
      <c r="G52">
        <v>1007</v>
      </c>
      <c r="H52">
        <v>22.56</v>
      </c>
      <c r="I52">
        <v>19.59</v>
      </c>
      <c r="K52" t="s">
        <v>15</v>
      </c>
    </row>
    <row r="53" spans="1:11" x14ac:dyDescent="0.25">
      <c r="A53" t="s">
        <v>78</v>
      </c>
      <c r="B53" t="s">
        <v>17</v>
      </c>
      <c r="C53" s="1">
        <v>44689</v>
      </c>
      <c r="E53" t="s">
        <v>13</v>
      </c>
      <c r="F53" t="s">
        <v>18</v>
      </c>
      <c r="G53">
        <v>612</v>
      </c>
      <c r="H53">
        <v>20.99</v>
      </c>
      <c r="I53">
        <v>19.75</v>
      </c>
      <c r="J53">
        <v>102</v>
      </c>
      <c r="K53" t="s">
        <v>15</v>
      </c>
    </row>
    <row r="54" spans="1:11" x14ac:dyDescent="0.25">
      <c r="A54" t="s">
        <v>79</v>
      </c>
      <c r="B54" t="s">
        <v>12</v>
      </c>
      <c r="C54" s="1">
        <v>44949</v>
      </c>
      <c r="D54" s="1">
        <v>44959</v>
      </c>
      <c r="E54" t="s">
        <v>21</v>
      </c>
      <c r="F54" t="s">
        <v>35</v>
      </c>
      <c r="G54">
        <v>1949</v>
      </c>
      <c r="H54">
        <v>72.53</v>
      </c>
      <c r="I54">
        <v>63.26</v>
      </c>
      <c r="J54">
        <v>48</v>
      </c>
      <c r="K54" t="s">
        <v>27</v>
      </c>
    </row>
    <row r="55" spans="1:11" x14ac:dyDescent="0.25">
      <c r="A55" t="s">
        <v>80</v>
      </c>
      <c r="B55" t="s">
        <v>17</v>
      </c>
      <c r="C55" s="1">
        <v>44642</v>
      </c>
      <c r="D55" s="1">
        <v>44648</v>
      </c>
      <c r="E55" t="s">
        <v>13</v>
      </c>
      <c r="F55" t="s">
        <v>14</v>
      </c>
      <c r="G55">
        <v>1640</v>
      </c>
      <c r="H55">
        <v>77.92</v>
      </c>
      <c r="I55">
        <v>76.41</v>
      </c>
      <c r="J55">
        <v>262</v>
      </c>
      <c r="K55" t="s">
        <v>27</v>
      </c>
    </row>
    <row r="56" spans="1:11" x14ac:dyDescent="0.25">
      <c r="A56" t="s">
        <v>81</v>
      </c>
      <c r="B56" t="s">
        <v>23</v>
      </c>
      <c r="C56" s="1">
        <v>45127</v>
      </c>
      <c r="D56" s="1">
        <v>45145</v>
      </c>
      <c r="E56" t="s">
        <v>39</v>
      </c>
      <c r="F56" t="s">
        <v>18</v>
      </c>
      <c r="G56">
        <v>1317</v>
      </c>
      <c r="H56">
        <v>68.13</v>
      </c>
      <c r="I56">
        <v>60.52</v>
      </c>
      <c r="J56">
        <v>136</v>
      </c>
      <c r="K56" t="s">
        <v>15</v>
      </c>
    </row>
    <row r="57" spans="1:11" x14ac:dyDescent="0.25">
      <c r="A57" t="s">
        <v>82</v>
      </c>
      <c r="B57" t="s">
        <v>29</v>
      </c>
      <c r="C57" s="1">
        <v>44862</v>
      </c>
      <c r="D57" s="1">
        <v>44864</v>
      </c>
      <c r="E57" t="s">
        <v>26</v>
      </c>
      <c r="F57" t="s">
        <v>18</v>
      </c>
      <c r="G57">
        <v>881</v>
      </c>
      <c r="H57">
        <v>100.94</v>
      </c>
      <c r="I57">
        <v>95.05</v>
      </c>
      <c r="J57">
        <v>30</v>
      </c>
      <c r="K57" t="s">
        <v>15</v>
      </c>
    </row>
    <row r="58" spans="1:11" x14ac:dyDescent="0.25">
      <c r="A58" t="s">
        <v>83</v>
      </c>
      <c r="B58" t="s">
        <v>17</v>
      </c>
      <c r="C58" s="1">
        <v>45205</v>
      </c>
      <c r="E58" t="s">
        <v>24</v>
      </c>
      <c r="F58" t="s">
        <v>18</v>
      </c>
      <c r="G58">
        <v>1578</v>
      </c>
      <c r="H58">
        <v>48.33</v>
      </c>
      <c r="I58">
        <v>42.77</v>
      </c>
      <c r="J58">
        <v>206</v>
      </c>
      <c r="K58" t="s">
        <v>15</v>
      </c>
    </row>
    <row r="59" spans="1:11" x14ac:dyDescent="0.25">
      <c r="A59" t="s">
        <v>84</v>
      </c>
      <c r="B59" t="s">
        <v>17</v>
      </c>
      <c r="C59" s="1">
        <v>45195</v>
      </c>
      <c r="D59" s="1">
        <v>45200</v>
      </c>
      <c r="E59" t="s">
        <v>21</v>
      </c>
      <c r="F59" t="s">
        <v>18</v>
      </c>
      <c r="G59">
        <v>1204</v>
      </c>
      <c r="H59">
        <v>39.29</v>
      </c>
      <c r="I59">
        <v>35.44</v>
      </c>
      <c r="K59" t="s">
        <v>15</v>
      </c>
    </row>
    <row r="60" spans="1:11" x14ac:dyDescent="0.25">
      <c r="A60" t="s">
        <v>85</v>
      </c>
      <c r="B60" t="s">
        <v>29</v>
      </c>
      <c r="C60" s="1">
        <v>44932</v>
      </c>
      <c r="D60" s="1">
        <v>44948</v>
      </c>
      <c r="E60" t="s">
        <v>21</v>
      </c>
      <c r="F60" t="s">
        <v>35</v>
      </c>
      <c r="G60">
        <v>1558</v>
      </c>
      <c r="H60">
        <v>93.46</v>
      </c>
      <c r="I60">
        <v>91.27</v>
      </c>
      <c r="J60">
        <v>39</v>
      </c>
      <c r="K60" t="s">
        <v>15</v>
      </c>
    </row>
    <row r="61" spans="1:11" x14ac:dyDescent="0.25">
      <c r="A61" t="s">
        <v>86</v>
      </c>
      <c r="B61" t="s">
        <v>12</v>
      </c>
      <c r="C61" s="1">
        <v>45153</v>
      </c>
      <c r="D61" s="1">
        <v>45154</v>
      </c>
      <c r="E61" t="s">
        <v>24</v>
      </c>
      <c r="F61" t="s">
        <v>18</v>
      </c>
      <c r="G61">
        <v>1892</v>
      </c>
      <c r="H61">
        <v>32.99</v>
      </c>
      <c r="I61">
        <v>28.81</v>
      </c>
      <c r="J61">
        <v>35</v>
      </c>
      <c r="K61" t="s">
        <v>15</v>
      </c>
    </row>
    <row r="62" spans="1:11" x14ac:dyDescent="0.25">
      <c r="A62" t="s">
        <v>87</v>
      </c>
      <c r="B62" t="s">
        <v>29</v>
      </c>
      <c r="C62" s="1">
        <v>44758</v>
      </c>
      <c r="D62" s="1">
        <v>44774</v>
      </c>
      <c r="E62" t="s">
        <v>24</v>
      </c>
      <c r="F62" t="s">
        <v>18</v>
      </c>
      <c r="G62">
        <v>696</v>
      </c>
      <c r="H62">
        <v>99.59</v>
      </c>
      <c r="I62">
        <v>90.18</v>
      </c>
      <c r="J62">
        <v>25</v>
      </c>
      <c r="K62" t="s">
        <v>15</v>
      </c>
    </row>
    <row r="63" spans="1:11" x14ac:dyDescent="0.25">
      <c r="A63" t="s">
        <v>88</v>
      </c>
      <c r="B63" t="s">
        <v>17</v>
      </c>
      <c r="C63" s="1">
        <v>45283</v>
      </c>
      <c r="D63" s="1">
        <v>45294</v>
      </c>
      <c r="E63" t="s">
        <v>21</v>
      </c>
      <c r="F63" t="s">
        <v>33</v>
      </c>
      <c r="G63">
        <v>70</v>
      </c>
      <c r="H63">
        <v>12.37</v>
      </c>
      <c r="I63">
        <v>11.04</v>
      </c>
      <c r="J63">
        <v>10</v>
      </c>
      <c r="K63" t="s">
        <v>15</v>
      </c>
    </row>
    <row r="64" spans="1:11" x14ac:dyDescent="0.25">
      <c r="A64" t="s">
        <v>89</v>
      </c>
      <c r="B64" t="s">
        <v>20</v>
      </c>
      <c r="C64" s="1">
        <v>44633</v>
      </c>
      <c r="D64" s="1">
        <v>44635</v>
      </c>
      <c r="E64" t="s">
        <v>26</v>
      </c>
      <c r="F64" t="s">
        <v>18</v>
      </c>
      <c r="G64">
        <v>890</v>
      </c>
      <c r="H64">
        <v>98.26</v>
      </c>
      <c r="I64">
        <v>93.14</v>
      </c>
      <c r="J64">
        <v>49</v>
      </c>
      <c r="K64" t="s">
        <v>15</v>
      </c>
    </row>
    <row r="65" spans="1:11" x14ac:dyDescent="0.25">
      <c r="A65" t="s">
        <v>90</v>
      </c>
      <c r="B65" t="s">
        <v>12</v>
      </c>
      <c r="C65" s="1">
        <v>44608</v>
      </c>
      <c r="D65" s="1">
        <v>44624</v>
      </c>
      <c r="E65" t="s">
        <v>21</v>
      </c>
      <c r="F65" t="s">
        <v>18</v>
      </c>
      <c r="G65">
        <v>216</v>
      </c>
      <c r="H65">
        <v>13.95</v>
      </c>
      <c r="I65">
        <v>12.31</v>
      </c>
      <c r="J65">
        <v>5</v>
      </c>
      <c r="K65" t="s">
        <v>15</v>
      </c>
    </row>
    <row r="66" spans="1:11" x14ac:dyDescent="0.25">
      <c r="A66" t="s">
        <v>91</v>
      </c>
      <c r="B66" t="s">
        <v>17</v>
      </c>
      <c r="C66" s="1">
        <v>45239</v>
      </c>
      <c r="D66" s="1">
        <v>45242</v>
      </c>
      <c r="E66" t="s">
        <v>24</v>
      </c>
      <c r="F66" t="s">
        <v>18</v>
      </c>
      <c r="G66">
        <v>1347</v>
      </c>
      <c r="H66">
        <v>100.13</v>
      </c>
      <c r="I66">
        <v>94.3</v>
      </c>
      <c r="J66">
        <v>200</v>
      </c>
      <c r="K66" t="s">
        <v>15</v>
      </c>
    </row>
    <row r="67" spans="1:11" x14ac:dyDescent="0.25">
      <c r="A67" t="s">
        <v>92</v>
      </c>
      <c r="B67" t="s">
        <v>20</v>
      </c>
      <c r="C67" s="1">
        <v>44795</v>
      </c>
      <c r="D67" s="1">
        <v>44798</v>
      </c>
      <c r="E67" t="s">
        <v>13</v>
      </c>
      <c r="F67" t="s">
        <v>33</v>
      </c>
      <c r="G67">
        <v>437</v>
      </c>
      <c r="H67">
        <v>59.51</v>
      </c>
      <c r="I67">
        <v>56.45</v>
      </c>
      <c r="J67">
        <v>25</v>
      </c>
      <c r="K67" t="s">
        <v>27</v>
      </c>
    </row>
    <row r="68" spans="1:11" x14ac:dyDescent="0.25">
      <c r="A68" t="s">
        <v>93</v>
      </c>
      <c r="B68" t="s">
        <v>12</v>
      </c>
      <c r="C68" s="1">
        <v>44858</v>
      </c>
      <c r="D68" s="1">
        <v>44860</v>
      </c>
      <c r="E68" t="s">
        <v>39</v>
      </c>
      <c r="F68" t="s">
        <v>18</v>
      </c>
      <c r="G68">
        <v>650</v>
      </c>
      <c r="H68">
        <v>103.84</v>
      </c>
      <c r="I68">
        <v>88.28</v>
      </c>
      <c r="J68">
        <v>12</v>
      </c>
      <c r="K68" t="s">
        <v>15</v>
      </c>
    </row>
    <row r="69" spans="1:11" x14ac:dyDescent="0.25">
      <c r="A69" t="s">
        <v>94</v>
      </c>
      <c r="B69" t="s">
        <v>23</v>
      </c>
      <c r="C69" s="1">
        <v>44643</v>
      </c>
      <c r="D69" s="1">
        <v>44662</v>
      </c>
      <c r="E69" t="s">
        <v>13</v>
      </c>
      <c r="F69" t="s">
        <v>18</v>
      </c>
      <c r="G69">
        <v>365</v>
      </c>
      <c r="H69">
        <v>16.809999999999999</v>
      </c>
      <c r="I69">
        <v>15.41</v>
      </c>
      <c r="J69">
        <v>38</v>
      </c>
      <c r="K69" t="s">
        <v>15</v>
      </c>
    </row>
    <row r="70" spans="1:11" x14ac:dyDescent="0.25">
      <c r="A70" t="s">
        <v>95</v>
      </c>
      <c r="B70" t="s">
        <v>29</v>
      </c>
      <c r="C70" s="1">
        <v>44800</v>
      </c>
      <c r="E70" t="s">
        <v>26</v>
      </c>
      <c r="F70" t="s">
        <v>14</v>
      </c>
      <c r="G70">
        <v>63</v>
      </c>
      <c r="H70">
        <v>61.94</v>
      </c>
      <c r="I70">
        <v>53.8</v>
      </c>
      <c r="K70" t="s">
        <v>15</v>
      </c>
    </row>
    <row r="71" spans="1:11" x14ac:dyDescent="0.25">
      <c r="A71" t="s">
        <v>96</v>
      </c>
      <c r="B71" t="s">
        <v>12</v>
      </c>
      <c r="C71" s="1">
        <v>44665</v>
      </c>
      <c r="D71" s="1">
        <v>44673</v>
      </c>
      <c r="E71" t="s">
        <v>21</v>
      </c>
      <c r="F71" t="s">
        <v>18</v>
      </c>
      <c r="G71">
        <v>291</v>
      </c>
      <c r="H71">
        <v>98.7</v>
      </c>
      <c r="I71">
        <v>87.02</v>
      </c>
      <c r="J71">
        <v>9</v>
      </c>
      <c r="K71" t="s">
        <v>15</v>
      </c>
    </row>
    <row r="72" spans="1:11" x14ac:dyDescent="0.25">
      <c r="A72" t="s">
        <v>97</v>
      </c>
      <c r="B72" t="s">
        <v>12</v>
      </c>
      <c r="C72" s="1">
        <v>44951</v>
      </c>
      <c r="D72" s="1">
        <v>44965</v>
      </c>
      <c r="E72" t="s">
        <v>21</v>
      </c>
      <c r="F72" t="s">
        <v>14</v>
      </c>
      <c r="G72">
        <v>826</v>
      </c>
      <c r="H72">
        <v>60.5</v>
      </c>
      <c r="I72">
        <v>57.18</v>
      </c>
      <c r="J72">
        <v>18</v>
      </c>
      <c r="K72" t="s">
        <v>15</v>
      </c>
    </row>
    <row r="73" spans="1:11" x14ac:dyDescent="0.25">
      <c r="A73" t="s">
        <v>98</v>
      </c>
      <c r="B73" t="s">
        <v>17</v>
      </c>
      <c r="C73" s="1">
        <v>44846</v>
      </c>
      <c r="D73" s="1">
        <v>44866</v>
      </c>
      <c r="E73" t="s">
        <v>39</v>
      </c>
      <c r="F73" t="s">
        <v>35</v>
      </c>
      <c r="G73">
        <v>1419</v>
      </c>
      <c r="H73">
        <v>69.64</v>
      </c>
      <c r="I73">
        <v>59.28</v>
      </c>
      <c r="J73">
        <v>194</v>
      </c>
      <c r="K73" t="s">
        <v>15</v>
      </c>
    </row>
    <row r="74" spans="1:11" x14ac:dyDescent="0.25">
      <c r="A74" t="s">
        <v>99</v>
      </c>
      <c r="B74" t="s">
        <v>20</v>
      </c>
      <c r="C74" s="1">
        <v>45026</v>
      </c>
      <c r="D74" s="1">
        <v>45043</v>
      </c>
      <c r="E74" t="s">
        <v>13</v>
      </c>
      <c r="F74" t="s">
        <v>18</v>
      </c>
      <c r="G74">
        <v>614</v>
      </c>
      <c r="H74">
        <v>78.06</v>
      </c>
      <c r="I74">
        <v>73.95</v>
      </c>
      <c r="J74">
        <v>40</v>
      </c>
      <c r="K74" t="s">
        <v>15</v>
      </c>
    </row>
    <row r="75" spans="1:11" x14ac:dyDescent="0.25">
      <c r="A75" t="s">
        <v>100</v>
      </c>
      <c r="B75" t="s">
        <v>12</v>
      </c>
      <c r="C75" s="1">
        <v>45212</v>
      </c>
      <c r="D75" s="1">
        <v>45227</v>
      </c>
      <c r="E75" t="s">
        <v>39</v>
      </c>
      <c r="F75" t="s">
        <v>18</v>
      </c>
      <c r="G75">
        <v>947</v>
      </c>
      <c r="H75">
        <v>56.25</v>
      </c>
      <c r="I75">
        <v>54.25</v>
      </c>
      <c r="J75">
        <v>19</v>
      </c>
      <c r="K75" t="s">
        <v>15</v>
      </c>
    </row>
    <row r="76" spans="1:11" x14ac:dyDescent="0.25">
      <c r="A76" t="s">
        <v>101</v>
      </c>
      <c r="B76" t="s">
        <v>29</v>
      </c>
      <c r="C76" s="1">
        <v>44935</v>
      </c>
      <c r="D76" s="1">
        <v>44954</v>
      </c>
      <c r="E76" t="s">
        <v>26</v>
      </c>
      <c r="F76" t="s">
        <v>18</v>
      </c>
      <c r="G76">
        <v>1413</v>
      </c>
      <c r="H76">
        <v>70.47</v>
      </c>
      <c r="I76">
        <v>69.650000000000006</v>
      </c>
      <c r="K76" t="s">
        <v>15</v>
      </c>
    </row>
    <row r="77" spans="1:11" x14ac:dyDescent="0.25">
      <c r="A77" t="s">
        <v>102</v>
      </c>
      <c r="B77" t="s">
        <v>12</v>
      </c>
      <c r="C77" s="1">
        <v>44728</v>
      </c>
      <c r="E77" t="s">
        <v>13</v>
      </c>
      <c r="F77" t="s">
        <v>33</v>
      </c>
      <c r="G77">
        <v>141</v>
      </c>
      <c r="H77">
        <v>64.150000000000006</v>
      </c>
      <c r="I77">
        <v>58.32</v>
      </c>
      <c r="K77" t="s">
        <v>15</v>
      </c>
    </row>
    <row r="78" spans="1:11" x14ac:dyDescent="0.25">
      <c r="A78" t="s">
        <v>103</v>
      </c>
      <c r="B78" t="s">
        <v>12</v>
      </c>
      <c r="C78" s="1">
        <v>44941</v>
      </c>
      <c r="D78" s="1">
        <v>44961</v>
      </c>
      <c r="E78" t="s">
        <v>13</v>
      </c>
      <c r="F78" t="s">
        <v>18</v>
      </c>
      <c r="G78">
        <v>1440</v>
      </c>
      <c r="H78">
        <v>96.57</v>
      </c>
      <c r="I78">
        <v>83.87</v>
      </c>
      <c r="J78">
        <v>36</v>
      </c>
      <c r="K78" t="s">
        <v>15</v>
      </c>
    </row>
    <row r="79" spans="1:11" x14ac:dyDescent="0.25">
      <c r="A79" t="s">
        <v>104</v>
      </c>
      <c r="B79" t="s">
        <v>17</v>
      </c>
      <c r="C79" s="1">
        <v>44925</v>
      </c>
      <c r="D79" s="1">
        <v>44929</v>
      </c>
      <c r="E79" t="s">
        <v>26</v>
      </c>
      <c r="F79" t="s">
        <v>18</v>
      </c>
      <c r="G79">
        <v>1005</v>
      </c>
      <c r="H79">
        <v>14.87</v>
      </c>
      <c r="I79">
        <v>12.79</v>
      </c>
      <c r="K79" t="s">
        <v>27</v>
      </c>
    </row>
    <row r="80" spans="1:11" x14ac:dyDescent="0.25">
      <c r="A80" t="s">
        <v>105</v>
      </c>
      <c r="B80" t="s">
        <v>12</v>
      </c>
      <c r="C80" s="1">
        <v>44776</v>
      </c>
      <c r="E80" t="s">
        <v>21</v>
      </c>
      <c r="F80" t="s">
        <v>18</v>
      </c>
      <c r="G80">
        <v>1528</v>
      </c>
      <c r="H80">
        <v>36.520000000000003</v>
      </c>
      <c r="I80">
        <v>33</v>
      </c>
      <c r="J80">
        <v>31</v>
      </c>
      <c r="K80" t="s">
        <v>27</v>
      </c>
    </row>
    <row r="81" spans="1:11" x14ac:dyDescent="0.25">
      <c r="A81" t="s">
        <v>106</v>
      </c>
      <c r="B81" t="s">
        <v>20</v>
      </c>
      <c r="C81" s="1">
        <v>45248</v>
      </c>
      <c r="D81" s="1">
        <v>45255</v>
      </c>
      <c r="E81" t="s">
        <v>21</v>
      </c>
      <c r="F81" t="s">
        <v>18</v>
      </c>
      <c r="G81">
        <v>1501</v>
      </c>
      <c r="H81">
        <v>106.05</v>
      </c>
      <c r="I81">
        <v>100.99</v>
      </c>
      <c r="J81">
        <v>77</v>
      </c>
      <c r="K81" t="s">
        <v>27</v>
      </c>
    </row>
    <row r="82" spans="1:11" x14ac:dyDescent="0.25">
      <c r="A82" t="s">
        <v>107</v>
      </c>
      <c r="B82" t="s">
        <v>17</v>
      </c>
      <c r="C82" s="1">
        <v>44835</v>
      </c>
      <c r="D82" s="1">
        <v>44838</v>
      </c>
      <c r="E82" t="s">
        <v>24</v>
      </c>
      <c r="F82" t="s">
        <v>18</v>
      </c>
      <c r="G82">
        <v>558</v>
      </c>
      <c r="H82">
        <v>94.18</v>
      </c>
      <c r="I82">
        <v>81.400000000000006</v>
      </c>
      <c r="K82" t="s">
        <v>27</v>
      </c>
    </row>
    <row r="83" spans="1:11" x14ac:dyDescent="0.25">
      <c r="A83" t="s">
        <v>108</v>
      </c>
      <c r="B83" t="s">
        <v>23</v>
      </c>
      <c r="C83" s="1">
        <v>45280</v>
      </c>
      <c r="D83" s="1">
        <v>45286</v>
      </c>
      <c r="E83" t="s">
        <v>21</v>
      </c>
      <c r="F83" t="s">
        <v>18</v>
      </c>
      <c r="G83">
        <v>825</v>
      </c>
      <c r="H83">
        <v>56.88</v>
      </c>
      <c r="I83">
        <v>50.84</v>
      </c>
      <c r="K83" t="s">
        <v>15</v>
      </c>
    </row>
    <row r="84" spans="1:11" x14ac:dyDescent="0.25">
      <c r="A84" t="s">
        <v>109</v>
      </c>
      <c r="B84" t="s">
        <v>23</v>
      </c>
      <c r="C84" s="1">
        <v>45261</v>
      </c>
      <c r="D84" s="1">
        <v>45267</v>
      </c>
      <c r="E84" t="s">
        <v>39</v>
      </c>
      <c r="F84" t="s">
        <v>14</v>
      </c>
      <c r="G84">
        <v>84</v>
      </c>
      <c r="H84">
        <v>73.38</v>
      </c>
      <c r="I84">
        <v>71.42</v>
      </c>
      <c r="J84">
        <v>9</v>
      </c>
      <c r="K84" t="s">
        <v>15</v>
      </c>
    </row>
    <row r="85" spans="1:11" x14ac:dyDescent="0.25">
      <c r="A85" t="s">
        <v>110</v>
      </c>
      <c r="B85" t="s">
        <v>17</v>
      </c>
      <c r="C85" s="1">
        <v>45225</v>
      </c>
      <c r="D85" s="1">
        <v>45240</v>
      </c>
      <c r="E85" t="s">
        <v>26</v>
      </c>
      <c r="F85" t="s">
        <v>18</v>
      </c>
      <c r="G85">
        <v>255</v>
      </c>
      <c r="H85">
        <v>38.64</v>
      </c>
      <c r="I85">
        <v>33.590000000000003</v>
      </c>
      <c r="J85">
        <v>27</v>
      </c>
      <c r="K85" t="s">
        <v>27</v>
      </c>
    </row>
    <row r="86" spans="1:11" x14ac:dyDescent="0.25">
      <c r="A86" t="s">
        <v>111</v>
      </c>
      <c r="B86" t="s">
        <v>20</v>
      </c>
      <c r="C86" s="1">
        <v>44635</v>
      </c>
      <c r="D86" s="1">
        <v>44651</v>
      </c>
      <c r="E86" t="s">
        <v>21</v>
      </c>
      <c r="F86" t="s">
        <v>18</v>
      </c>
      <c r="G86">
        <v>1154</v>
      </c>
      <c r="H86">
        <v>27.2</v>
      </c>
      <c r="I86">
        <v>26.07</v>
      </c>
      <c r="J86">
        <v>58</v>
      </c>
      <c r="K86" t="s">
        <v>15</v>
      </c>
    </row>
    <row r="87" spans="1:11" x14ac:dyDescent="0.25">
      <c r="A87" t="s">
        <v>112</v>
      </c>
      <c r="B87" t="s">
        <v>17</v>
      </c>
      <c r="C87" s="1">
        <v>45185</v>
      </c>
      <c r="D87" s="1">
        <v>45193</v>
      </c>
      <c r="E87" t="s">
        <v>13</v>
      </c>
      <c r="F87" t="s">
        <v>18</v>
      </c>
      <c r="G87">
        <v>1635</v>
      </c>
      <c r="H87">
        <v>56.91</v>
      </c>
      <c r="I87">
        <v>54.37</v>
      </c>
      <c r="J87">
        <v>262</v>
      </c>
      <c r="K87" t="s">
        <v>27</v>
      </c>
    </row>
    <row r="88" spans="1:11" x14ac:dyDescent="0.25">
      <c r="A88" t="s">
        <v>113</v>
      </c>
      <c r="B88" t="s">
        <v>17</v>
      </c>
      <c r="C88" s="1">
        <v>45212</v>
      </c>
      <c r="D88" s="1">
        <v>45222</v>
      </c>
      <c r="E88" t="s">
        <v>26</v>
      </c>
      <c r="F88" t="s">
        <v>18</v>
      </c>
      <c r="G88">
        <v>1945</v>
      </c>
      <c r="H88">
        <v>46.19</v>
      </c>
      <c r="I88">
        <v>40.119999999999997</v>
      </c>
      <c r="J88">
        <v>278</v>
      </c>
      <c r="K88" t="s">
        <v>27</v>
      </c>
    </row>
    <row r="89" spans="1:11" x14ac:dyDescent="0.25">
      <c r="A89" t="s">
        <v>114</v>
      </c>
      <c r="B89" t="s">
        <v>17</v>
      </c>
      <c r="C89" s="1">
        <v>44737</v>
      </c>
      <c r="D89" s="1">
        <v>44752</v>
      </c>
      <c r="E89" t="s">
        <v>21</v>
      </c>
      <c r="F89" t="s">
        <v>33</v>
      </c>
      <c r="G89">
        <v>1461</v>
      </c>
      <c r="H89">
        <v>64.09</v>
      </c>
      <c r="I89">
        <v>63.39</v>
      </c>
      <c r="J89">
        <v>228</v>
      </c>
      <c r="K89" t="s">
        <v>27</v>
      </c>
    </row>
    <row r="90" spans="1:11" x14ac:dyDescent="0.25">
      <c r="A90" t="s">
        <v>115</v>
      </c>
      <c r="B90" t="s">
        <v>17</v>
      </c>
      <c r="C90" s="1">
        <v>45108</v>
      </c>
      <c r="D90" s="1">
        <v>45116</v>
      </c>
      <c r="E90" t="s">
        <v>39</v>
      </c>
      <c r="F90" t="s">
        <v>18</v>
      </c>
      <c r="G90">
        <v>1075</v>
      </c>
      <c r="H90">
        <v>18.53</v>
      </c>
      <c r="I90">
        <v>16.12</v>
      </c>
      <c r="J90">
        <v>147</v>
      </c>
      <c r="K90" t="s">
        <v>15</v>
      </c>
    </row>
    <row r="91" spans="1:11" x14ac:dyDescent="0.25">
      <c r="A91" t="s">
        <v>116</v>
      </c>
      <c r="B91" t="s">
        <v>12</v>
      </c>
      <c r="C91" s="1">
        <v>44812</v>
      </c>
      <c r="E91" t="s">
        <v>24</v>
      </c>
      <c r="F91" t="s">
        <v>18</v>
      </c>
      <c r="G91">
        <v>1071</v>
      </c>
      <c r="H91">
        <v>101.6</v>
      </c>
      <c r="I91">
        <v>93.91</v>
      </c>
      <c r="J91">
        <v>25</v>
      </c>
      <c r="K91" t="s">
        <v>15</v>
      </c>
    </row>
    <row r="92" spans="1:11" x14ac:dyDescent="0.25">
      <c r="A92" t="s">
        <v>117</v>
      </c>
      <c r="B92" t="s">
        <v>29</v>
      </c>
      <c r="C92" s="1">
        <v>44729</v>
      </c>
      <c r="D92" s="1">
        <v>44748</v>
      </c>
      <c r="E92" t="s">
        <v>24</v>
      </c>
      <c r="F92" t="s">
        <v>35</v>
      </c>
      <c r="G92">
        <v>1463</v>
      </c>
      <c r="H92">
        <v>101.23</v>
      </c>
      <c r="I92">
        <v>86.17</v>
      </c>
      <c r="J92">
        <v>43</v>
      </c>
      <c r="K92" t="s">
        <v>15</v>
      </c>
    </row>
    <row r="93" spans="1:11" x14ac:dyDescent="0.25">
      <c r="A93" t="s">
        <v>118</v>
      </c>
      <c r="B93" t="s">
        <v>23</v>
      </c>
      <c r="C93" s="1">
        <v>45035</v>
      </c>
      <c r="D93" s="1">
        <v>45042</v>
      </c>
      <c r="E93" t="s">
        <v>26</v>
      </c>
      <c r="F93" t="s">
        <v>18</v>
      </c>
      <c r="G93">
        <v>615</v>
      </c>
      <c r="H93">
        <v>78.3</v>
      </c>
      <c r="I93">
        <v>73.680000000000007</v>
      </c>
      <c r="J93">
        <v>69</v>
      </c>
      <c r="K93" t="s">
        <v>15</v>
      </c>
    </row>
    <row r="94" spans="1:11" x14ac:dyDescent="0.25">
      <c r="A94" t="s">
        <v>119</v>
      </c>
      <c r="B94" t="s">
        <v>20</v>
      </c>
      <c r="C94" s="1">
        <v>44950</v>
      </c>
      <c r="D94" s="1">
        <v>44968</v>
      </c>
      <c r="E94" t="s">
        <v>39</v>
      </c>
      <c r="F94" t="s">
        <v>18</v>
      </c>
      <c r="G94">
        <v>1179</v>
      </c>
      <c r="H94">
        <v>61.74</v>
      </c>
      <c r="I94">
        <v>56.28</v>
      </c>
      <c r="K94" t="s">
        <v>15</v>
      </c>
    </row>
    <row r="95" spans="1:11" x14ac:dyDescent="0.25">
      <c r="A95" t="s">
        <v>120</v>
      </c>
      <c r="B95" t="s">
        <v>12</v>
      </c>
      <c r="C95" s="1">
        <v>44838</v>
      </c>
      <c r="D95" s="1">
        <v>44843</v>
      </c>
      <c r="E95" t="s">
        <v>39</v>
      </c>
      <c r="F95" t="s">
        <v>33</v>
      </c>
      <c r="G95">
        <v>1845</v>
      </c>
      <c r="H95">
        <v>39.56</v>
      </c>
      <c r="I95">
        <v>37.630000000000003</v>
      </c>
      <c r="J95">
        <v>45</v>
      </c>
      <c r="K95" t="s">
        <v>15</v>
      </c>
    </row>
    <row r="96" spans="1:11" x14ac:dyDescent="0.25">
      <c r="A96" t="s">
        <v>121</v>
      </c>
      <c r="B96" t="s">
        <v>23</v>
      </c>
      <c r="C96" s="1">
        <v>45217</v>
      </c>
      <c r="E96" t="s">
        <v>39</v>
      </c>
      <c r="F96" t="s">
        <v>14</v>
      </c>
      <c r="G96">
        <v>1895</v>
      </c>
      <c r="H96">
        <v>91.98</v>
      </c>
      <c r="I96">
        <v>86.27</v>
      </c>
      <c r="J96">
        <v>170</v>
      </c>
      <c r="K96" t="s">
        <v>15</v>
      </c>
    </row>
    <row r="97" spans="1:11" x14ac:dyDescent="0.25">
      <c r="A97" t="s">
        <v>122</v>
      </c>
      <c r="B97" t="s">
        <v>29</v>
      </c>
      <c r="C97" s="1">
        <v>45266</v>
      </c>
      <c r="D97" s="1">
        <v>45269</v>
      </c>
      <c r="E97" t="s">
        <v>21</v>
      </c>
      <c r="F97" t="s">
        <v>33</v>
      </c>
      <c r="G97">
        <v>1550</v>
      </c>
      <c r="H97">
        <v>79.86</v>
      </c>
      <c r="I97">
        <v>69.569999999999993</v>
      </c>
      <c r="J97">
        <v>32</v>
      </c>
      <c r="K97" t="s">
        <v>27</v>
      </c>
    </row>
    <row r="98" spans="1:11" x14ac:dyDescent="0.25">
      <c r="A98" t="s">
        <v>123</v>
      </c>
      <c r="B98" t="s">
        <v>17</v>
      </c>
      <c r="C98" s="1">
        <v>45132</v>
      </c>
      <c r="D98" s="1">
        <v>45142</v>
      </c>
      <c r="E98" t="s">
        <v>24</v>
      </c>
      <c r="F98" t="s">
        <v>18</v>
      </c>
      <c r="G98">
        <v>752</v>
      </c>
      <c r="H98">
        <v>26.85</v>
      </c>
      <c r="I98">
        <v>24.37</v>
      </c>
      <c r="K98" t="s">
        <v>27</v>
      </c>
    </row>
    <row r="99" spans="1:11" x14ac:dyDescent="0.25">
      <c r="A99" t="s">
        <v>124</v>
      </c>
      <c r="B99" t="s">
        <v>29</v>
      </c>
      <c r="C99" s="1">
        <v>44786</v>
      </c>
      <c r="D99" s="1">
        <v>44805</v>
      </c>
      <c r="E99" t="s">
        <v>39</v>
      </c>
      <c r="F99" t="s">
        <v>18</v>
      </c>
      <c r="G99">
        <v>451</v>
      </c>
      <c r="H99">
        <v>95.2</v>
      </c>
      <c r="I99">
        <v>90.07</v>
      </c>
      <c r="J99">
        <v>21</v>
      </c>
      <c r="K99" t="s">
        <v>15</v>
      </c>
    </row>
    <row r="100" spans="1:11" x14ac:dyDescent="0.25">
      <c r="A100" t="s">
        <v>125</v>
      </c>
      <c r="B100" t="s">
        <v>23</v>
      </c>
      <c r="C100" s="1">
        <v>45263</v>
      </c>
      <c r="E100" t="s">
        <v>13</v>
      </c>
      <c r="F100" t="s">
        <v>18</v>
      </c>
      <c r="G100">
        <v>779</v>
      </c>
      <c r="H100">
        <v>93.69</v>
      </c>
      <c r="I100">
        <v>90.92</v>
      </c>
      <c r="J100">
        <v>66</v>
      </c>
      <c r="K100" t="s">
        <v>15</v>
      </c>
    </row>
    <row r="101" spans="1:11" x14ac:dyDescent="0.25">
      <c r="A101" t="s">
        <v>126</v>
      </c>
      <c r="B101" t="s">
        <v>23</v>
      </c>
      <c r="C101" s="1">
        <v>44894</v>
      </c>
      <c r="D101" s="1">
        <v>44909</v>
      </c>
      <c r="E101" t="s">
        <v>21</v>
      </c>
      <c r="F101" t="s">
        <v>35</v>
      </c>
      <c r="G101">
        <v>1629</v>
      </c>
      <c r="H101">
        <v>100.26</v>
      </c>
      <c r="I101">
        <v>86.44</v>
      </c>
      <c r="J101">
        <v>187</v>
      </c>
      <c r="K101" t="s">
        <v>27</v>
      </c>
    </row>
    <row r="102" spans="1:11" x14ac:dyDescent="0.25">
      <c r="A102" t="s">
        <v>127</v>
      </c>
      <c r="B102" t="s">
        <v>12</v>
      </c>
      <c r="C102" s="1">
        <v>44619</v>
      </c>
      <c r="D102" s="1">
        <v>44614</v>
      </c>
      <c r="E102" t="s">
        <v>13</v>
      </c>
      <c r="F102" t="s">
        <v>18</v>
      </c>
      <c r="G102">
        <v>211</v>
      </c>
      <c r="H102">
        <v>75.69</v>
      </c>
      <c r="I102">
        <v>65.400000000000006</v>
      </c>
      <c r="J102">
        <v>2</v>
      </c>
      <c r="K102" t="s">
        <v>15</v>
      </c>
    </row>
    <row r="103" spans="1:11" x14ac:dyDescent="0.25">
      <c r="A103" t="s">
        <v>128</v>
      </c>
      <c r="B103" t="s">
        <v>12</v>
      </c>
      <c r="C103" s="1">
        <v>44796</v>
      </c>
      <c r="E103" t="s">
        <v>13</v>
      </c>
      <c r="F103" t="s">
        <v>18</v>
      </c>
      <c r="G103">
        <v>251</v>
      </c>
      <c r="H103">
        <v>67.489999999999995</v>
      </c>
      <c r="I103">
        <v>64.48</v>
      </c>
      <c r="J103">
        <v>2</v>
      </c>
      <c r="K103" t="s">
        <v>15</v>
      </c>
    </row>
    <row r="104" spans="1:11" x14ac:dyDescent="0.25">
      <c r="A104" t="s">
        <v>129</v>
      </c>
      <c r="B104" t="s">
        <v>20</v>
      </c>
      <c r="C104" s="1">
        <v>44594</v>
      </c>
      <c r="D104" s="1">
        <v>44610</v>
      </c>
      <c r="E104" t="s">
        <v>26</v>
      </c>
      <c r="F104" t="s">
        <v>18</v>
      </c>
      <c r="G104">
        <v>1045</v>
      </c>
      <c r="H104">
        <v>47.88</v>
      </c>
      <c r="I104">
        <v>44.65</v>
      </c>
      <c r="J104">
        <v>69</v>
      </c>
      <c r="K104" t="s">
        <v>15</v>
      </c>
    </row>
    <row r="105" spans="1:11" x14ac:dyDescent="0.25">
      <c r="A105" t="s">
        <v>130</v>
      </c>
      <c r="B105" t="s">
        <v>17</v>
      </c>
      <c r="C105" s="1">
        <v>44885</v>
      </c>
      <c r="D105" s="1">
        <v>44905</v>
      </c>
      <c r="E105" t="s">
        <v>21</v>
      </c>
      <c r="F105" t="s">
        <v>18</v>
      </c>
      <c r="G105">
        <v>319</v>
      </c>
      <c r="H105">
        <v>98.64</v>
      </c>
      <c r="I105">
        <v>89.15</v>
      </c>
      <c r="J105">
        <v>57</v>
      </c>
      <c r="K105" t="s">
        <v>15</v>
      </c>
    </row>
    <row r="106" spans="1:11" x14ac:dyDescent="0.25">
      <c r="A106" t="s">
        <v>131</v>
      </c>
      <c r="B106" t="s">
        <v>29</v>
      </c>
      <c r="C106" s="1">
        <v>44972</v>
      </c>
      <c r="D106" s="1">
        <v>44986</v>
      </c>
      <c r="E106" t="s">
        <v>13</v>
      </c>
      <c r="F106" t="s">
        <v>33</v>
      </c>
      <c r="G106">
        <v>1936</v>
      </c>
      <c r="H106">
        <v>93.66</v>
      </c>
      <c r="I106">
        <v>92.24</v>
      </c>
      <c r="J106">
        <v>58</v>
      </c>
      <c r="K106" t="s">
        <v>15</v>
      </c>
    </row>
    <row r="107" spans="1:11" x14ac:dyDescent="0.25">
      <c r="A107" t="s">
        <v>132</v>
      </c>
      <c r="B107" t="s">
        <v>17</v>
      </c>
      <c r="C107" s="1">
        <v>44836</v>
      </c>
      <c r="D107" s="1">
        <v>44856</v>
      </c>
      <c r="E107" t="s">
        <v>21</v>
      </c>
      <c r="F107" t="s">
        <v>14</v>
      </c>
      <c r="G107">
        <v>865</v>
      </c>
      <c r="H107">
        <v>14.7</v>
      </c>
      <c r="I107">
        <v>13.14</v>
      </c>
      <c r="J107">
        <v>135</v>
      </c>
      <c r="K107" t="s">
        <v>27</v>
      </c>
    </row>
    <row r="108" spans="1:11" x14ac:dyDescent="0.25">
      <c r="A108" t="s">
        <v>133</v>
      </c>
      <c r="B108" t="s">
        <v>29</v>
      </c>
      <c r="C108" s="1">
        <v>44629</v>
      </c>
      <c r="D108" s="1">
        <v>44632</v>
      </c>
      <c r="E108" t="s">
        <v>39</v>
      </c>
      <c r="F108" t="s">
        <v>18</v>
      </c>
      <c r="G108">
        <v>1344</v>
      </c>
      <c r="H108">
        <v>12.5</v>
      </c>
      <c r="I108">
        <v>10.87</v>
      </c>
      <c r="J108">
        <v>44</v>
      </c>
      <c r="K108" t="s">
        <v>15</v>
      </c>
    </row>
    <row r="109" spans="1:11" x14ac:dyDescent="0.25">
      <c r="A109" t="s">
        <v>134</v>
      </c>
      <c r="B109" t="s">
        <v>17</v>
      </c>
      <c r="C109" s="1">
        <v>44778</v>
      </c>
      <c r="D109" s="1">
        <v>44797</v>
      </c>
      <c r="E109" t="s">
        <v>26</v>
      </c>
      <c r="F109" t="s">
        <v>35</v>
      </c>
      <c r="G109">
        <v>505</v>
      </c>
      <c r="H109">
        <v>45.42</v>
      </c>
      <c r="I109">
        <v>40.369999999999997</v>
      </c>
      <c r="J109">
        <v>62</v>
      </c>
      <c r="K109" t="s">
        <v>15</v>
      </c>
    </row>
    <row r="110" spans="1:11" x14ac:dyDescent="0.25">
      <c r="A110" t="s">
        <v>135</v>
      </c>
      <c r="B110" t="s">
        <v>23</v>
      </c>
      <c r="C110" s="1">
        <v>45142</v>
      </c>
      <c r="D110" s="1">
        <v>45143</v>
      </c>
      <c r="E110" t="s">
        <v>24</v>
      </c>
      <c r="F110" t="s">
        <v>18</v>
      </c>
      <c r="G110">
        <v>1535</v>
      </c>
      <c r="H110">
        <v>90.83</v>
      </c>
      <c r="I110">
        <v>78.28</v>
      </c>
      <c r="J110">
        <v>151</v>
      </c>
      <c r="K110" t="s">
        <v>27</v>
      </c>
    </row>
    <row r="111" spans="1:11" x14ac:dyDescent="0.25">
      <c r="A111" t="s">
        <v>136</v>
      </c>
      <c r="B111" t="s">
        <v>23</v>
      </c>
      <c r="C111" s="1">
        <v>44884</v>
      </c>
      <c r="E111" t="s">
        <v>13</v>
      </c>
      <c r="F111" t="s">
        <v>18</v>
      </c>
      <c r="G111">
        <v>1800</v>
      </c>
      <c r="H111">
        <v>103.8</v>
      </c>
      <c r="I111">
        <v>96.27</v>
      </c>
      <c r="J111">
        <v>166</v>
      </c>
      <c r="K111" t="s">
        <v>15</v>
      </c>
    </row>
    <row r="112" spans="1:11" x14ac:dyDescent="0.25">
      <c r="A112" t="s">
        <v>137</v>
      </c>
      <c r="B112" t="s">
        <v>17</v>
      </c>
      <c r="C112" s="1">
        <v>44779</v>
      </c>
      <c r="D112" s="1">
        <v>44788</v>
      </c>
      <c r="E112" t="s">
        <v>26</v>
      </c>
      <c r="F112" t="s">
        <v>35</v>
      </c>
      <c r="G112">
        <v>1325</v>
      </c>
      <c r="H112">
        <v>24.36</v>
      </c>
      <c r="I112">
        <v>22.75</v>
      </c>
      <c r="J112">
        <v>206</v>
      </c>
      <c r="K112" t="s">
        <v>15</v>
      </c>
    </row>
    <row r="113" spans="1:11" x14ac:dyDescent="0.25">
      <c r="A113" t="s">
        <v>138</v>
      </c>
      <c r="B113" t="s">
        <v>20</v>
      </c>
      <c r="C113" s="1">
        <v>45233</v>
      </c>
      <c r="D113" s="1">
        <v>45239</v>
      </c>
      <c r="E113" t="s">
        <v>26</v>
      </c>
      <c r="F113" t="s">
        <v>18</v>
      </c>
      <c r="G113">
        <v>1066</v>
      </c>
      <c r="H113">
        <v>70.45</v>
      </c>
      <c r="I113">
        <v>65.88</v>
      </c>
      <c r="J113">
        <v>56</v>
      </c>
      <c r="K113" t="s">
        <v>27</v>
      </c>
    </row>
    <row r="114" spans="1:11" x14ac:dyDescent="0.25">
      <c r="A114" t="s">
        <v>139</v>
      </c>
      <c r="B114" t="s">
        <v>23</v>
      </c>
      <c r="C114" s="1">
        <v>45073</v>
      </c>
      <c r="D114" s="1">
        <v>45088</v>
      </c>
      <c r="E114" t="s">
        <v>26</v>
      </c>
      <c r="F114" t="s">
        <v>18</v>
      </c>
      <c r="G114">
        <v>1775</v>
      </c>
      <c r="H114">
        <v>47.82</v>
      </c>
      <c r="I114">
        <v>45.86</v>
      </c>
      <c r="J114">
        <v>180</v>
      </c>
      <c r="K114" t="s">
        <v>15</v>
      </c>
    </row>
    <row r="115" spans="1:11" x14ac:dyDescent="0.25">
      <c r="A115" t="s">
        <v>140</v>
      </c>
      <c r="B115" t="s">
        <v>20</v>
      </c>
      <c r="C115" s="1">
        <v>44967</v>
      </c>
      <c r="E115" t="s">
        <v>26</v>
      </c>
      <c r="F115" t="s">
        <v>33</v>
      </c>
      <c r="G115">
        <v>345</v>
      </c>
      <c r="H115">
        <v>103.62</v>
      </c>
      <c r="I115">
        <v>98.09</v>
      </c>
      <c r="J115">
        <v>25</v>
      </c>
      <c r="K115" t="s">
        <v>27</v>
      </c>
    </row>
    <row r="116" spans="1:11" x14ac:dyDescent="0.25">
      <c r="A116" t="s">
        <v>141</v>
      </c>
      <c r="B116" t="s">
        <v>23</v>
      </c>
      <c r="C116" s="1">
        <v>45220</v>
      </c>
      <c r="D116" s="1">
        <v>45239</v>
      </c>
      <c r="E116" t="s">
        <v>39</v>
      </c>
      <c r="F116" t="s">
        <v>18</v>
      </c>
      <c r="G116">
        <v>1798</v>
      </c>
      <c r="H116">
        <v>94.8</v>
      </c>
      <c r="I116">
        <v>91.83</v>
      </c>
      <c r="K116" t="s">
        <v>15</v>
      </c>
    </row>
    <row r="117" spans="1:11" x14ac:dyDescent="0.25">
      <c r="A117" t="s">
        <v>142</v>
      </c>
      <c r="B117" t="s">
        <v>12</v>
      </c>
      <c r="C117" s="1">
        <v>45031</v>
      </c>
      <c r="D117" s="1">
        <v>45047</v>
      </c>
      <c r="E117" t="s">
        <v>21</v>
      </c>
      <c r="F117" t="s">
        <v>18</v>
      </c>
      <c r="G117">
        <v>769</v>
      </c>
      <c r="H117">
        <v>91.86</v>
      </c>
      <c r="I117">
        <v>86.55</v>
      </c>
      <c r="J117">
        <v>17</v>
      </c>
      <c r="K117" t="s">
        <v>15</v>
      </c>
    </row>
    <row r="118" spans="1:11" x14ac:dyDescent="0.25">
      <c r="A118" t="s">
        <v>143</v>
      </c>
      <c r="B118" t="s">
        <v>12</v>
      </c>
      <c r="C118" s="1">
        <v>44708</v>
      </c>
      <c r="E118" t="s">
        <v>24</v>
      </c>
      <c r="F118" t="s">
        <v>18</v>
      </c>
      <c r="G118">
        <v>1822</v>
      </c>
      <c r="H118">
        <v>53.23</v>
      </c>
      <c r="I118">
        <v>47.49</v>
      </c>
      <c r="J118">
        <v>39</v>
      </c>
      <c r="K118" t="s">
        <v>15</v>
      </c>
    </row>
    <row r="119" spans="1:11" x14ac:dyDescent="0.25">
      <c r="A119" t="s">
        <v>144</v>
      </c>
      <c r="B119" t="s">
        <v>17</v>
      </c>
      <c r="C119" s="1">
        <v>44833</v>
      </c>
      <c r="D119" s="1">
        <v>44847</v>
      </c>
      <c r="E119" t="s">
        <v>24</v>
      </c>
      <c r="F119" t="s">
        <v>18</v>
      </c>
      <c r="G119">
        <v>387</v>
      </c>
      <c r="H119">
        <v>49.23</v>
      </c>
      <c r="I119">
        <v>45.41</v>
      </c>
      <c r="J119">
        <v>61</v>
      </c>
      <c r="K119" t="s">
        <v>15</v>
      </c>
    </row>
    <row r="120" spans="1:11" x14ac:dyDescent="0.25">
      <c r="A120" t="s">
        <v>145</v>
      </c>
      <c r="B120" t="s">
        <v>29</v>
      </c>
      <c r="C120" s="1">
        <v>44704</v>
      </c>
      <c r="D120" s="1">
        <v>44708</v>
      </c>
      <c r="E120" t="s">
        <v>21</v>
      </c>
      <c r="F120" t="s">
        <v>18</v>
      </c>
      <c r="G120">
        <v>928</v>
      </c>
      <c r="H120">
        <v>35.299999999999997</v>
      </c>
      <c r="I120">
        <v>32.520000000000003</v>
      </c>
      <c r="J120">
        <v>26</v>
      </c>
      <c r="K120" t="s">
        <v>15</v>
      </c>
    </row>
    <row r="121" spans="1:11" x14ac:dyDescent="0.25">
      <c r="A121" t="s">
        <v>146</v>
      </c>
      <c r="B121" t="s">
        <v>12</v>
      </c>
      <c r="C121" s="1">
        <v>44814</v>
      </c>
      <c r="D121" s="1">
        <v>44825</v>
      </c>
      <c r="E121" t="s">
        <v>24</v>
      </c>
      <c r="F121" t="s">
        <v>33</v>
      </c>
      <c r="G121">
        <v>1126</v>
      </c>
      <c r="H121">
        <v>15.68</v>
      </c>
      <c r="I121">
        <v>14.97</v>
      </c>
      <c r="J121">
        <v>27</v>
      </c>
      <c r="K121" t="s">
        <v>15</v>
      </c>
    </row>
    <row r="122" spans="1:11" x14ac:dyDescent="0.25">
      <c r="A122" t="s">
        <v>147</v>
      </c>
      <c r="B122" t="s">
        <v>23</v>
      </c>
      <c r="C122" s="1">
        <v>45136</v>
      </c>
      <c r="D122" s="1">
        <v>45152</v>
      </c>
      <c r="E122" t="s">
        <v>26</v>
      </c>
      <c r="F122" t="s">
        <v>14</v>
      </c>
      <c r="G122">
        <v>841</v>
      </c>
      <c r="H122">
        <v>95.73</v>
      </c>
      <c r="I122">
        <v>85.33</v>
      </c>
      <c r="J122">
        <v>81</v>
      </c>
      <c r="K122" t="s">
        <v>15</v>
      </c>
    </row>
    <row r="123" spans="1:11" x14ac:dyDescent="0.25">
      <c r="A123" t="s">
        <v>148</v>
      </c>
      <c r="B123" t="s">
        <v>23</v>
      </c>
      <c r="C123" s="1">
        <v>45113</v>
      </c>
      <c r="D123" s="1">
        <v>45126</v>
      </c>
      <c r="E123" t="s">
        <v>39</v>
      </c>
      <c r="F123" t="s">
        <v>18</v>
      </c>
      <c r="G123">
        <v>1995</v>
      </c>
      <c r="H123">
        <v>90.65</v>
      </c>
      <c r="I123">
        <v>77.75</v>
      </c>
      <c r="J123">
        <v>206</v>
      </c>
      <c r="K123" t="s">
        <v>15</v>
      </c>
    </row>
    <row r="124" spans="1:11" x14ac:dyDescent="0.25">
      <c r="A124" t="s">
        <v>149</v>
      </c>
      <c r="B124" t="s">
        <v>12</v>
      </c>
      <c r="C124" s="1">
        <v>44831</v>
      </c>
      <c r="D124" s="1">
        <v>44849</v>
      </c>
      <c r="E124" t="s">
        <v>26</v>
      </c>
      <c r="F124" t="s">
        <v>18</v>
      </c>
      <c r="G124">
        <v>266</v>
      </c>
      <c r="H124">
        <v>103.97</v>
      </c>
      <c r="I124">
        <v>101.44</v>
      </c>
      <c r="J124">
        <v>6</v>
      </c>
      <c r="K124" t="s">
        <v>15</v>
      </c>
    </row>
    <row r="125" spans="1:11" x14ac:dyDescent="0.25">
      <c r="A125" t="s">
        <v>150</v>
      </c>
      <c r="B125" t="s">
        <v>12</v>
      </c>
      <c r="C125" s="1">
        <v>45160</v>
      </c>
      <c r="D125" s="1">
        <v>45163</v>
      </c>
      <c r="E125" t="s">
        <v>26</v>
      </c>
      <c r="F125" t="s">
        <v>14</v>
      </c>
      <c r="G125">
        <v>813</v>
      </c>
      <c r="H125">
        <v>109.17</v>
      </c>
      <c r="I125">
        <v>107.39</v>
      </c>
      <c r="J125">
        <v>14</v>
      </c>
      <c r="K125" t="s">
        <v>15</v>
      </c>
    </row>
    <row r="126" spans="1:11" x14ac:dyDescent="0.25">
      <c r="A126" t="s">
        <v>151</v>
      </c>
      <c r="B126" t="s">
        <v>29</v>
      </c>
      <c r="C126" s="1">
        <v>45000</v>
      </c>
      <c r="D126" s="1">
        <v>45011</v>
      </c>
      <c r="E126" t="s">
        <v>39</v>
      </c>
      <c r="F126" t="s">
        <v>18</v>
      </c>
      <c r="G126">
        <v>237</v>
      </c>
      <c r="H126">
        <v>64.19</v>
      </c>
      <c r="I126">
        <v>59.01</v>
      </c>
      <c r="J126">
        <v>7</v>
      </c>
      <c r="K126" t="s">
        <v>15</v>
      </c>
    </row>
    <row r="127" spans="1:11" x14ac:dyDescent="0.25">
      <c r="A127" t="s">
        <v>152</v>
      </c>
      <c r="B127" t="s">
        <v>12</v>
      </c>
      <c r="C127" s="1">
        <v>45159</v>
      </c>
      <c r="D127" s="1">
        <v>45172</v>
      </c>
      <c r="E127" t="s">
        <v>13</v>
      </c>
      <c r="F127" t="s">
        <v>14</v>
      </c>
      <c r="G127">
        <v>429</v>
      </c>
      <c r="H127">
        <v>86.73</v>
      </c>
      <c r="I127">
        <v>75.09</v>
      </c>
      <c r="J127">
        <v>9</v>
      </c>
      <c r="K127" t="s">
        <v>15</v>
      </c>
    </row>
    <row r="128" spans="1:11" x14ac:dyDescent="0.25">
      <c r="A128" t="s">
        <v>153</v>
      </c>
      <c r="B128" t="s">
        <v>17</v>
      </c>
      <c r="C128" s="1">
        <v>44970</v>
      </c>
      <c r="D128" s="1">
        <v>44971</v>
      </c>
      <c r="E128" t="s">
        <v>24</v>
      </c>
      <c r="F128" t="s">
        <v>18</v>
      </c>
      <c r="G128">
        <v>542</v>
      </c>
      <c r="H128">
        <v>101.21</v>
      </c>
      <c r="I128">
        <v>93.11</v>
      </c>
      <c r="J128">
        <v>78</v>
      </c>
      <c r="K128" t="s">
        <v>27</v>
      </c>
    </row>
    <row r="129" spans="1:11" x14ac:dyDescent="0.25">
      <c r="A129" t="s">
        <v>154</v>
      </c>
      <c r="B129" t="s">
        <v>29</v>
      </c>
      <c r="C129" s="1">
        <v>44932</v>
      </c>
      <c r="D129" s="1">
        <v>44950</v>
      </c>
      <c r="E129" t="s">
        <v>39</v>
      </c>
      <c r="F129" t="s">
        <v>18</v>
      </c>
      <c r="G129">
        <v>1114</v>
      </c>
      <c r="H129">
        <v>91.66</v>
      </c>
      <c r="I129">
        <v>85.53</v>
      </c>
      <c r="J129">
        <v>35</v>
      </c>
      <c r="K129" t="s">
        <v>15</v>
      </c>
    </row>
    <row r="130" spans="1:11" x14ac:dyDescent="0.25">
      <c r="A130" t="s">
        <v>155</v>
      </c>
      <c r="B130" t="s">
        <v>12</v>
      </c>
      <c r="C130" s="1">
        <v>44786</v>
      </c>
      <c r="D130" s="1">
        <v>44788</v>
      </c>
      <c r="E130" t="s">
        <v>21</v>
      </c>
      <c r="F130" t="s">
        <v>18</v>
      </c>
      <c r="G130">
        <v>1230</v>
      </c>
      <c r="H130">
        <v>33.39</v>
      </c>
      <c r="I130">
        <v>30.85</v>
      </c>
      <c r="J130">
        <v>26</v>
      </c>
      <c r="K130" t="s">
        <v>15</v>
      </c>
    </row>
    <row r="131" spans="1:11" x14ac:dyDescent="0.25">
      <c r="A131" t="s">
        <v>156</v>
      </c>
      <c r="B131" t="s">
        <v>23</v>
      </c>
      <c r="C131" s="1">
        <v>44703</v>
      </c>
      <c r="D131" s="1">
        <v>44715</v>
      </c>
      <c r="E131" t="s">
        <v>21</v>
      </c>
      <c r="F131" t="s">
        <v>18</v>
      </c>
      <c r="G131">
        <v>64</v>
      </c>
      <c r="H131">
        <v>51.56</v>
      </c>
      <c r="I131">
        <v>50.88</v>
      </c>
      <c r="J131">
        <v>5</v>
      </c>
      <c r="K131" t="s">
        <v>15</v>
      </c>
    </row>
    <row r="132" spans="1:11" x14ac:dyDescent="0.25">
      <c r="A132" t="s">
        <v>157</v>
      </c>
      <c r="B132" t="s">
        <v>12</v>
      </c>
      <c r="C132" s="1">
        <v>45083</v>
      </c>
      <c r="D132" s="1">
        <v>45099</v>
      </c>
      <c r="E132" t="s">
        <v>21</v>
      </c>
      <c r="F132" t="s">
        <v>18</v>
      </c>
      <c r="G132">
        <v>1886</v>
      </c>
      <c r="H132">
        <v>23.46</v>
      </c>
      <c r="I132">
        <v>23.18</v>
      </c>
      <c r="K132" t="s">
        <v>15</v>
      </c>
    </row>
    <row r="133" spans="1:11" x14ac:dyDescent="0.25">
      <c r="A133" t="s">
        <v>158</v>
      </c>
      <c r="B133" t="s">
        <v>17</v>
      </c>
      <c r="C133" s="1">
        <v>45067</v>
      </c>
      <c r="D133" s="1">
        <v>45069</v>
      </c>
      <c r="E133" t="s">
        <v>13</v>
      </c>
      <c r="F133" t="s">
        <v>18</v>
      </c>
      <c r="G133">
        <v>114</v>
      </c>
      <c r="H133">
        <v>103.53</v>
      </c>
      <c r="I133">
        <v>101.54</v>
      </c>
      <c r="J133">
        <v>14</v>
      </c>
      <c r="K133" t="s">
        <v>15</v>
      </c>
    </row>
    <row r="134" spans="1:11" x14ac:dyDescent="0.25">
      <c r="A134" t="s">
        <v>159</v>
      </c>
      <c r="B134" t="s">
        <v>17</v>
      </c>
      <c r="C134" s="1">
        <v>44655</v>
      </c>
      <c r="D134" s="1">
        <v>44673</v>
      </c>
      <c r="E134" t="s">
        <v>39</v>
      </c>
      <c r="F134" t="s">
        <v>14</v>
      </c>
      <c r="G134">
        <v>1930</v>
      </c>
      <c r="H134">
        <v>65.52</v>
      </c>
      <c r="I134">
        <v>56.9</v>
      </c>
      <c r="J134">
        <v>282</v>
      </c>
      <c r="K134" t="s">
        <v>15</v>
      </c>
    </row>
    <row r="135" spans="1:11" x14ac:dyDescent="0.25">
      <c r="A135" t="s">
        <v>160</v>
      </c>
      <c r="B135" t="s">
        <v>23</v>
      </c>
      <c r="C135" s="1">
        <v>44610</v>
      </c>
      <c r="D135" s="1">
        <v>44620</v>
      </c>
      <c r="E135" t="s">
        <v>13</v>
      </c>
      <c r="F135" t="s">
        <v>35</v>
      </c>
      <c r="G135">
        <v>1912</v>
      </c>
      <c r="H135">
        <v>30.73</v>
      </c>
      <c r="I135">
        <v>29.82</v>
      </c>
      <c r="J135">
        <v>191</v>
      </c>
      <c r="K135" t="s">
        <v>15</v>
      </c>
    </row>
    <row r="136" spans="1:11" x14ac:dyDescent="0.25">
      <c r="A136" t="s">
        <v>161</v>
      </c>
      <c r="B136" t="s">
        <v>29</v>
      </c>
      <c r="C136" s="1">
        <v>44674</v>
      </c>
      <c r="D136" s="1">
        <v>44690</v>
      </c>
      <c r="E136" t="s">
        <v>21</v>
      </c>
      <c r="F136" t="s">
        <v>18</v>
      </c>
      <c r="G136">
        <v>570</v>
      </c>
      <c r="H136">
        <v>71.510000000000005</v>
      </c>
      <c r="I136">
        <v>66.47</v>
      </c>
      <c r="K136" t="s">
        <v>15</v>
      </c>
    </row>
    <row r="137" spans="1:11" x14ac:dyDescent="0.25">
      <c r="A137" t="s">
        <v>162</v>
      </c>
      <c r="B137" t="s">
        <v>23</v>
      </c>
      <c r="C137" s="1">
        <v>44718</v>
      </c>
      <c r="D137" s="1">
        <v>44738</v>
      </c>
      <c r="E137" t="s">
        <v>26</v>
      </c>
      <c r="F137" t="s">
        <v>18</v>
      </c>
      <c r="G137">
        <v>1417</v>
      </c>
      <c r="H137">
        <v>67.27</v>
      </c>
      <c r="I137">
        <v>60.62</v>
      </c>
      <c r="K137" t="s">
        <v>15</v>
      </c>
    </row>
    <row r="138" spans="1:11" x14ac:dyDescent="0.25">
      <c r="A138" t="s">
        <v>163</v>
      </c>
      <c r="B138" t="s">
        <v>12</v>
      </c>
      <c r="C138" s="1">
        <v>45204</v>
      </c>
      <c r="D138" s="1">
        <v>45210</v>
      </c>
      <c r="E138" t="s">
        <v>26</v>
      </c>
      <c r="F138" t="s">
        <v>18</v>
      </c>
      <c r="G138">
        <v>1202</v>
      </c>
      <c r="H138">
        <v>46.67</v>
      </c>
      <c r="I138">
        <v>44.13</v>
      </c>
      <c r="J138">
        <v>21</v>
      </c>
      <c r="K138" t="s">
        <v>27</v>
      </c>
    </row>
    <row r="139" spans="1:11" x14ac:dyDescent="0.25">
      <c r="A139" t="s">
        <v>164</v>
      </c>
      <c r="B139" t="s">
        <v>23</v>
      </c>
      <c r="C139" s="1">
        <v>44725</v>
      </c>
      <c r="D139" s="1">
        <v>44726</v>
      </c>
      <c r="E139" t="s">
        <v>13</v>
      </c>
      <c r="F139" t="s">
        <v>18</v>
      </c>
      <c r="G139">
        <v>697</v>
      </c>
      <c r="H139">
        <v>20.73</v>
      </c>
      <c r="I139">
        <v>19.829999999999998</v>
      </c>
      <c r="J139">
        <v>78</v>
      </c>
      <c r="K139" t="s">
        <v>27</v>
      </c>
    </row>
    <row r="140" spans="1:11" x14ac:dyDescent="0.25">
      <c r="A140" t="s">
        <v>165</v>
      </c>
      <c r="B140" t="s">
        <v>29</v>
      </c>
      <c r="C140" s="1">
        <v>45258</v>
      </c>
      <c r="D140" s="1">
        <v>45261</v>
      </c>
      <c r="E140" t="s">
        <v>21</v>
      </c>
      <c r="F140" t="s">
        <v>18</v>
      </c>
      <c r="G140">
        <v>1545</v>
      </c>
      <c r="H140">
        <v>78.19</v>
      </c>
      <c r="I140">
        <v>76.91</v>
      </c>
      <c r="J140">
        <v>42</v>
      </c>
      <c r="K140" t="s">
        <v>15</v>
      </c>
    </row>
    <row r="141" spans="1:11" x14ac:dyDescent="0.25">
      <c r="A141" t="s">
        <v>166</v>
      </c>
      <c r="B141" t="s">
        <v>20</v>
      </c>
      <c r="C141" s="1">
        <v>44994</v>
      </c>
      <c r="D141" s="1">
        <v>44998</v>
      </c>
      <c r="E141" t="s">
        <v>21</v>
      </c>
      <c r="F141" t="s">
        <v>33</v>
      </c>
      <c r="G141">
        <v>1136</v>
      </c>
      <c r="H141">
        <v>60.81</v>
      </c>
      <c r="I141">
        <v>58.25</v>
      </c>
      <c r="J141">
        <v>62</v>
      </c>
      <c r="K141" t="s">
        <v>15</v>
      </c>
    </row>
    <row r="142" spans="1:11" x14ac:dyDescent="0.25">
      <c r="A142" t="s">
        <v>167</v>
      </c>
      <c r="B142" t="s">
        <v>23</v>
      </c>
      <c r="C142" s="1">
        <v>45172</v>
      </c>
      <c r="D142" s="1">
        <v>45176</v>
      </c>
      <c r="E142" t="s">
        <v>21</v>
      </c>
      <c r="F142" t="s">
        <v>18</v>
      </c>
      <c r="G142">
        <v>1212</v>
      </c>
      <c r="H142">
        <v>87.46</v>
      </c>
      <c r="I142">
        <v>74.55</v>
      </c>
      <c r="J142">
        <v>118</v>
      </c>
      <c r="K142" t="s">
        <v>27</v>
      </c>
    </row>
    <row r="143" spans="1:11" x14ac:dyDescent="0.25">
      <c r="A143" t="s">
        <v>168</v>
      </c>
      <c r="B143" t="s">
        <v>29</v>
      </c>
      <c r="C143" s="1">
        <v>44627</v>
      </c>
      <c r="D143" s="1">
        <v>44632</v>
      </c>
      <c r="E143" t="s">
        <v>21</v>
      </c>
      <c r="F143" t="s">
        <v>18</v>
      </c>
      <c r="G143">
        <v>1572</v>
      </c>
      <c r="H143">
        <v>57.38</v>
      </c>
      <c r="I143">
        <v>49.32</v>
      </c>
      <c r="J143">
        <v>40</v>
      </c>
      <c r="K143" t="s">
        <v>15</v>
      </c>
    </row>
    <row r="144" spans="1:11" x14ac:dyDescent="0.25">
      <c r="A144" t="s">
        <v>169</v>
      </c>
      <c r="B144" t="s">
        <v>20</v>
      </c>
      <c r="C144" s="1">
        <v>44956</v>
      </c>
      <c r="D144" s="1">
        <v>44966</v>
      </c>
      <c r="E144" t="s">
        <v>39</v>
      </c>
      <c r="F144" t="s">
        <v>18</v>
      </c>
      <c r="G144">
        <v>642</v>
      </c>
      <c r="H144">
        <v>91.9</v>
      </c>
      <c r="I144">
        <v>81.489999999999995</v>
      </c>
      <c r="J144">
        <v>26</v>
      </c>
      <c r="K144" t="s">
        <v>15</v>
      </c>
    </row>
    <row r="145" spans="1:11" x14ac:dyDescent="0.25">
      <c r="A145" t="s">
        <v>170</v>
      </c>
      <c r="B145" t="s">
        <v>29</v>
      </c>
      <c r="C145" s="1">
        <v>44952</v>
      </c>
      <c r="D145" s="1">
        <v>44961</v>
      </c>
      <c r="E145" t="s">
        <v>13</v>
      </c>
      <c r="F145" t="s">
        <v>18</v>
      </c>
      <c r="G145">
        <v>441</v>
      </c>
      <c r="H145">
        <v>63.25</v>
      </c>
      <c r="I145">
        <v>54.12</v>
      </c>
      <c r="J145">
        <v>16</v>
      </c>
      <c r="K145" t="s">
        <v>15</v>
      </c>
    </row>
    <row r="146" spans="1:11" x14ac:dyDescent="0.25">
      <c r="A146" t="s">
        <v>171</v>
      </c>
      <c r="B146" t="s">
        <v>29</v>
      </c>
      <c r="C146" s="1">
        <v>45172</v>
      </c>
      <c r="D146" s="1">
        <v>45188</v>
      </c>
      <c r="E146" t="s">
        <v>13</v>
      </c>
      <c r="F146" t="s">
        <v>18</v>
      </c>
      <c r="G146">
        <v>1748</v>
      </c>
      <c r="H146">
        <v>66.53</v>
      </c>
      <c r="I146">
        <v>57.11</v>
      </c>
      <c r="K146" t="s">
        <v>15</v>
      </c>
    </row>
    <row r="147" spans="1:11" x14ac:dyDescent="0.25">
      <c r="A147" t="s">
        <v>172</v>
      </c>
      <c r="B147" t="s">
        <v>20</v>
      </c>
      <c r="C147" s="1">
        <v>45041</v>
      </c>
      <c r="E147" t="s">
        <v>39</v>
      </c>
      <c r="F147" t="s">
        <v>35</v>
      </c>
      <c r="G147">
        <v>468</v>
      </c>
      <c r="H147">
        <v>95.57</v>
      </c>
      <c r="I147">
        <v>91.8</v>
      </c>
      <c r="J147">
        <v>24</v>
      </c>
      <c r="K147" t="s">
        <v>15</v>
      </c>
    </row>
    <row r="148" spans="1:11" x14ac:dyDescent="0.25">
      <c r="A148" t="s">
        <v>173</v>
      </c>
      <c r="B148" t="s">
        <v>23</v>
      </c>
      <c r="C148" s="1">
        <v>45103</v>
      </c>
      <c r="D148" s="1">
        <v>45121</v>
      </c>
      <c r="E148" t="s">
        <v>26</v>
      </c>
      <c r="F148" t="s">
        <v>18</v>
      </c>
      <c r="G148">
        <v>338</v>
      </c>
      <c r="H148">
        <v>50.25</v>
      </c>
      <c r="I148">
        <v>46.28</v>
      </c>
      <c r="J148">
        <v>49</v>
      </c>
      <c r="K148" t="s">
        <v>27</v>
      </c>
    </row>
    <row r="149" spans="1:11" x14ac:dyDescent="0.25">
      <c r="A149" t="s">
        <v>174</v>
      </c>
      <c r="B149" t="s">
        <v>20</v>
      </c>
      <c r="C149" s="1">
        <v>44819</v>
      </c>
      <c r="D149" s="1">
        <v>44826</v>
      </c>
      <c r="E149" t="s">
        <v>13</v>
      </c>
      <c r="F149" t="s">
        <v>18</v>
      </c>
      <c r="G149">
        <v>428</v>
      </c>
      <c r="H149">
        <v>22.94</v>
      </c>
      <c r="I149">
        <v>21.52</v>
      </c>
      <c r="J149">
        <v>26</v>
      </c>
      <c r="K149" t="s">
        <v>15</v>
      </c>
    </row>
    <row r="150" spans="1:11" x14ac:dyDescent="0.25">
      <c r="A150" t="s">
        <v>175</v>
      </c>
      <c r="B150" t="s">
        <v>23</v>
      </c>
      <c r="C150" s="1">
        <v>45128</v>
      </c>
      <c r="E150" t="s">
        <v>24</v>
      </c>
      <c r="F150" t="s">
        <v>18</v>
      </c>
      <c r="G150">
        <v>1846</v>
      </c>
      <c r="H150">
        <v>13.72</v>
      </c>
      <c r="I150">
        <v>12.62</v>
      </c>
      <c r="J150">
        <v>216</v>
      </c>
      <c r="K150" t="s">
        <v>15</v>
      </c>
    </row>
    <row r="151" spans="1:11" x14ac:dyDescent="0.25">
      <c r="A151" t="s">
        <v>176</v>
      </c>
      <c r="B151" t="s">
        <v>29</v>
      </c>
      <c r="C151" s="1">
        <v>44573</v>
      </c>
      <c r="D151" s="1">
        <v>44578</v>
      </c>
      <c r="E151" t="s">
        <v>13</v>
      </c>
      <c r="F151" t="s">
        <v>18</v>
      </c>
      <c r="G151">
        <v>1563</v>
      </c>
      <c r="H151">
        <v>77.959999999999994</v>
      </c>
      <c r="I151">
        <v>70.8</v>
      </c>
      <c r="J151">
        <v>41</v>
      </c>
      <c r="K151" t="s">
        <v>15</v>
      </c>
    </row>
    <row r="152" spans="1:11" x14ac:dyDescent="0.25">
      <c r="A152" t="s">
        <v>177</v>
      </c>
      <c r="B152" t="s">
        <v>23</v>
      </c>
      <c r="C152" s="1">
        <v>45258</v>
      </c>
      <c r="D152" s="1">
        <v>45267</v>
      </c>
      <c r="E152" t="s">
        <v>13</v>
      </c>
      <c r="F152" t="s">
        <v>18</v>
      </c>
      <c r="G152">
        <v>280</v>
      </c>
      <c r="H152">
        <v>73.069999999999993</v>
      </c>
      <c r="I152">
        <v>69.290000000000006</v>
      </c>
      <c r="J152">
        <v>30</v>
      </c>
      <c r="K152" t="s">
        <v>15</v>
      </c>
    </row>
    <row r="153" spans="1:11" x14ac:dyDescent="0.25">
      <c r="A153" t="s">
        <v>178</v>
      </c>
      <c r="B153" t="s">
        <v>17</v>
      </c>
      <c r="C153" s="1">
        <v>44679</v>
      </c>
      <c r="D153" s="1">
        <v>44693</v>
      </c>
      <c r="E153" t="s">
        <v>26</v>
      </c>
      <c r="F153" t="s">
        <v>18</v>
      </c>
      <c r="G153">
        <v>1067</v>
      </c>
      <c r="H153">
        <v>74.47</v>
      </c>
      <c r="I153">
        <v>64.16</v>
      </c>
      <c r="K153" t="s">
        <v>27</v>
      </c>
    </row>
    <row r="154" spans="1:11" x14ac:dyDescent="0.25">
      <c r="A154" t="s">
        <v>179</v>
      </c>
      <c r="B154" t="s">
        <v>20</v>
      </c>
      <c r="C154" s="1">
        <v>45260</v>
      </c>
      <c r="D154" s="1">
        <v>45277</v>
      </c>
      <c r="E154" t="s">
        <v>39</v>
      </c>
      <c r="F154" t="s">
        <v>35</v>
      </c>
      <c r="G154">
        <v>90</v>
      </c>
      <c r="H154">
        <v>32.380000000000003</v>
      </c>
      <c r="I154">
        <v>29.96</v>
      </c>
      <c r="J154">
        <v>7</v>
      </c>
      <c r="K154" t="s">
        <v>15</v>
      </c>
    </row>
    <row r="155" spans="1:11" x14ac:dyDescent="0.25">
      <c r="A155" t="s">
        <v>180</v>
      </c>
      <c r="B155" t="s">
        <v>20</v>
      </c>
      <c r="C155" s="1">
        <v>45111</v>
      </c>
      <c r="D155" s="1">
        <v>45112</v>
      </c>
      <c r="E155" t="s">
        <v>26</v>
      </c>
      <c r="F155" t="s">
        <v>18</v>
      </c>
      <c r="G155">
        <v>1101</v>
      </c>
      <c r="H155">
        <v>24.28</v>
      </c>
      <c r="I155">
        <v>22.73</v>
      </c>
      <c r="J155">
        <v>59</v>
      </c>
      <c r="K155" t="s">
        <v>27</v>
      </c>
    </row>
    <row r="156" spans="1:11" x14ac:dyDescent="0.25">
      <c r="A156" t="s">
        <v>181</v>
      </c>
      <c r="B156" t="s">
        <v>12</v>
      </c>
      <c r="C156" s="1">
        <v>44835</v>
      </c>
      <c r="D156" s="1">
        <v>44845</v>
      </c>
      <c r="E156" t="s">
        <v>26</v>
      </c>
      <c r="F156" t="s">
        <v>18</v>
      </c>
      <c r="G156">
        <v>184</v>
      </c>
      <c r="H156">
        <v>11.82</v>
      </c>
      <c r="I156">
        <v>10.51</v>
      </c>
      <c r="J156">
        <v>4</v>
      </c>
      <c r="K156" t="s">
        <v>15</v>
      </c>
    </row>
    <row r="157" spans="1:11" x14ac:dyDescent="0.25">
      <c r="A157" t="s">
        <v>182</v>
      </c>
      <c r="B157" t="s">
        <v>29</v>
      </c>
      <c r="C157" s="1">
        <v>45218</v>
      </c>
      <c r="D157" s="1">
        <v>45237</v>
      </c>
      <c r="E157" t="s">
        <v>39</v>
      </c>
      <c r="F157" t="s">
        <v>18</v>
      </c>
      <c r="G157">
        <v>250</v>
      </c>
      <c r="H157">
        <v>45.92</v>
      </c>
      <c r="I157">
        <v>41.02</v>
      </c>
      <c r="J157">
        <v>3</v>
      </c>
      <c r="K157" t="s">
        <v>15</v>
      </c>
    </row>
    <row r="158" spans="1:11" x14ac:dyDescent="0.25">
      <c r="A158" t="s">
        <v>183</v>
      </c>
      <c r="B158" t="s">
        <v>29</v>
      </c>
      <c r="C158" s="1">
        <v>44910</v>
      </c>
      <c r="E158" t="s">
        <v>24</v>
      </c>
      <c r="F158" t="s">
        <v>14</v>
      </c>
      <c r="G158">
        <v>1913</v>
      </c>
      <c r="H158">
        <v>66.56</v>
      </c>
      <c r="I158">
        <v>61.34</v>
      </c>
      <c r="J158">
        <v>61</v>
      </c>
      <c r="K158" t="s">
        <v>15</v>
      </c>
    </row>
    <row r="159" spans="1:11" x14ac:dyDescent="0.25">
      <c r="A159" t="s">
        <v>184</v>
      </c>
      <c r="B159" t="s">
        <v>23</v>
      </c>
      <c r="C159" s="1">
        <v>44676</v>
      </c>
      <c r="D159" s="1">
        <v>44681</v>
      </c>
      <c r="E159" t="s">
        <v>39</v>
      </c>
      <c r="F159" t="s">
        <v>18</v>
      </c>
      <c r="G159">
        <v>829</v>
      </c>
      <c r="H159">
        <v>45.98</v>
      </c>
      <c r="I159">
        <v>40.39</v>
      </c>
      <c r="K159" t="s">
        <v>15</v>
      </c>
    </row>
    <row r="160" spans="1:11" x14ac:dyDescent="0.25">
      <c r="A160" t="s">
        <v>185</v>
      </c>
      <c r="B160" t="s">
        <v>17</v>
      </c>
      <c r="C160" s="1">
        <v>44862</v>
      </c>
      <c r="D160" s="1">
        <v>44878</v>
      </c>
      <c r="E160" t="s">
        <v>26</v>
      </c>
      <c r="F160" t="s">
        <v>18</v>
      </c>
      <c r="G160">
        <v>979</v>
      </c>
      <c r="H160">
        <v>51.59</v>
      </c>
      <c r="I160">
        <v>49.69</v>
      </c>
      <c r="J160">
        <v>148</v>
      </c>
      <c r="K160" t="s">
        <v>15</v>
      </c>
    </row>
    <row r="161" spans="1:11" x14ac:dyDescent="0.25">
      <c r="A161" t="s">
        <v>186</v>
      </c>
      <c r="B161" t="s">
        <v>29</v>
      </c>
      <c r="C161" s="1">
        <v>45007</v>
      </c>
      <c r="D161" s="1">
        <v>45025</v>
      </c>
      <c r="E161" t="s">
        <v>39</v>
      </c>
      <c r="F161" t="s">
        <v>33</v>
      </c>
      <c r="G161">
        <v>1106</v>
      </c>
      <c r="H161">
        <v>97.77</v>
      </c>
      <c r="I161">
        <v>90.45</v>
      </c>
      <c r="J161">
        <v>31</v>
      </c>
      <c r="K161" t="s">
        <v>15</v>
      </c>
    </row>
    <row r="162" spans="1:11" x14ac:dyDescent="0.25">
      <c r="A162" t="s">
        <v>187</v>
      </c>
      <c r="B162" t="s">
        <v>17</v>
      </c>
      <c r="C162" s="1">
        <v>44723</v>
      </c>
      <c r="D162" s="1">
        <v>44736</v>
      </c>
      <c r="E162" t="s">
        <v>13</v>
      </c>
      <c r="F162" t="s">
        <v>35</v>
      </c>
      <c r="G162">
        <v>1121</v>
      </c>
      <c r="H162">
        <v>42.38</v>
      </c>
      <c r="I162">
        <v>38.340000000000003</v>
      </c>
      <c r="J162">
        <v>152</v>
      </c>
      <c r="K162" t="s">
        <v>15</v>
      </c>
    </row>
    <row r="163" spans="1:11" x14ac:dyDescent="0.25">
      <c r="A163" t="s">
        <v>188</v>
      </c>
      <c r="B163" t="s">
        <v>12</v>
      </c>
      <c r="C163" s="1">
        <v>45026</v>
      </c>
      <c r="D163" s="1">
        <v>45037</v>
      </c>
      <c r="E163" t="s">
        <v>13</v>
      </c>
      <c r="F163" t="s">
        <v>18</v>
      </c>
      <c r="G163">
        <v>552</v>
      </c>
      <c r="H163">
        <v>60.48</v>
      </c>
      <c r="I163">
        <v>56.78</v>
      </c>
      <c r="J163">
        <v>10</v>
      </c>
      <c r="K163" t="s">
        <v>15</v>
      </c>
    </row>
    <row r="164" spans="1:11" x14ac:dyDescent="0.25">
      <c r="A164" t="s">
        <v>189</v>
      </c>
      <c r="B164" t="s">
        <v>20</v>
      </c>
      <c r="C164" s="1">
        <v>44565</v>
      </c>
      <c r="D164" s="1">
        <v>44573</v>
      </c>
      <c r="E164" t="s">
        <v>24</v>
      </c>
      <c r="F164" t="s">
        <v>18</v>
      </c>
      <c r="G164">
        <v>456</v>
      </c>
      <c r="H164">
        <v>80.53</v>
      </c>
      <c r="I164">
        <v>77.86</v>
      </c>
      <c r="J164">
        <v>26</v>
      </c>
      <c r="K164" t="s">
        <v>15</v>
      </c>
    </row>
    <row r="165" spans="1:11" x14ac:dyDescent="0.25">
      <c r="A165" t="s">
        <v>190</v>
      </c>
      <c r="B165" t="s">
        <v>17</v>
      </c>
      <c r="C165" s="1">
        <v>44831</v>
      </c>
      <c r="D165" s="1">
        <v>44839</v>
      </c>
      <c r="E165" t="s">
        <v>24</v>
      </c>
      <c r="F165" t="s">
        <v>18</v>
      </c>
      <c r="G165">
        <v>1647</v>
      </c>
      <c r="H165">
        <v>47.52</v>
      </c>
      <c r="I165">
        <v>44.92</v>
      </c>
      <c r="K165" t="s">
        <v>15</v>
      </c>
    </row>
    <row r="166" spans="1:11" x14ac:dyDescent="0.25">
      <c r="A166" t="s">
        <v>191</v>
      </c>
      <c r="B166" t="s">
        <v>29</v>
      </c>
      <c r="C166" s="1">
        <v>45074</v>
      </c>
      <c r="D166" s="1">
        <v>45088</v>
      </c>
      <c r="E166" t="s">
        <v>39</v>
      </c>
      <c r="F166" t="s">
        <v>35</v>
      </c>
      <c r="G166">
        <v>1801</v>
      </c>
      <c r="H166">
        <v>71.27</v>
      </c>
      <c r="I166">
        <v>61.24</v>
      </c>
      <c r="J166">
        <v>43</v>
      </c>
      <c r="K166" t="s">
        <v>15</v>
      </c>
    </row>
    <row r="167" spans="1:11" x14ac:dyDescent="0.25">
      <c r="A167" t="s">
        <v>192</v>
      </c>
      <c r="B167" t="s">
        <v>20</v>
      </c>
      <c r="C167" s="1">
        <v>44744</v>
      </c>
      <c r="D167" s="1">
        <v>44760</v>
      </c>
      <c r="E167" t="s">
        <v>39</v>
      </c>
      <c r="F167" t="s">
        <v>18</v>
      </c>
      <c r="G167">
        <v>854</v>
      </c>
      <c r="H167">
        <v>90.24</v>
      </c>
      <c r="I167">
        <v>85.53</v>
      </c>
      <c r="K167" t="s">
        <v>15</v>
      </c>
    </row>
    <row r="168" spans="1:11" x14ac:dyDescent="0.25">
      <c r="A168" t="s">
        <v>193</v>
      </c>
      <c r="B168" t="s">
        <v>17</v>
      </c>
      <c r="C168" s="1">
        <v>45081</v>
      </c>
      <c r="D168" s="1">
        <v>45094</v>
      </c>
      <c r="E168" t="s">
        <v>39</v>
      </c>
      <c r="F168" t="s">
        <v>18</v>
      </c>
      <c r="G168">
        <v>148</v>
      </c>
      <c r="H168">
        <v>103.57</v>
      </c>
      <c r="I168">
        <v>98.62</v>
      </c>
      <c r="J168">
        <v>23</v>
      </c>
      <c r="K168" t="s">
        <v>27</v>
      </c>
    </row>
    <row r="169" spans="1:11" x14ac:dyDescent="0.25">
      <c r="A169" t="s">
        <v>194</v>
      </c>
      <c r="B169" t="s">
        <v>17</v>
      </c>
      <c r="C169" s="1">
        <v>44670</v>
      </c>
      <c r="D169" s="1">
        <v>44675</v>
      </c>
      <c r="E169" t="s">
        <v>21</v>
      </c>
      <c r="F169" t="s">
        <v>18</v>
      </c>
      <c r="G169">
        <v>733</v>
      </c>
      <c r="H169">
        <v>23.59</v>
      </c>
      <c r="I169">
        <v>22.85</v>
      </c>
      <c r="J169">
        <v>92</v>
      </c>
      <c r="K169" t="s">
        <v>15</v>
      </c>
    </row>
    <row r="170" spans="1:11" x14ac:dyDescent="0.25">
      <c r="A170" t="s">
        <v>195</v>
      </c>
      <c r="B170" t="s">
        <v>23</v>
      </c>
      <c r="C170" s="1">
        <v>45202</v>
      </c>
      <c r="D170" s="1">
        <v>45204</v>
      </c>
      <c r="E170" t="s">
        <v>26</v>
      </c>
      <c r="F170" t="s">
        <v>18</v>
      </c>
      <c r="G170">
        <v>1945</v>
      </c>
      <c r="H170">
        <v>103.2</v>
      </c>
      <c r="I170">
        <v>88.56</v>
      </c>
      <c r="K170" t="s">
        <v>15</v>
      </c>
    </row>
    <row r="171" spans="1:11" x14ac:dyDescent="0.25">
      <c r="A171" t="s">
        <v>196</v>
      </c>
      <c r="B171" t="s">
        <v>20</v>
      </c>
      <c r="C171" s="1">
        <v>44867</v>
      </c>
      <c r="D171" s="1">
        <v>44886</v>
      </c>
      <c r="E171" t="s">
        <v>26</v>
      </c>
      <c r="F171" t="s">
        <v>18</v>
      </c>
      <c r="G171">
        <v>775</v>
      </c>
      <c r="H171">
        <v>57</v>
      </c>
      <c r="I171">
        <v>49.14</v>
      </c>
      <c r="J171">
        <v>48</v>
      </c>
      <c r="K171" t="s">
        <v>15</v>
      </c>
    </row>
    <row r="172" spans="1:11" x14ac:dyDescent="0.25">
      <c r="A172" t="s">
        <v>197</v>
      </c>
      <c r="B172" t="s">
        <v>17</v>
      </c>
      <c r="C172" s="1">
        <v>45216</v>
      </c>
      <c r="D172" s="1">
        <v>45220</v>
      </c>
      <c r="E172" t="s">
        <v>24</v>
      </c>
      <c r="F172" t="s">
        <v>18</v>
      </c>
      <c r="G172">
        <v>1620</v>
      </c>
      <c r="H172">
        <v>36.729999999999997</v>
      </c>
      <c r="I172">
        <v>33.450000000000003</v>
      </c>
      <c r="J172">
        <v>235</v>
      </c>
      <c r="K172" t="s">
        <v>27</v>
      </c>
    </row>
    <row r="173" spans="1:11" x14ac:dyDescent="0.25">
      <c r="A173" t="s">
        <v>198</v>
      </c>
      <c r="B173" t="s">
        <v>23</v>
      </c>
      <c r="C173" s="1">
        <v>45081</v>
      </c>
      <c r="D173" s="1">
        <v>45096</v>
      </c>
      <c r="E173" t="s">
        <v>13</v>
      </c>
      <c r="F173" t="s">
        <v>18</v>
      </c>
      <c r="G173">
        <v>1010</v>
      </c>
      <c r="H173">
        <v>55.68</v>
      </c>
      <c r="I173">
        <v>50.86</v>
      </c>
      <c r="K173" t="s">
        <v>15</v>
      </c>
    </row>
    <row r="174" spans="1:11" x14ac:dyDescent="0.25">
      <c r="A174" t="s">
        <v>199</v>
      </c>
      <c r="B174" t="s">
        <v>29</v>
      </c>
      <c r="C174" s="1">
        <v>45185</v>
      </c>
      <c r="D174" s="1">
        <v>45200</v>
      </c>
      <c r="E174" t="s">
        <v>13</v>
      </c>
      <c r="F174" t="s">
        <v>18</v>
      </c>
      <c r="G174">
        <v>1812</v>
      </c>
      <c r="H174">
        <v>108.02</v>
      </c>
      <c r="I174">
        <v>101.02</v>
      </c>
      <c r="J174">
        <v>51</v>
      </c>
      <c r="K174" t="s">
        <v>15</v>
      </c>
    </row>
    <row r="175" spans="1:11" x14ac:dyDescent="0.25">
      <c r="A175" t="s">
        <v>200</v>
      </c>
      <c r="B175" t="s">
        <v>17</v>
      </c>
      <c r="C175" s="1">
        <v>44765</v>
      </c>
      <c r="D175" s="1">
        <v>44770</v>
      </c>
      <c r="E175" t="s">
        <v>13</v>
      </c>
      <c r="F175" t="s">
        <v>18</v>
      </c>
      <c r="G175">
        <v>662</v>
      </c>
      <c r="H175">
        <v>55.97</v>
      </c>
      <c r="I175">
        <v>50</v>
      </c>
      <c r="J175">
        <v>100</v>
      </c>
      <c r="K175" t="s">
        <v>15</v>
      </c>
    </row>
    <row r="176" spans="1:11" x14ac:dyDescent="0.25">
      <c r="A176" t="s">
        <v>201</v>
      </c>
      <c r="B176" t="s">
        <v>23</v>
      </c>
      <c r="C176" s="1">
        <v>44718</v>
      </c>
      <c r="D176" s="1">
        <v>44723</v>
      </c>
      <c r="E176" t="s">
        <v>13</v>
      </c>
      <c r="F176" t="s">
        <v>35</v>
      </c>
      <c r="G176">
        <v>1535</v>
      </c>
      <c r="H176">
        <v>40.58</v>
      </c>
      <c r="I176">
        <v>38.71</v>
      </c>
      <c r="J176">
        <v>165</v>
      </c>
      <c r="K176" t="s">
        <v>15</v>
      </c>
    </row>
    <row r="177" spans="1:11" x14ac:dyDescent="0.25">
      <c r="A177" t="s">
        <v>202</v>
      </c>
      <c r="B177" t="s">
        <v>23</v>
      </c>
      <c r="C177" s="1">
        <v>44944</v>
      </c>
      <c r="D177" s="1">
        <v>44953</v>
      </c>
      <c r="E177" t="s">
        <v>26</v>
      </c>
      <c r="F177" t="s">
        <v>18</v>
      </c>
      <c r="G177">
        <v>692</v>
      </c>
      <c r="H177">
        <v>71.03</v>
      </c>
      <c r="I177">
        <v>67.739999999999995</v>
      </c>
      <c r="J177">
        <v>70</v>
      </c>
      <c r="K177" t="s">
        <v>15</v>
      </c>
    </row>
    <row r="178" spans="1:11" x14ac:dyDescent="0.25">
      <c r="A178" t="s">
        <v>203</v>
      </c>
      <c r="B178" t="s">
        <v>20</v>
      </c>
      <c r="C178" s="1">
        <v>44727</v>
      </c>
      <c r="D178" s="1">
        <v>44740</v>
      </c>
      <c r="E178" t="s">
        <v>21</v>
      </c>
      <c r="F178" t="s">
        <v>18</v>
      </c>
      <c r="G178">
        <v>1842</v>
      </c>
      <c r="H178">
        <v>32.4</v>
      </c>
      <c r="I178">
        <v>28.08</v>
      </c>
      <c r="J178">
        <v>96</v>
      </c>
      <c r="K178" t="s">
        <v>15</v>
      </c>
    </row>
    <row r="179" spans="1:11" x14ac:dyDescent="0.25">
      <c r="A179" t="s">
        <v>204</v>
      </c>
      <c r="B179" t="s">
        <v>23</v>
      </c>
      <c r="C179" s="1">
        <v>45114</v>
      </c>
      <c r="D179" s="1">
        <v>45125</v>
      </c>
      <c r="E179" t="s">
        <v>13</v>
      </c>
      <c r="F179" t="s">
        <v>14</v>
      </c>
      <c r="G179">
        <v>1078</v>
      </c>
      <c r="H179">
        <v>18.34</v>
      </c>
      <c r="I179">
        <v>17.41</v>
      </c>
      <c r="J179">
        <v>102</v>
      </c>
      <c r="K179" t="s">
        <v>15</v>
      </c>
    </row>
    <row r="180" spans="1:11" x14ac:dyDescent="0.25">
      <c r="A180" t="s">
        <v>205</v>
      </c>
      <c r="B180" t="s">
        <v>17</v>
      </c>
      <c r="C180" s="1">
        <v>45105</v>
      </c>
      <c r="D180" s="1">
        <v>45123</v>
      </c>
      <c r="E180" t="s">
        <v>24</v>
      </c>
      <c r="F180" t="s">
        <v>18</v>
      </c>
      <c r="G180">
        <v>1291</v>
      </c>
      <c r="H180">
        <v>23.44</v>
      </c>
      <c r="I180">
        <v>22.23</v>
      </c>
      <c r="K180" t="s">
        <v>15</v>
      </c>
    </row>
    <row r="181" spans="1:11" x14ac:dyDescent="0.25">
      <c r="A181" t="s">
        <v>206</v>
      </c>
      <c r="B181" t="s">
        <v>12</v>
      </c>
      <c r="C181" s="1">
        <v>44562</v>
      </c>
      <c r="D181" s="1">
        <v>44573</v>
      </c>
      <c r="E181" t="s">
        <v>39</v>
      </c>
      <c r="F181" t="s">
        <v>18</v>
      </c>
      <c r="G181">
        <v>552</v>
      </c>
      <c r="H181">
        <v>21.52</v>
      </c>
      <c r="I181">
        <v>18.79</v>
      </c>
      <c r="J181">
        <v>13</v>
      </c>
      <c r="K181" t="s">
        <v>15</v>
      </c>
    </row>
    <row r="182" spans="1:11" x14ac:dyDescent="0.25">
      <c r="A182" t="s">
        <v>207</v>
      </c>
      <c r="B182" t="s">
        <v>29</v>
      </c>
      <c r="C182" s="1">
        <v>45175</v>
      </c>
      <c r="D182" s="1">
        <v>45191</v>
      </c>
      <c r="E182" t="s">
        <v>39</v>
      </c>
      <c r="F182" t="s">
        <v>18</v>
      </c>
      <c r="G182">
        <v>816</v>
      </c>
      <c r="H182">
        <v>26.04</v>
      </c>
      <c r="I182">
        <v>25.61</v>
      </c>
      <c r="J182">
        <v>28</v>
      </c>
      <c r="K182" t="s">
        <v>15</v>
      </c>
    </row>
    <row r="183" spans="1:11" x14ac:dyDescent="0.25">
      <c r="A183" t="s">
        <v>208</v>
      </c>
      <c r="B183" t="s">
        <v>17</v>
      </c>
      <c r="C183" s="1">
        <v>44893</v>
      </c>
      <c r="D183" s="1">
        <v>44895</v>
      </c>
      <c r="E183" t="s">
        <v>24</v>
      </c>
      <c r="F183" t="s">
        <v>18</v>
      </c>
      <c r="G183">
        <v>447</v>
      </c>
      <c r="H183">
        <v>23.62</v>
      </c>
      <c r="I183">
        <v>21.81</v>
      </c>
      <c r="J183">
        <v>50</v>
      </c>
      <c r="K183" t="s">
        <v>15</v>
      </c>
    </row>
    <row r="184" spans="1:11" x14ac:dyDescent="0.25">
      <c r="A184" t="s">
        <v>209</v>
      </c>
      <c r="B184" t="s">
        <v>17</v>
      </c>
      <c r="C184" s="1">
        <v>45062</v>
      </c>
      <c r="D184" s="1">
        <v>45070</v>
      </c>
      <c r="E184" t="s">
        <v>24</v>
      </c>
      <c r="F184" t="s">
        <v>33</v>
      </c>
      <c r="G184">
        <v>920</v>
      </c>
      <c r="H184">
        <v>73.09</v>
      </c>
      <c r="I184">
        <v>70.14</v>
      </c>
      <c r="K184" t="s">
        <v>15</v>
      </c>
    </row>
    <row r="185" spans="1:11" x14ac:dyDescent="0.25">
      <c r="A185" t="s">
        <v>210</v>
      </c>
      <c r="B185" t="s">
        <v>29</v>
      </c>
      <c r="C185" s="1">
        <v>44581</v>
      </c>
      <c r="D185" s="1">
        <v>44591</v>
      </c>
      <c r="E185" t="s">
        <v>24</v>
      </c>
      <c r="F185" t="s">
        <v>33</v>
      </c>
      <c r="G185">
        <v>844</v>
      </c>
      <c r="H185">
        <v>26.37</v>
      </c>
      <c r="I185">
        <v>25.08</v>
      </c>
      <c r="J185">
        <v>38</v>
      </c>
      <c r="K185" t="s">
        <v>15</v>
      </c>
    </row>
    <row r="186" spans="1:11" x14ac:dyDescent="0.25">
      <c r="A186" t="s">
        <v>211</v>
      </c>
      <c r="B186" t="s">
        <v>29</v>
      </c>
      <c r="C186" s="1">
        <v>44676</v>
      </c>
      <c r="E186" t="s">
        <v>21</v>
      </c>
      <c r="F186" t="s">
        <v>18</v>
      </c>
      <c r="G186">
        <v>442</v>
      </c>
      <c r="H186">
        <v>41.73</v>
      </c>
      <c r="I186">
        <v>36.450000000000003</v>
      </c>
      <c r="J186">
        <v>15</v>
      </c>
      <c r="K186" t="s">
        <v>15</v>
      </c>
    </row>
    <row r="187" spans="1:11" x14ac:dyDescent="0.25">
      <c r="A187" t="s">
        <v>212</v>
      </c>
      <c r="B187" t="s">
        <v>23</v>
      </c>
      <c r="C187" s="1">
        <v>44933</v>
      </c>
      <c r="D187" s="1">
        <v>44947</v>
      </c>
      <c r="E187" t="s">
        <v>39</v>
      </c>
      <c r="F187" t="s">
        <v>14</v>
      </c>
      <c r="G187">
        <v>256</v>
      </c>
      <c r="H187">
        <v>96.15</v>
      </c>
      <c r="I187">
        <v>83.44</v>
      </c>
      <c r="J187">
        <v>26</v>
      </c>
      <c r="K187" t="s">
        <v>15</v>
      </c>
    </row>
    <row r="188" spans="1:11" x14ac:dyDescent="0.25">
      <c r="A188" t="s">
        <v>213</v>
      </c>
      <c r="B188" t="s">
        <v>17</v>
      </c>
      <c r="C188" s="1">
        <v>44876</v>
      </c>
      <c r="E188" t="s">
        <v>21</v>
      </c>
      <c r="F188" t="s">
        <v>33</v>
      </c>
      <c r="G188">
        <v>1088</v>
      </c>
      <c r="H188">
        <v>55.29</v>
      </c>
      <c r="I188">
        <v>53.04</v>
      </c>
      <c r="J188">
        <v>161</v>
      </c>
      <c r="K188" t="s">
        <v>27</v>
      </c>
    </row>
    <row r="189" spans="1:11" x14ac:dyDescent="0.25">
      <c r="A189" t="s">
        <v>214</v>
      </c>
      <c r="B189" t="s">
        <v>23</v>
      </c>
      <c r="C189" s="1">
        <v>44807</v>
      </c>
      <c r="D189" s="1">
        <v>44811</v>
      </c>
      <c r="E189" t="s">
        <v>13</v>
      </c>
      <c r="F189" t="s">
        <v>18</v>
      </c>
      <c r="G189">
        <v>1931</v>
      </c>
      <c r="H189">
        <v>72.88</v>
      </c>
      <c r="I189">
        <v>64.69</v>
      </c>
      <c r="J189">
        <v>187</v>
      </c>
      <c r="K189" t="s">
        <v>15</v>
      </c>
    </row>
    <row r="190" spans="1:11" x14ac:dyDescent="0.25">
      <c r="A190" t="s">
        <v>215</v>
      </c>
      <c r="B190" t="s">
        <v>20</v>
      </c>
      <c r="C190" s="1">
        <v>44621</v>
      </c>
      <c r="D190" s="1">
        <v>44631</v>
      </c>
      <c r="E190" t="s">
        <v>39</v>
      </c>
      <c r="F190" t="s">
        <v>18</v>
      </c>
      <c r="G190">
        <v>1627</v>
      </c>
      <c r="H190">
        <v>25.76</v>
      </c>
      <c r="I190">
        <v>25.09</v>
      </c>
      <c r="J190">
        <v>74</v>
      </c>
      <c r="K190" t="s">
        <v>15</v>
      </c>
    </row>
    <row r="191" spans="1:11" x14ac:dyDescent="0.25">
      <c r="A191" t="s">
        <v>216</v>
      </c>
      <c r="B191" t="s">
        <v>23</v>
      </c>
      <c r="C191" s="1">
        <v>44808</v>
      </c>
      <c r="E191" t="s">
        <v>24</v>
      </c>
      <c r="F191" t="s">
        <v>18</v>
      </c>
      <c r="G191">
        <v>941</v>
      </c>
      <c r="H191">
        <v>28.4</v>
      </c>
      <c r="I191">
        <v>27.21</v>
      </c>
      <c r="K191" t="s">
        <v>27</v>
      </c>
    </row>
    <row r="192" spans="1:11" x14ac:dyDescent="0.25">
      <c r="A192" t="s">
        <v>217</v>
      </c>
      <c r="B192" t="s">
        <v>20</v>
      </c>
      <c r="C192" s="1">
        <v>45142</v>
      </c>
      <c r="D192" s="1">
        <v>45144</v>
      </c>
      <c r="E192" t="s">
        <v>21</v>
      </c>
      <c r="F192" t="s">
        <v>18</v>
      </c>
      <c r="G192">
        <v>1534</v>
      </c>
      <c r="H192">
        <v>14.98</v>
      </c>
      <c r="I192">
        <v>12.79</v>
      </c>
      <c r="K192" t="s">
        <v>15</v>
      </c>
    </row>
    <row r="193" spans="1:11" x14ac:dyDescent="0.25">
      <c r="A193" t="s">
        <v>218</v>
      </c>
      <c r="B193" t="s">
        <v>12</v>
      </c>
      <c r="C193" s="1">
        <v>44642</v>
      </c>
      <c r="D193" s="1">
        <v>44654</v>
      </c>
      <c r="E193" t="s">
        <v>26</v>
      </c>
      <c r="F193" t="s">
        <v>18</v>
      </c>
      <c r="G193">
        <v>1764</v>
      </c>
      <c r="H193">
        <v>25.46</v>
      </c>
      <c r="I193">
        <v>24.52</v>
      </c>
      <c r="J193">
        <v>46</v>
      </c>
      <c r="K193" t="s">
        <v>15</v>
      </c>
    </row>
    <row r="194" spans="1:11" x14ac:dyDescent="0.25">
      <c r="A194" t="s">
        <v>219</v>
      </c>
      <c r="B194" t="s">
        <v>17</v>
      </c>
      <c r="C194" s="1">
        <v>44649</v>
      </c>
      <c r="D194" s="1">
        <v>44657</v>
      </c>
      <c r="E194" t="s">
        <v>39</v>
      </c>
      <c r="F194" t="s">
        <v>18</v>
      </c>
      <c r="G194">
        <v>1648</v>
      </c>
      <c r="H194">
        <v>35.42</v>
      </c>
      <c r="I194">
        <v>31.46</v>
      </c>
      <c r="K194" t="s">
        <v>27</v>
      </c>
    </row>
    <row r="195" spans="1:11" x14ac:dyDescent="0.25">
      <c r="A195" t="s">
        <v>220</v>
      </c>
      <c r="B195" t="s">
        <v>20</v>
      </c>
      <c r="C195" s="1">
        <v>45059</v>
      </c>
      <c r="D195" s="1">
        <v>45078</v>
      </c>
      <c r="E195" t="s">
        <v>24</v>
      </c>
      <c r="F195" t="s">
        <v>18</v>
      </c>
      <c r="G195">
        <v>913</v>
      </c>
      <c r="H195">
        <v>28.01</v>
      </c>
      <c r="I195">
        <v>24.06</v>
      </c>
      <c r="J195">
        <v>53</v>
      </c>
      <c r="K195" t="s">
        <v>15</v>
      </c>
    </row>
    <row r="196" spans="1:11" x14ac:dyDescent="0.25">
      <c r="A196" t="s">
        <v>221</v>
      </c>
      <c r="B196" t="s">
        <v>12</v>
      </c>
      <c r="C196" s="1">
        <v>44632</v>
      </c>
      <c r="D196" s="1">
        <v>44638</v>
      </c>
      <c r="E196" t="s">
        <v>24</v>
      </c>
      <c r="F196" t="s">
        <v>14</v>
      </c>
      <c r="G196">
        <v>792</v>
      </c>
      <c r="H196">
        <v>18.16</v>
      </c>
      <c r="I196">
        <v>17.25</v>
      </c>
      <c r="J196">
        <v>17</v>
      </c>
      <c r="K196" t="s">
        <v>15</v>
      </c>
    </row>
    <row r="197" spans="1:11" x14ac:dyDescent="0.25">
      <c r="A197" t="s">
        <v>222</v>
      </c>
      <c r="B197" t="s">
        <v>29</v>
      </c>
      <c r="C197" s="1">
        <v>45107</v>
      </c>
      <c r="D197" s="1">
        <v>45110</v>
      </c>
      <c r="E197" t="s">
        <v>13</v>
      </c>
      <c r="F197" t="s">
        <v>33</v>
      </c>
      <c r="G197">
        <v>1314</v>
      </c>
      <c r="H197">
        <v>22.63</v>
      </c>
      <c r="I197">
        <v>21.06</v>
      </c>
      <c r="J197">
        <v>44</v>
      </c>
      <c r="K197" t="s">
        <v>15</v>
      </c>
    </row>
    <row r="198" spans="1:11" x14ac:dyDescent="0.25">
      <c r="A198" t="s">
        <v>223</v>
      </c>
      <c r="B198" t="s">
        <v>23</v>
      </c>
      <c r="C198" s="1">
        <v>44690</v>
      </c>
      <c r="D198" s="1">
        <v>44703</v>
      </c>
      <c r="E198" t="s">
        <v>21</v>
      </c>
      <c r="F198" t="s">
        <v>18</v>
      </c>
      <c r="G198">
        <v>613</v>
      </c>
      <c r="H198">
        <v>52.5</v>
      </c>
      <c r="I198">
        <v>45.19</v>
      </c>
      <c r="J198">
        <v>70</v>
      </c>
      <c r="K198" t="s">
        <v>15</v>
      </c>
    </row>
    <row r="199" spans="1:11" x14ac:dyDescent="0.25">
      <c r="A199" t="s">
        <v>224</v>
      </c>
      <c r="B199" t="s">
        <v>12</v>
      </c>
      <c r="C199" s="1">
        <v>44693</v>
      </c>
      <c r="D199" s="1">
        <v>44701</v>
      </c>
      <c r="E199" t="s">
        <v>13</v>
      </c>
      <c r="F199" t="s">
        <v>18</v>
      </c>
      <c r="G199">
        <v>1070</v>
      </c>
      <c r="H199">
        <v>29.14</v>
      </c>
      <c r="I199">
        <v>26.63</v>
      </c>
      <c r="J199">
        <v>24</v>
      </c>
      <c r="K199" t="s">
        <v>15</v>
      </c>
    </row>
    <row r="200" spans="1:11" x14ac:dyDescent="0.25">
      <c r="A200" t="s">
        <v>225</v>
      </c>
      <c r="B200" t="s">
        <v>20</v>
      </c>
      <c r="C200" s="1">
        <v>45237</v>
      </c>
      <c r="D200" s="1">
        <v>45256</v>
      </c>
      <c r="E200" t="s">
        <v>26</v>
      </c>
      <c r="F200" t="s">
        <v>33</v>
      </c>
      <c r="G200">
        <v>145</v>
      </c>
      <c r="H200">
        <v>47.49</v>
      </c>
      <c r="I200">
        <v>42.76</v>
      </c>
      <c r="J200">
        <v>6</v>
      </c>
      <c r="K200" t="s">
        <v>15</v>
      </c>
    </row>
    <row r="201" spans="1:11" x14ac:dyDescent="0.25">
      <c r="A201" t="s">
        <v>226</v>
      </c>
      <c r="B201" t="s">
        <v>17</v>
      </c>
      <c r="C201" s="1">
        <v>45048</v>
      </c>
      <c r="D201" s="1">
        <v>45063</v>
      </c>
      <c r="E201" t="s">
        <v>26</v>
      </c>
      <c r="F201" t="s">
        <v>18</v>
      </c>
      <c r="G201">
        <v>1973</v>
      </c>
      <c r="H201">
        <v>59.73</v>
      </c>
      <c r="I201">
        <v>54.95</v>
      </c>
      <c r="J201">
        <v>291</v>
      </c>
      <c r="K201" t="s">
        <v>15</v>
      </c>
    </row>
    <row r="202" spans="1:11" x14ac:dyDescent="0.25">
      <c r="A202" t="s">
        <v>227</v>
      </c>
      <c r="B202" t="s">
        <v>29</v>
      </c>
      <c r="C202" s="1">
        <v>45124</v>
      </c>
      <c r="D202" s="1">
        <v>45139</v>
      </c>
      <c r="E202" t="s">
        <v>13</v>
      </c>
      <c r="F202" t="s">
        <v>18</v>
      </c>
      <c r="G202">
        <v>1807</v>
      </c>
      <c r="H202">
        <v>78.63</v>
      </c>
      <c r="I202">
        <v>73.08</v>
      </c>
      <c r="J202">
        <v>100</v>
      </c>
      <c r="K202" t="s">
        <v>15</v>
      </c>
    </row>
    <row r="203" spans="1:11" x14ac:dyDescent="0.25">
      <c r="A203" t="s">
        <v>228</v>
      </c>
      <c r="B203" t="s">
        <v>29</v>
      </c>
      <c r="C203" s="1">
        <v>44731</v>
      </c>
      <c r="D203" s="1">
        <v>44732</v>
      </c>
      <c r="E203" t="s">
        <v>39</v>
      </c>
      <c r="F203" t="s">
        <v>18</v>
      </c>
      <c r="G203">
        <v>534</v>
      </c>
      <c r="H203">
        <v>13.88</v>
      </c>
      <c r="I203">
        <v>12.51</v>
      </c>
      <c r="J203">
        <v>100</v>
      </c>
      <c r="K203" t="s">
        <v>15</v>
      </c>
    </row>
    <row r="204" spans="1:11" x14ac:dyDescent="0.25">
      <c r="A204" t="s">
        <v>229</v>
      </c>
      <c r="B204" t="s">
        <v>12</v>
      </c>
      <c r="C204" s="1">
        <v>44833</v>
      </c>
      <c r="D204" s="1">
        <v>44848</v>
      </c>
      <c r="E204" t="s">
        <v>39</v>
      </c>
      <c r="F204" t="s">
        <v>18</v>
      </c>
      <c r="G204">
        <v>1480</v>
      </c>
      <c r="H204">
        <v>85.22</v>
      </c>
      <c r="I204">
        <v>75.48</v>
      </c>
      <c r="J204">
        <v>100</v>
      </c>
      <c r="K204" t="s">
        <v>15</v>
      </c>
    </row>
    <row r="205" spans="1:11" x14ac:dyDescent="0.25">
      <c r="A205" t="s">
        <v>230</v>
      </c>
      <c r="B205" t="s">
        <v>12</v>
      </c>
      <c r="C205" s="1">
        <v>45102</v>
      </c>
      <c r="E205" t="s">
        <v>13</v>
      </c>
      <c r="F205" t="s">
        <v>18</v>
      </c>
      <c r="G205">
        <v>280</v>
      </c>
      <c r="H205">
        <v>72.16</v>
      </c>
      <c r="I205">
        <v>62.38</v>
      </c>
      <c r="J205">
        <v>100</v>
      </c>
      <c r="K205" t="s">
        <v>15</v>
      </c>
    </row>
    <row r="206" spans="1:11" x14ac:dyDescent="0.25">
      <c r="A206" t="s">
        <v>231</v>
      </c>
      <c r="B206" t="s">
        <v>23</v>
      </c>
      <c r="C206" s="1">
        <v>45183</v>
      </c>
      <c r="D206" s="1">
        <v>45189</v>
      </c>
      <c r="E206" t="s">
        <v>13</v>
      </c>
      <c r="F206" t="s">
        <v>14</v>
      </c>
      <c r="G206">
        <v>798</v>
      </c>
      <c r="H206">
        <v>19.09</v>
      </c>
      <c r="I206">
        <v>17.760000000000002</v>
      </c>
      <c r="J206">
        <v>100</v>
      </c>
      <c r="K206" t="s">
        <v>15</v>
      </c>
    </row>
    <row r="207" spans="1:11" x14ac:dyDescent="0.25">
      <c r="A207" t="s">
        <v>232</v>
      </c>
      <c r="B207" t="s">
        <v>29</v>
      </c>
      <c r="C207" s="1">
        <v>44995</v>
      </c>
      <c r="D207" s="1">
        <v>45007</v>
      </c>
      <c r="E207" t="s">
        <v>39</v>
      </c>
      <c r="F207" t="s">
        <v>18</v>
      </c>
      <c r="G207">
        <v>1728</v>
      </c>
      <c r="H207">
        <v>94.83</v>
      </c>
      <c r="I207">
        <v>90.2</v>
      </c>
      <c r="J207">
        <v>100</v>
      </c>
      <c r="K207" t="s">
        <v>15</v>
      </c>
    </row>
    <row r="208" spans="1:11" x14ac:dyDescent="0.25">
      <c r="A208" t="s">
        <v>233</v>
      </c>
      <c r="B208" t="s">
        <v>29</v>
      </c>
      <c r="C208" s="1">
        <v>44778</v>
      </c>
      <c r="E208" t="s">
        <v>21</v>
      </c>
      <c r="F208" t="s">
        <v>18</v>
      </c>
      <c r="G208">
        <v>1244</v>
      </c>
      <c r="H208">
        <v>96.13</v>
      </c>
      <c r="I208">
        <v>84.78</v>
      </c>
      <c r="J208">
        <v>43</v>
      </c>
      <c r="K208" t="s">
        <v>15</v>
      </c>
    </row>
    <row r="209" spans="1:11" x14ac:dyDescent="0.25">
      <c r="A209" t="s">
        <v>234</v>
      </c>
      <c r="B209" t="s">
        <v>23</v>
      </c>
      <c r="C209" s="1">
        <v>45114</v>
      </c>
      <c r="D209" s="1">
        <v>45128</v>
      </c>
      <c r="E209" t="s">
        <v>13</v>
      </c>
      <c r="F209" t="s">
        <v>18</v>
      </c>
      <c r="G209">
        <v>590</v>
      </c>
      <c r="H209">
        <v>16.89</v>
      </c>
      <c r="I209">
        <v>15.56</v>
      </c>
      <c r="J209">
        <v>46</v>
      </c>
      <c r="K209" t="s">
        <v>27</v>
      </c>
    </row>
    <row r="210" spans="1:11" x14ac:dyDescent="0.25">
      <c r="A210" t="s">
        <v>235</v>
      </c>
      <c r="B210" t="s">
        <v>17</v>
      </c>
      <c r="C210" s="1">
        <v>45268</v>
      </c>
      <c r="D210" s="1">
        <v>45283</v>
      </c>
      <c r="E210" t="s">
        <v>24</v>
      </c>
      <c r="F210" t="s">
        <v>18</v>
      </c>
      <c r="G210">
        <v>1109</v>
      </c>
      <c r="H210">
        <v>38.93</v>
      </c>
      <c r="I210">
        <v>33.33</v>
      </c>
      <c r="J210">
        <v>152</v>
      </c>
      <c r="K210" t="s">
        <v>15</v>
      </c>
    </row>
    <row r="211" spans="1:11" x14ac:dyDescent="0.25">
      <c r="A211" t="s">
        <v>236</v>
      </c>
      <c r="B211" t="s">
        <v>23</v>
      </c>
      <c r="C211" s="1">
        <v>44767</v>
      </c>
      <c r="D211" s="1">
        <v>44774</v>
      </c>
      <c r="E211" t="s">
        <v>21</v>
      </c>
      <c r="F211" t="s">
        <v>18</v>
      </c>
      <c r="G211">
        <v>574</v>
      </c>
      <c r="H211">
        <v>85.03</v>
      </c>
      <c r="I211">
        <v>82.55</v>
      </c>
      <c r="J211">
        <v>54</v>
      </c>
      <c r="K211" t="s">
        <v>15</v>
      </c>
    </row>
    <row r="212" spans="1:11" x14ac:dyDescent="0.25">
      <c r="A212" t="s">
        <v>237</v>
      </c>
      <c r="B212" t="s">
        <v>20</v>
      </c>
      <c r="C212" s="1">
        <v>45292</v>
      </c>
      <c r="E212" t="s">
        <v>13</v>
      </c>
      <c r="F212" t="s">
        <v>18</v>
      </c>
      <c r="G212">
        <v>1233</v>
      </c>
      <c r="H212">
        <v>86.62</v>
      </c>
      <c r="I212">
        <v>76.59</v>
      </c>
      <c r="J212">
        <v>65</v>
      </c>
      <c r="K212" t="s">
        <v>15</v>
      </c>
    </row>
    <row r="213" spans="1:11" x14ac:dyDescent="0.25">
      <c r="A213" t="s">
        <v>238</v>
      </c>
      <c r="B213" t="s">
        <v>20</v>
      </c>
      <c r="C213" s="1">
        <v>44881</v>
      </c>
      <c r="D213" s="1">
        <v>44885</v>
      </c>
      <c r="E213" t="s">
        <v>24</v>
      </c>
      <c r="F213" t="s">
        <v>18</v>
      </c>
      <c r="G213">
        <v>1912</v>
      </c>
      <c r="H213">
        <v>27.94</v>
      </c>
      <c r="I213">
        <v>25.59</v>
      </c>
      <c r="J213">
        <v>83</v>
      </c>
      <c r="K213" t="s">
        <v>27</v>
      </c>
    </row>
    <row r="214" spans="1:11" x14ac:dyDescent="0.25">
      <c r="A214" t="s">
        <v>239</v>
      </c>
      <c r="B214" t="s">
        <v>12</v>
      </c>
      <c r="C214" s="1">
        <v>44970</v>
      </c>
      <c r="D214" s="1">
        <v>44989</v>
      </c>
      <c r="E214" t="s">
        <v>24</v>
      </c>
      <c r="F214" t="s">
        <v>18</v>
      </c>
      <c r="G214">
        <v>1772</v>
      </c>
      <c r="H214">
        <v>30.72</v>
      </c>
      <c r="I214">
        <v>27.76</v>
      </c>
      <c r="J214">
        <v>46</v>
      </c>
      <c r="K214" t="s">
        <v>27</v>
      </c>
    </row>
    <row r="215" spans="1:11" x14ac:dyDescent="0.25">
      <c r="A215" t="s">
        <v>240</v>
      </c>
      <c r="B215" t="s">
        <v>23</v>
      </c>
      <c r="C215" s="1">
        <v>45249</v>
      </c>
      <c r="D215" s="1">
        <v>45259</v>
      </c>
      <c r="E215" t="s">
        <v>13</v>
      </c>
      <c r="F215" t="s">
        <v>18</v>
      </c>
      <c r="G215">
        <v>1316</v>
      </c>
      <c r="H215">
        <v>48.11</v>
      </c>
      <c r="I215">
        <v>41.9</v>
      </c>
      <c r="J215">
        <v>135</v>
      </c>
      <c r="K215" t="s">
        <v>15</v>
      </c>
    </row>
    <row r="216" spans="1:11" x14ac:dyDescent="0.25">
      <c r="A216" t="s">
        <v>241</v>
      </c>
      <c r="B216" t="s">
        <v>23</v>
      </c>
      <c r="C216" s="1">
        <v>45227</v>
      </c>
      <c r="E216" t="s">
        <v>13</v>
      </c>
      <c r="F216" t="s">
        <v>18</v>
      </c>
      <c r="G216">
        <v>1159</v>
      </c>
      <c r="H216">
        <v>59.24</v>
      </c>
      <c r="I216">
        <v>58.08</v>
      </c>
      <c r="K216" t="s">
        <v>15</v>
      </c>
    </row>
    <row r="217" spans="1:11" x14ac:dyDescent="0.25">
      <c r="A217" t="s">
        <v>242</v>
      </c>
      <c r="B217" t="s">
        <v>12</v>
      </c>
      <c r="C217" s="1">
        <v>44944</v>
      </c>
      <c r="D217" s="1">
        <v>44957</v>
      </c>
      <c r="E217" t="s">
        <v>13</v>
      </c>
      <c r="F217" t="s">
        <v>18</v>
      </c>
      <c r="G217">
        <v>1869</v>
      </c>
      <c r="H217">
        <v>69.58</v>
      </c>
      <c r="I217">
        <v>67.5</v>
      </c>
      <c r="J217">
        <v>31</v>
      </c>
      <c r="K217" t="s">
        <v>15</v>
      </c>
    </row>
    <row r="218" spans="1:11" x14ac:dyDescent="0.25">
      <c r="A218" t="s">
        <v>243</v>
      </c>
      <c r="B218" t="s">
        <v>17</v>
      </c>
      <c r="C218" s="1">
        <v>45010</v>
      </c>
      <c r="D218" s="1">
        <v>45029</v>
      </c>
      <c r="E218" t="s">
        <v>24</v>
      </c>
      <c r="F218" t="s">
        <v>18</v>
      </c>
      <c r="G218">
        <v>627</v>
      </c>
      <c r="H218">
        <v>46.23</v>
      </c>
      <c r="I218">
        <v>42.87</v>
      </c>
      <c r="K218" t="s">
        <v>15</v>
      </c>
    </row>
    <row r="219" spans="1:11" x14ac:dyDescent="0.25">
      <c r="A219" t="s">
        <v>244</v>
      </c>
      <c r="B219" t="s">
        <v>23</v>
      </c>
      <c r="C219" s="1">
        <v>45091</v>
      </c>
      <c r="D219" s="1">
        <v>45093</v>
      </c>
      <c r="E219" t="s">
        <v>26</v>
      </c>
      <c r="F219" t="s">
        <v>35</v>
      </c>
      <c r="G219">
        <v>731</v>
      </c>
      <c r="H219">
        <v>56.02</v>
      </c>
      <c r="I219">
        <v>54.78</v>
      </c>
      <c r="J219">
        <v>70</v>
      </c>
      <c r="K219" t="s">
        <v>27</v>
      </c>
    </row>
    <row r="220" spans="1:11" x14ac:dyDescent="0.25">
      <c r="A220" t="s">
        <v>245</v>
      </c>
      <c r="B220" t="s">
        <v>29</v>
      </c>
      <c r="C220" s="1">
        <v>45024</v>
      </c>
      <c r="E220" t="s">
        <v>13</v>
      </c>
      <c r="F220" t="s">
        <v>14</v>
      </c>
      <c r="G220">
        <v>606</v>
      </c>
      <c r="H220">
        <v>83.07</v>
      </c>
      <c r="I220">
        <v>79.22</v>
      </c>
      <c r="J220">
        <v>16</v>
      </c>
      <c r="K220" t="s">
        <v>15</v>
      </c>
    </row>
    <row r="221" spans="1:11" x14ac:dyDescent="0.25">
      <c r="A221" t="s">
        <v>246</v>
      </c>
      <c r="B221" t="s">
        <v>23</v>
      </c>
      <c r="C221" s="1">
        <v>44685</v>
      </c>
      <c r="D221" s="1">
        <v>44695</v>
      </c>
      <c r="E221" t="s">
        <v>13</v>
      </c>
      <c r="F221" t="s">
        <v>18</v>
      </c>
      <c r="G221">
        <v>1647</v>
      </c>
      <c r="H221">
        <v>13.57</v>
      </c>
      <c r="I221">
        <v>12.33</v>
      </c>
      <c r="J221">
        <v>157</v>
      </c>
      <c r="K221" t="s">
        <v>15</v>
      </c>
    </row>
    <row r="222" spans="1:11" x14ac:dyDescent="0.25">
      <c r="A222" t="s">
        <v>247</v>
      </c>
      <c r="B222" t="s">
        <v>17</v>
      </c>
      <c r="C222" s="1">
        <v>44815</v>
      </c>
      <c r="D222" s="1">
        <v>44823</v>
      </c>
      <c r="E222" t="s">
        <v>21</v>
      </c>
      <c r="F222" t="s">
        <v>18</v>
      </c>
      <c r="G222">
        <v>1062</v>
      </c>
      <c r="H222">
        <v>34.03</v>
      </c>
      <c r="I222">
        <v>30.46</v>
      </c>
      <c r="K222" t="s">
        <v>15</v>
      </c>
    </row>
    <row r="223" spans="1:11" x14ac:dyDescent="0.25">
      <c r="A223" t="s">
        <v>248</v>
      </c>
      <c r="B223" t="s">
        <v>23</v>
      </c>
      <c r="C223" s="1">
        <v>44792</v>
      </c>
      <c r="D223" s="1">
        <v>44804</v>
      </c>
      <c r="E223" t="s">
        <v>13</v>
      </c>
      <c r="F223" t="s">
        <v>18</v>
      </c>
      <c r="G223">
        <v>695</v>
      </c>
      <c r="H223">
        <v>76.8</v>
      </c>
      <c r="I223">
        <v>69.760000000000005</v>
      </c>
      <c r="K223" t="s">
        <v>27</v>
      </c>
    </row>
    <row r="224" spans="1:11" x14ac:dyDescent="0.25">
      <c r="A224" t="s">
        <v>249</v>
      </c>
      <c r="B224" t="s">
        <v>29</v>
      </c>
      <c r="C224" s="1">
        <v>44627</v>
      </c>
      <c r="D224" s="1">
        <v>44634</v>
      </c>
      <c r="E224" t="s">
        <v>21</v>
      </c>
      <c r="F224" t="s">
        <v>18</v>
      </c>
      <c r="G224">
        <v>845</v>
      </c>
      <c r="H224">
        <v>91.47</v>
      </c>
      <c r="I224">
        <v>86.97</v>
      </c>
      <c r="K224" t="s">
        <v>15</v>
      </c>
    </row>
    <row r="225" spans="1:11" x14ac:dyDescent="0.25">
      <c r="A225" t="s">
        <v>250</v>
      </c>
      <c r="B225" t="s">
        <v>20</v>
      </c>
      <c r="C225" s="1">
        <v>44908</v>
      </c>
      <c r="D225" s="1">
        <v>44913</v>
      </c>
      <c r="E225" t="s">
        <v>21</v>
      </c>
      <c r="F225" t="s">
        <v>18</v>
      </c>
      <c r="G225">
        <v>1101</v>
      </c>
      <c r="H225">
        <v>59.13</v>
      </c>
      <c r="I225">
        <v>52.51</v>
      </c>
      <c r="J225">
        <v>54</v>
      </c>
      <c r="K225" t="s">
        <v>15</v>
      </c>
    </row>
    <row r="226" spans="1:11" x14ac:dyDescent="0.25">
      <c r="A226" t="s">
        <v>251</v>
      </c>
      <c r="B226" t="s">
        <v>20</v>
      </c>
      <c r="C226" s="1">
        <v>44583</v>
      </c>
      <c r="D226" s="1">
        <v>44585</v>
      </c>
      <c r="E226" t="s">
        <v>26</v>
      </c>
      <c r="F226" t="s">
        <v>18</v>
      </c>
      <c r="G226">
        <v>1693</v>
      </c>
      <c r="H226">
        <v>57.89</v>
      </c>
      <c r="I226">
        <v>49.84</v>
      </c>
      <c r="J226">
        <v>88</v>
      </c>
      <c r="K226" t="s">
        <v>15</v>
      </c>
    </row>
    <row r="227" spans="1:11" x14ac:dyDescent="0.25">
      <c r="A227" t="s">
        <v>252</v>
      </c>
      <c r="B227" t="s">
        <v>17</v>
      </c>
      <c r="C227" s="1">
        <v>45164</v>
      </c>
      <c r="D227" s="1">
        <v>45179</v>
      </c>
      <c r="E227" t="s">
        <v>13</v>
      </c>
      <c r="F227" t="s">
        <v>14</v>
      </c>
      <c r="G227">
        <v>1629</v>
      </c>
      <c r="H227">
        <v>21.51</v>
      </c>
      <c r="I227">
        <v>19.41</v>
      </c>
      <c r="J227">
        <v>250</v>
      </c>
      <c r="K227" t="s">
        <v>27</v>
      </c>
    </row>
    <row r="228" spans="1:11" x14ac:dyDescent="0.25">
      <c r="A228" t="s">
        <v>253</v>
      </c>
      <c r="B228" t="s">
        <v>17</v>
      </c>
      <c r="C228" s="1">
        <v>45129</v>
      </c>
      <c r="D228" s="1">
        <v>45141</v>
      </c>
      <c r="E228" t="s">
        <v>26</v>
      </c>
      <c r="F228" t="s">
        <v>18</v>
      </c>
      <c r="G228">
        <v>1413</v>
      </c>
      <c r="H228">
        <v>54.79</v>
      </c>
      <c r="I228">
        <v>50.42</v>
      </c>
      <c r="K228" t="s">
        <v>15</v>
      </c>
    </row>
    <row r="229" spans="1:11" x14ac:dyDescent="0.25">
      <c r="A229" t="s">
        <v>254</v>
      </c>
      <c r="B229" t="s">
        <v>29</v>
      </c>
      <c r="C229" s="1">
        <v>44797</v>
      </c>
      <c r="D229" s="1">
        <v>44800</v>
      </c>
      <c r="E229" t="s">
        <v>24</v>
      </c>
      <c r="F229" t="s">
        <v>18</v>
      </c>
      <c r="G229">
        <v>1871</v>
      </c>
      <c r="H229">
        <v>59.96</v>
      </c>
      <c r="I229">
        <v>58.54</v>
      </c>
      <c r="J229">
        <v>47</v>
      </c>
      <c r="K229" t="s">
        <v>15</v>
      </c>
    </row>
    <row r="230" spans="1:11" x14ac:dyDescent="0.25">
      <c r="A230" t="s">
        <v>255</v>
      </c>
      <c r="B230" t="s">
        <v>20</v>
      </c>
      <c r="C230" s="1">
        <v>45164</v>
      </c>
      <c r="E230" t="s">
        <v>26</v>
      </c>
      <c r="F230" t="s">
        <v>18</v>
      </c>
      <c r="G230">
        <v>1404</v>
      </c>
      <c r="H230">
        <v>34.85</v>
      </c>
      <c r="I230">
        <v>30.5</v>
      </c>
      <c r="J230">
        <v>78</v>
      </c>
      <c r="K230" t="s">
        <v>15</v>
      </c>
    </row>
    <row r="231" spans="1:11" x14ac:dyDescent="0.25">
      <c r="A231" t="s">
        <v>256</v>
      </c>
      <c r="B231" t="s">
        <v>20</v>
      </c>
      <c r="C231" s="1">
        <v>44787</v>
      </c>
      <c r="D231" s="1">
        <v>44801</v>
      </c>
      <c r="E231" t="s">
        <v>39</v>
      </c>
      <c r="F231" t="s">
        <v>18</v>
      </c>
      <c r="G231">
        <v>1713</v>
      </c>
      <c r="H231">
        <v>35.43</v>
      </c>
      <c r="I231">
        <v>34.11</v>
      </c>
      <c r="J231">
        <v>74</v>
      </c>
      <c r="K231" t="s">
        <v>15</v>
      </c>
    </row>
    <row r="232" spans="1:11" x14ac:dyDescent="0.25">
      <c r="A232" t="s">
        <v>257</v>
      </c>
      <c r="B232" t="s">
        <v>20</v>
      </c>
      <c r="C232" s="1">
        <v>44569</v>
      </c>
      <c r="D232" s="1">
        <v>44574</v>
      </c>
      <c r="E232" t="s">
        <v>39</v>
      </c>
      <c r="F232" t="s">
        <v>18</v>
      </c>
      <c r="G232">
        <v>1579</v>
      </c>
      <c r="H232">
        <v>43.96</v>
      </c>
      <c r="I232">
        <v>43.41</v>
      </c>
      <c r="J232">
        <v>74</v>
      </c>
      <c r="K232" t="s">
        <v>15</v>
      </c>
    </row>
    <row r="233" spans="1:11" x14ac:dyDescent="0.25">
      <c r="A233" t="s">
        <v>258</v>
      </c>
      <c r="B233" t="s">
        <v>20</v>
      </c>
      <c r="C233" s="1">
        <v>44634</v>
      </c>
      <c r="D233" s="1">
        <v>44646</v>
      </c>
      <c r="E233" t="s">
        <v>39</v>
      </c>
      <c r="F233" t="s">
        <v>18</v>
      </c>
      <c r="G233">
        <v>1421</v>
      </c>
      <c r="H233">
        <v>11.92</v>
      </c>
      <c r="I233">
        <v>11.72</v>
      </c>
      <c r="J233">
        <v>76</v>
      </c>
      <c r="K233" t="s">
        <v>15</v>
      </c>
    </row>
    <row r="234" spans="1:11" x14ac:dyDescent="0.25">
      <c r="A234" t="s">
        <v>259</v>
      </c>
      <c r="B234" t="s">
        <v>29</v>
      </c>
      <c r="C234" s="1">
        <v>45286</v>
      </c>
      <c r="D234" s="1">
        <v>45295</v>
      </c>
      <c r="E234" t="s">
        <v>21</v>
      </c>
      <c r="F234" t="s">
        <v>18</v>
      </c>
      <c r="G234">
        <v>1546</v>
      </c>
      <c r="H234">
        <v>43.47</v>
      </c>
      <c r="I234">
        <v>37.369999999999997</v>
      </c>
      <c r="J234">
        <v>53</v>
      </c>
      <c r="K234" t="s">
        <v>15</v>
      </c>
    </row>
    <row r="235" spans="1:11" x14ac:dyDescent="0.25">
      <c r="A235" t="s">
        <v>260</v>
      </c>
      <c r="B235" t="s">
        <v>17</v>
      </c>
      <c r="C235" s="1">
        <v>45208</v>
      </c>
      <c r="D235" s="1">
        <v>45217</v>
      </c>
      <c r="E235" t="s">
        <v>39</v>
      </c>
      <c r="F235" t="s">
        <v>18</v>
      </c>
      <c r="G235">
        <v>1304</v>
      </c>
      <c r="H235">
        <v>32.08</v>
      </c>
      <c r="I235">
        <v>29.36</v>
      </c>
      <c r="K235" t="s">
        <v>15</v>
      </c>
    </row>
    <row r="236" spans="1:11" x14ac:dyDescent="0.25">
      <c r="A236" t="s">
        <v>261</v>
      </c>
      <c r="B236" t="s">
        <v>17</v>
      </c>
      <c r="C236" s="1">
        <v>44622</v>
      </c>
      <c r="E236" t="s">
        <v>26</v>
      </c>
      <c r="F236" t="s">
        <v>18</v>
      </c>
      <c r="G236">
        <v>239</v>
      </c>
      <c r="H236">
        <v>39.869999999999997</v>
      </c>
      <c r="I236">
        <v>35.47</v>
      </c>
      <c r="J236">
        <v>32</v>
      </c>
      <c r="K236" t="s">
        <v>15</v>
      </c>
    </row>
    <row r="237" spans="1:11" x14ac:dyDescent="0.25">
      <c r="A237" t="s">
        <v>262</v>
      </c>
      <c r="B237" t="s">
        <v>12</v>
      </c>
      <c r="C237" s="1">
        <v>44796</v>
      </c>
      <c r="E237" t="s">
        <v>13</v>
      </c>
      <c r="F237" t="s">
        <v>18</v>
      </c>
      <c r="G237">
        <v>1298</v>
      </c>
      <c r="H237">
        <v>21.51</v>
      </c>
      <c r="I237">
        <v>20.83</v>
      </c>
      <c r="K237" t="s">
        <v>15</v>
      </c>
    </row>
    <row r="238" spans="1:11" x14ac:dyDescent="0.25">
      <c r="A238" t="s">
        <v>263</v>
      </c>
      <c r="B238" t="s">
        <v>17</v>
      </c>
      <c r="C238" s="1">
        <v>44631</v>
      </c>
      <c r="E238" t="s">
        <v>21</v>
      </c>
      <c r="F238" t="s">
        <v>18</v>
      </c>
      <c r="G238">
        <v>1458</v>
      </c>
      <c r="H238">
        <v>91.05</v>
      </c>
      <c r="I238">
        <v>81.56</v>
      </c>
      <c r="J238">
        <v>220</v>
      </c>
      <c r="K238" t="s">
        <v>15</v>
      </c>
    </row>
    <row r="239" spans="1:11" x14ac:dyDescent="0.25">
      <c r="A239" t="s">
        <v>264</v>
      </c>
      <c r="B239" t="s">
        <v>20</v>
      </c>
      <c r="C239" s="1">
        <v>44594</v>
      </c>
      <c r="D239" s="1">
        <v>44605</v>
      </c>
      <c r="E239" t="s">
        <v>21</v>
      </c>
      <c r="F239" t="s">
        <v>18</v>
      </c>
      <c r="G239">
        <v>1450</v>
      </c>
      <c r="H239">
        <v>63.74</v>
      </c>
      <c r="I239">
        <v>59.11</v>
      </c>
      <c r="J239">
        <v>71</v>
      </c>
      <c r="K239" t="s">
        <v>15</v>
      </c>
    </row>
    <row r="240" spans="1:11" x14ac:dyDescent="0.25">
      <c r="A240" t="s">
        <v>265</v>
      </c>
      <c r="B240" t="s">
        <v>23</v>
      </c>
      <c r="C240" s="1">
        <v>44900</v>
      </c>
      <c r="D240" s="1">
        <v>44915</v>
      </c>
      <c r="E240" t="s">
        <v>39</v>
      </c>
      <c r="F240" t="s">
        <v>18</v>
      </c>
      <c r="G240">
        <v>1356</v>
      </c>
      <c r="H240">
        <v>75.03</v>
      </c>
      <c r="I240">
        <v>63.86</v>
      </c>
      <c r="J240">
        <v>131</v>
      </c>
      <c r="K240" t="s">
        <v>15</v>
      </c>
    </row>
    <row r="241" spans="1:11" x14ac:dyDescent="0.25">
      <c r="A241" t="s">
        <v>266</v>
      </c>
      <c r="B241" t="s">
        <v>20</v>
      </c>
      <c r="C241" s="1">
        <v>44634</v>
      </c>
      <c r="E241" t="s">
        <v>24</v>
      </c>
      <c r="F241" t="s">
        <v>18</v>
      </c>
      <c r="G241">
        <v>682</v>
      </c>
      <c r="H241">
        <v>81.84</v>
      </c>
      <c r="I241">
        <v>71.86</v>
      </c>
      <c r="J241">
        <v>40</v>
      </c>
      <c r="K241" t="s">
        <v>15</v>
      </c>
    </row>
    <row r="242" spans="1:11" x14ac:dyDescent="0.25">
      <c r="A242" t="s">
        <v>267</v>
      </c>
      <c r="B242" t="s">
        <v>20</v>
      </c>
      <c r="C242" s="1">
        <v>45088</v>
      </c>
      <c r="D242" s="1">
        <v>45096</v>
      </c>
      <c r="E242" t="s">
        <v>24</v>
      </c>
      <c r="F242" t="s">
        <v>18</v>
      </c>
      <c r="G242">
        <v>677</v>
      </c>
      <c r="H242">
        <v>59.52</v>
      </c>
      <c r="I242">
        <v>55.29</v>
      </c>
      <c r="J242">
        <v>39</v>
      </c>
      <c r="K242" t="s">
        <v>15</v>
      </c>
    </row>
    <row r="243" spans="1:11" x14ac:dyDescent="0.25">
      <c r="A243" t="s">
        <v>268</v>
      </c>
      <c r="B243" t="s">
        <v>17</v>
      </c>
      <c r="C243" s="1">
        <v>44805</v>
      </c>
      <c r="D243" s="1">
        <v>44818</v>
      </c>
      <c r="E243" t="s">
        <v>13</v>
      </c>
      <c r="F243" t="s">
        <v>18</v>
      </c>
      <c r="G243">
        <v>1022</v>
      </c>
      <c r="H243">
        <v>18.54</v>
      </c>
      <c r="I243">
        <v>16.55</v>
      </c>
      <c r="J243">
        <v>150</v>
      </c>
      <c r="K243" t="s">
        <v>15</v>
      </c>
    </row>
    <row r="244" spans="1:11" x14ac:dyDescent="0.25">
      <c r="A244" t="s">
        <v>269</v>
      </c>
      <c r="B244" t="s">
        <v>12</v>
      </c>
      <c r="C244" s="1">
        <v>44847</v>
      </c>
      <c r="E244" t="s">
        <v>26</v>
      </c>
      <c r="F244" t="s">
        <v>18</v>
      </c>
      <c r="G244">
        <v>1818</v>
      </c>
      <c r="H244">
        <v>60.96</v>
      </c>
      <c r="I244">
        <v>57.13</v>
      </c>
      <c r="J244">
        <v>41</v>
      </c>
      <c r="K244" t="s">
        <v>15</v>
      </c>
    </row>
    <row r="245" spans="1:11" x14ac:dyDescent="0.25">
      <c r="A245" t="s">
        <v>270</v>
      </c>
      <c r="B245" t="s">
        <v>29</v>
      </c>
      <c r="C245" s="1">
        <v>45247</v>
      </c>
      <c r="D245" s="1">
        <v>45259</v>
      </c>
      <c r="E245" t="s">
        <v>39</v>
      </c>
      <c r="F245" t="s">
        <v>18</v>
      </c>
      <c r="G245">
        <v>1332</v>
      </c>
      <c r="H245">
        <v>69.73</v>
      </c>
      <c r="I245">
        <v>63.8</v>
      </c>
      <c r="J245">
        <v>41</v>
      </c>
      <c r="K245" t="s">
        <v>15</v>
      </c>
    </row>
    <row r="246" spans="1:11" x14ac:dyDescent="0.25">
      <c r="A246" t="s">
        <v>271</v>
      </c>
      <c r="B246" t="s">
        <v>23</v>
      </c>
      <c r="C246" s="1">
        <v>45059</v>
      </c>
      <c r="D246" s="1">
        <v>45072</v>
      </c>
      <c r="E246" t="s">
        <v>26</v>
      </c>
      <c r="F246" t="s">
        <v>18</v>
      </c>
      <c r="G246">
        <v>1432</v>
      </c>
      <c r="H246">
        <v>83.26</v>
      </c>
      <c r="I246">
        <v>77.67</v>
      </c>
      <c r="J246">
        <v>174</v>
      </c>
      <c r="K246" t="s">
        <v>15</v>
      </c>
    </row>
    <row r="247" spans="1:11" x14ac:dyDescent="0.25">
      <c r="A247" t="s">
        <v>272</v>
      </c>
      <c r="B247" t="s">
        <v>23</v>
      </c>
      <c r="C247" s="1">
        <v>44781</v>
      </c>
      <c r="D247" s="1">
        <v>44799</v>
      </c>
      <c r="E247" t="s">
        <v>24</v>
      </c>
      <c r="F247" t="s">
        <v>35</v>
      </c>
      <c r="G247">
        <v>759</v>
      </c>
      <c r="H247">
        <v>50.56</v>
      </c>
      <c r="I247">
        <v>46.47</v>
      </c>
      <c r="J247">
        <v>63</v>
      </c>
      <c r="K247" t="s">
        <v>27</v>
      </c>
    </row>
    <row r="248" spans="1:11" x14ac:dyDescent="0.25">
      <c r="A248" t="s">
        <v>273</v>
      </c>
      <c r="B248" t="s">
        <v>12</v>
      </c>
      <c r="C248" s="1">
        <v>45114</v>
      </c>
      <c r="D248" s="1">
        <v>45126</v>
      </c>
      <c r="E248" t="s">
        <v>24</v>
      </c>
      <c r="F248" t="s">
        <v>18</v>
      </c>
      <c r="G248">
        <v>1529</v>
      </c>
      <c r="H248">
        <v>23.42</v>
      </c>
      <c r="I248">
        <v>22.44</v>
      </c>
      <c r="J248">
        <v>30</v>
      </c>
      <c r="K248" t="s">
        <v>15</v>
      </c>
    </row>
    <row r="249" spans="1:11" x14ac:dyDescent="0.25">
      <c r="A249" t="s">
        <v>274</v>
      </c>
      <c r="B249" t="s">
        <v>20</v>
      </c>
      <c r="C249" s="1">
        <v>44697</v>
      </c>
      <c r="D249" s="1">
        <v>44706</v>
      </c>
      <c r="E249" t="s">
        <v>39</v>
      </c>
      <c r="F249" t="s">
        <v>18</v>
      </c>
      <c r="G249">
        <v>1484</v>
      </c>
      <c r="H249">
        <v>36.25</v>
      </c>
      <c r="I249">
        <v>31.8</v>
      </c>
      <c r="J249">
        <v>61</v>
      </c>
      <c r="K249" t="s">
        <v>15</v>
      </c>
    </row>
    <row r="250" spans="1:11" x14ac:dyDescent="0.25">
      <c r="A250" t="s">
        <v>275</v>
      </c>
      <c r="B250" t="s">
        <v>29</v>
      </c>
      <c r="C250" s="1">
        <v>45146</v>
      </c>
      <c r="D250" s="1">
        <v>45158</v>
      </c>
      <c r="E250" t="s">
        <v>24</v>
      </c>
      <c r="F250" t="s">
        <v>18</v>
      </c>
      <c r="G250">
        <v>698</v>
      </c>
      <c r="H250">
        <v>46.73</v>
      </c>
      <c r="I250">
        <v>45.61</v>
      </c>
      <c r="J250">
        <v>15</v>
      </c>
      <c r="K250" t="s">
        <v>15</v>
      </c>
    </row>
    <row r="251" spans="1:11" x14ac:dyDescent="0.25">
      <c r="A251" t="s">
        <v>276</v>
      </c>
      <c r="B251" t="s">
        <v>29</v>
      </c>
      <c r="C251" s="1">
        <v>45152</v>
      </c>
      <c r="D251" s="1">
        <v>45160</v>
      </c>
      <c r="E251" t="s">
        <v>24</v>
      </c>
      <c r="F251" t="s">
        <v>35</v>
      </c>
      <c r="G251">
        <v>367</v>
      </c>
      <c r="H251">
        <v>74.61</v>
      </c>
      <c r="I251">
        <v>71.36</v>
      </c>
      <c r="J251">
        <v>13</v>
      </c>
      <c r="K251" t="s">
        <v>15</v>
      </c>
    </row>
    <row r="252" spans="1:11" x14ac:dyDescent="0.25">
      <c r="A252" t="s">
        <v>277</v>
      </c>
      <c r="B252" t="s">
        <v>29</v>
      </c>
      <c r="C252" s="1">
        <v>45046</v>
      </c>
      <c r="D252" s="1">
        <v>45066</v>
      </c>
      <c r="E252" t="s">
        <v>13</v>
      </c>
      <c r="F252" t="s">
        <v>33</v>
      </c>
      <c r="G252">
        <v>1750</v>
      </c>
      <c r="H252">
        <v>65.97</v>
      </c>
      <c r="I252">
        <v>58.34</v>
      </c>
      <c r="J252">
        <v>50</v>
      </c>
      <c r="K252" t="s">
        <v>15</v>
      </c>
    </row>
    <row r="253" spans="1:11" x14ac:dyDescent="0.25">
      <c r="A253" t="s">
        <v>278</v>
      </c>
      <c r="B253" t="s">
        <v>17</v>
      </c>
      <c r="C253" s="1">
        <v>44810</v>
      </c>
      <c r="D253" s="1">
        <v>44828</v>
      </c>
      <c r="E253" t="s">
        <v>13</v>
      </c>
      <c r="F253" t="s">
        <v>33</v>
      </c>
      <c r="G253">
        <v>1298</v>
      </c>
      <c r="H253">
        <v>43.73</v>
      </c>
      <c r="I253">
        <v>37.21</v>
      </c>
      <c r="K253" t="s">
        <v>27</v>
      </c>
    </row>
    <row r="254" spans="1:11" x14ac:dyDescent="0.25">
      <c r="A254" t="s">
        <v>279</v>
      </c>
      <c r="B254" t="s">
        <v>20</v>
      </c>
      <c r="C254" s="1">
        <v>45046</v>
      </c>
      <c r="D254" s="1">
        <v>45066</v>
      </c>
      <c r="E254" t="s">
        <v>24</v>
      </c>
      <c r="F254" t="s">
        <v>18</v>
      </c>
      <c r="G254">
        <v>1892</v>
      </c>
      <c r="H254">
        <v>106.2</v>
      </c>
      <c r="I254">
        <v>96.37</v>
      </c>
      <c r="J254">
        <v>93</v>
      </c>
      <c r="K254" t="s">
        <v>15</v>
      </c>
    </row>
    <row r="255" spans="1:11" x14ac:dyDescent="0.25">
      <c r="A255" t="s">
        <v>280</v>
      </c>
      <c r="B255" t="s">
        <v>23</v>
      </c>
      <c r="C255" s="1">
        <v>44978</v>
      </c>
      <c r="D255" s="1">
        <v>44981</v>
      </c>
      <c r="E255" t="s">
        <v>39</v>
      </c>
      <c r="F255" t="s">
        <v>18</v>
      </c>
      <c r="G255">
        <v>1307</v>
      </c>
      <c r="H255">
        <v>68.709999999999994</v>
      </c>
      <c r="I255">
        <v>60.64</v>
      </c>
      <c r="J255">
        <v>141</v>
      </c>
      <c r="K255" t="s">
        <v>15</v>
      </c>
    </row>
    <row r="256" spans="1:11" x14ac:dyDescent="0.25">
      <c r="A256" t="s">
        <v>281</v>
      </c>
      <c r="B256" t="s">
        <v>23</v>
      </c>
      <c r="C256" s="1">
        <v>44756</v>
      </c>
      <c r="D256" s="1">
        <v>44771</v>
      </c>
      <c r="E256" t="s">
        <v>39</v>
      </c>
      <c r="F256" t="s">
        <v>18</v>
      </c>
      <c r="G256">
        <v>733</v>
      </c>
      <c r="H256">
        <v>32.29</v>
      </c>
      <c r="I256">
        <v>29.01</v>
      </c>
      <c r="J256">
        <v>78</v>
      </c>
      <c r="K256" t="s">
        <v>15</v>
      </c>
    </row>
    <row r="257" spans="1:11" x14ac:dyDescent="0.25">
      <c r="A257" t="s">
        <v>282</v>
      </c>
      <c r="B257" t="s">
        <v>20</v>
      </c>
      <c r="C257" s="1">
        <v>44658</v>
      </c>
      <c r="E257" t="s">
        <v>24</v>
      </c>
      <c r="F257" t="s">
        <v>18</v>
      </c>
      <c r="G257">
        <v>713</v>
      </c>
      <c r="H257">
        <v>19.45</v>
      </c>
      <c r="I257">
        <v>18.82</v>
      </c>
      <c r="J257">
        <v>31</v>
      </c>
      <c r="K257" t="s">
        <v>15</v>
      </c>
    </row>
    <row r="258" spans="1:11" x14ac:dyDescent="0.25">
      <c r="A258" t="s">
        <v>283</v>
      </c>
      <c r="B258" t="s">
        <v>23</v>
      </c>
      <c r="C258" s="1">
        <v>44661</v>
      </c>
      <c r="D258" s="1">
        <v>44675</v>
      </c>
      <c r="E258" t="s">
        <v>24</v>
      </c>
      <c r="F258" t="s">
        <v>18</v>
      </c>
      <c r="G258">
        <v>1900</v>
      </c>
      <c r="H258">
        <v>24.11</v>
      </c>
      <c r="I258">
        <v>23.45</v>
      </c>
      <c r="J258">
        <v>188</v>
      </c>
      <c r="K258" t="s">
        <v>15</v>
      </c>
    </row>
    <row r="259" spans="1:11" x14ac:dyDescent="0.25">
      <c r="A259" t="s">
        <v>284</v>
      </c>
      <c r="B259" t="s">
        <v>17</v>
      </c>
      <c r="C259" s="1">
        <v>45236</v>
      </c>
      <c r="D259" s="1">
        <v>45238</v>
      </c>
      <c r="E259" t="s">
        <v>21</v>
      </c>
      <c r="F259" t="s">
        <v>14</v>
      </c>
      <c r="G259">
        <v>1447</v>
      </c>
      <c r="H259">
        <v>35.67</v>
      </c>
      <c r="I259">
        <v>35.07</v>
      </c>
      <c r="J259">
        <v>224</v>
      </c>
      <c r="K259" t="s">
        <v>27</v>
      </c>
    </row>
    <row r="260" spans="1:11" x14ac:dyDescent="0.25">
      <c r="A260" t="s">
        <v>285</v>
      </c>
      <c r="B260" t="s">
        <v>29</v>
      </c>
      <c r="C260" s="1">
        <v>45003</v>
      </c>
      <c r="E260" t="s">
        <v>13</v>
      </c>
      <c r="F260" t="s">
        <v>18</v>
      </c>
      <c r="G260">
        <v>1745</v>
      </c>
      <c r="H260">
        <v>26.17</v>
      </c>
      <c r="I260">
        <v>22.25</v>
      </c>
      <c r="J260">
        <v>55</v>
      </c>
      <c r="K260" t="s">
        <v>15</v>
      </c>
    </row>
    <row r="261" spans="1:11" x14ac:dyDescent="0.25">
      <c r="A261" t="s">
        <v>286</v>
      </c>
      <c r="B261" t="s">
        <v>23</v>
      </c>
      <c r="C261" s="1">
        <v>44924</v>
      </c>
      <c r="D261" s="1">
        <v>44940</v>
      </c>
      <c r="E261" t="s">
        <v>13</v>
      </c>
      <c r="F261" t="s">
        <v>18</v>
      </c>
      <c r="G261">
        <v>1681</v>
      </c>
      <c r="H261">
        <v>28.26</v>
      </c>
      <c r="I261">
        <v>26.62</v>
      </c>
      <c r="J261">
        <v>143</v>
      </c>
      <c r="K261" t="s">
        <v>15</v>
      </c>
    </row>
    <row r="262" spans="1:11" x14ac:dyDescent="0.25">
      <c r="A262" t="s">
        <v>287</v>
      </c>
      <c r="B262" t="s">
        <v>17</v>
      </c>
      <c r="C262" s="1">
        <v>44995</v>
      </c>
      <c r="D262" s="1">
        <v>45003</v>
      </c>
      <c r="E262" t="s">
        <v>39</v>
      </c>
      <c r="F262" t="s">
        <v>18</v>
      </c>
      <c r="G262">
        <v>1545</v>
      </c>
      <c r="H262">
        <v>38.15</v>
      </c>
      <c r="I262">
        <v>36.96</v>
      </c>
      <c r="J262">
        <v>214</v>
      </c>
      <c r="K262" t="s">
        <v>15</v>
      </c>
    </row>
    <row r="263" spans="1:11" x14ac:dyDescent="0.25">
      <c r="A263" t="s">
        <v>288</v>
      </c>
      <c r="B263" t="s">
        <v>29</v>
      </c>
      <c r="C263" s="1">
        <v>44982</v>
      </c>
      <c r="D263" s="1">
        <v>44987</v>
      </c>
      <c r="E263" t="s">
        <v>26</v>
      </c>
      <c r="F263" t="s">
        <v>18</v>
      </c>
      <c r="G263">
        <v>1306</v>
      </c>
      <c r="H263">
        <v>27.27</v>
      </c>
      <c r="I263">
        <v>25.96</v>
      </c>
      <c r="J263">
        <v>39</v>
      </c>
      <c r="K263" t="s">
        <v>15</v>
      </c>
    </row>
    <row r="264" spans="1:11" x14ac:dyDescent="0.25">
      <c r="A264" t="s">
        <v>289</v>
      </c>
      <c r="B264" t="s">
        <v>20</v>
      </c>
      <c r="C264" s="1">
        <v>45040</v>
      </c>
      <c r="D264" s="1">
        <v>45052</v>
      </c>
      <c r="E264" t="s">
        <v>26</v>
      </c>
      <c r="F264" t="s">
        <v>18</v>
      </c>
      <c r="G264">
        <v>1765</v>
      </c>
      <c r="H264">
        <v>97.51</v>
      </c>
      <c r="I264">
        <v>84.3</v>
      </c>
      <c r="J264">
        <v>65</v>
      </c>
      <c r="K264" t="s">
        <v>15</v>
      </c>
    </row>
    <row r="265" spans="1:11" x14ac:dyDescent="0.25">
      <c r="A265" t="s">
        <v>290</v>
      </c>
      <c r="B265" t="s">
        <v>20</v>
      </c>
      <c r="C265" s="1">
        <v>44617</v>
      </c>
      <c r="D265" s="1">
        <v>44635</v>
      </c>
      <c r="E265" t="s">
        <v>24</v>
      </c>
      <c r="F265" t="s">
        <v>14</v>
      </c>
      <c r="G265">
        <v>1186</v>
      </c>
      <c r="H265">
        <v>17.309999999999999</v>
      </c>
      <c r="I265">
        <v>16</v>
      </c>
      <c r="J265">
        <v>64</v>
      </c>
      <c r="K265" t="s">
        <v>15</v>
      </c>
    </row>
    <row r="266" spans="1:11" x14ac:dyDescent="0.25">
      <c r="A266" t="s">
        <v>291</v>
      </c>
      <c r="B266" t="s">
        <v>17</v>
      </c>
      <c r="C266" s="1">
        <v>45251</v>
      </c>
      <c r="D266" s="1">
        <v>45256</v>
      </c>
      <c r="E266" t="s">
        <v>24</v>
      </c>
      <c r="F266" t="s">
        <v>18</v>
      </c>
      <c r="G266">
        <v>1903</v>
      </c>
      <c r="H266">
        <v>63.5</v>
      </c>
      <c r="I266">
        <v>56.09</v>
      </c>
      <c r="J266">
        <v>254</v>
      </c>
      <c r="K266" t="s">
        <v>15</v>
      </c>
    </row>
    <row r="267" spans="1:11" x14ac:dyDescent="0.25">
      <c r="A267" t="s">
        <v>292</v>
      </c>
      <c r="B267" t="s">
        <v>17</v>
      </c>
      <c r="C267" s="1">
        <v>45231</v>
      </c>
      <c r="D267" s="1">
        <v>45235</v>
      </c>
      <c r="E267" t="s">
        <v>21</v>
      </c>
      <c r="F267" t="s">
        <v>18</v>
      </c>
      <c r="G267">
        <v>1570</v>
      </c>
      <c r="H267">
        <v>52.1</v>
      </c>
      <c r="I267">
        <v>47.87</v>
      </c>
      <c r="K267" t="s">
        <v>27</v>
      </c>
    </row>
    <row r="268" spans="1:11" x14ac:dyDescent="0.25">
      <c r="A268" t="s">
        <v>293</v>
      </c>
      <c r="B268" t="s">
        <v>17</v>
      </c>
      <c r="C268" s="1">
        <v>45223</v>
      </c>
      <c r="D268" s="1">
        <v>45243</v>
      </c>
      <c r="E268" t="s">
        <v>21</v>
      </c>
      <c r="F268" t="s">
        <v>18</v>
      </c>
      <c r="G268">
        <v>491</v>
      </c>
      <c r="H268">
        <v>108.75</v>
      </c>
      <c r="I268">
        <v>93.35</v>
      </c>
      <c r="K268" t="s">
        <v>27</v>
      </c>
    </row>
    <row r="269" spans="1:11" x14ac:dyDescent="0.25">
      <c r="A269" t="s">
        <v>294</v>
      </c>
      <c r="B269" t="s">
        <v>23</v>
      </c>
      <c r="C269" s="1">
        <v>44662</v>
      </c>
      <c r="D269" s="1">
        <v>44671</v>
      </c>
      <c r="E269" t="s">
        <v>39</v>
      </c>
      <c r="F269" t="s">
        <v>33</v>
      </c>
      <c r="G269">
        <v>613</v>
      </c>
      <c r="H269">
        <v>20.38</v>
      </c>
      <c r="I269">
        <v>20.170000000000002</v>
      </c>
      <c r="J269">
        <v>58</v>
      </c>
      <c r="K269" t="s">
        <v>15</v>
      </c>
    </row>
    <row r="270" spans="1:11" x14ac:dyDescent="0.25">
      <c r="A270" t="s">
        <v>295</v>
      </c>
      <c r="B270" t="s">
        <v>20</v>
      </c>
      <c r="C270" s="1">
        <v>44624</v>
      </c>
      <c r="D270" s="1">
        <v>44636</v>
      </c>
      <c r="E270" t="s">
        <v>26</v>
      </c>
      <c r="F270" t="s">
        <v>33</v>
      </c>
      <c r="G270">
        <v>1341</v>
      </c>
      <c r="H270">
        <v>46.27</v>
      </c>
      <c r="I270">
        <v>43.94</v>
      </c>
      <c r="J270">
        <v>63</v>
      </c>
      <c r="K270" t="s">
        <v>15</v>
      </c>
    </row>
    <row r="271" spans="1:11" x14ac:dyDescent="0.25">
      <c r="A271" t="s">
        <v>296</v>
      </c>
      <c r="B271" t="s">
        <v>23</v>
      </c>
      <c r="C271" s="1">
        <v>44974</v>
      </c>
      <c r="D271" s="1">
        <v>44989</v>
      </c>
      <c r="E271" t="s">
        <v>21</v>
      </c>
      <c r="F271" t="s">
        <v>33</v>
      </c>
      <c r="G271">
        <v>1583</v>
      </c>
      <c r="H271">
        <v>103.57</v>
      </c>
      <c r="I271">
        <v>89.38</v>
      </c>
      <c r="J271">
        <v>164</v>
      </c>
      <c r="K271" t="s">
        <v>15</v>
      </c>
    </row>
    <row r="272" spans="1:11" x14ac:dyDescent="0.25">
      <c r="A272" t="s">
        <v>297</v>
      </c>
      <c r="B272" t="s">
        <v>23</v>
      </c>
      <c r="C272" s="1">
        <v>44909</v>
      </c>
      <c r="E272" t="s">
        <v>26</v>
      </c>
      <c r="F272" t="s">
        <v>14</v>
      </c>
      <c r="G272">
        <v>1880</v>
      </c>
      <c r="H272">
        <v>92.73</v>
      </c>
      <c r="I272">
        <v>90.78</v>
      </c>
      <c r="J272">
        <v>173</v>
      </c>
      <c r="K272" t="s">
        <v>15</v>
      </c>
    </row>
    <row r="273" spans="1:11" x14ac:dyDescent="0.25">
      <c r="A273" t="s">
        <v>298</v>
      </c>
      <c r="B273" t="s">
        <v>29</v>
      </c>
      <c r="C273" s="1">
        <v>44673</v>
      </c>
      <c r="D273" s="1">
        <v>44677</v>
      </c>
      <c r="E273" t="s">
        <v>21</v>
      </c>
      <c r="F273" t="s">
        <v>18</v>
      </c>
      <c r="G273">
        <v>1459</v>
      </c>
      <c r="H273">
        <v>84.79</v>
      </c>
      <c r="I273">
        <v>82.72</v>
      </c>
      <c r="J273">
        <v>47</v>
      </c>
      <c r="K273" t="s">
        <v>15</v>
      </c>
    </row>
    <row r="274" spans="1:11" x14ac:dyDescent="0.25">
      <c r="A274" t="s">
        <v>299</v>
      </c>
      <c r="B274" t="s">
        <v>17</v>
      </c>
      <c r="C274" s="1">
        <v>44816</v>
      </c>
      <c r="E274" t="s">
        <v>13</v>
      </c>
      <c r="F274" t="s">
        <v>18</v>
      </c>
      <c r="G274">
        <v>1460</v>
      </c>
      <c r="H274">
        <v>34.54</v>
      </c>
      <c r="I274">
        <v>31.87</v>
      </c>
      <c r="J274">
        <v>208</v>
      </c>
      <c r="K274" t="s">
        <v>27</v>
      </c>
    </row>
    <row r="275" spans="1:11" x14ac:dyDescent="0.25">
      <c r="A275" t="s">
        <v>300</v>
      </c>
      <c r="B275" t="s">
        <v>23</v>
      </c>
      <c r="C275" s="1">
        <v>44758</v>
      </c>
      <c r="D275" s="1">
        <v>44770</v>
      </c>
      <c r="E275" t="s">
        <v>24</v>
      </c>
      <c r="F275" t="s">
        <v>33</v>
      </c>
      <c r="G275">
        <v>1186</v>
      </c>
      <c r="H275">
        <v>26.14</v>
      </c>
      <c r="I275">
        <v>24.78</v>
      </c>
      <c r="J275">
        <v>112</v>
      </c>
      <c r="K275" t="s">
        <v>15</v>
      </c>
    </row>
    <row r="276" spans="1:11" x14ac:dyDescent="0.25">
      <c r="A276" t="s">
        <v>301</v>
      </c>
      <c r="B276" t="s">
        <v>29</v>
      </c>
      <c r="C276" s="1">
        <v>44756</v>
      </c>
      <c r="D276" s="1">
        <v>44765</v>
      </c>
      <c r="E276" t="s">
        <v>21</v>
      </c>
      <c r="F276" t="s">
        <v>35</v>
      </c>
      <c r="G276">
        <v>1686</v>
      </c>
      <c r="H276">
        <v>72.28</v>
      </c>
      <c r="I276">
        <v>65.209999999999994</v>
      </c>
      <c r="J276">
        <v>53</v>
      </c>
      <c r="K276" t="s">
        <v>15</v>
      </c>
    </row>
    <row r="277" spans="1:11" x14ac:dyDescent="0.25">
      <c r="A277" t="s">
        <v>302</v>
      </c>
      <c r="B277" t="s">
        <v>12</v>
      </c>
      <c r="C277" s="1">
        <v>45111</v>
      </c>
      <c r="D277" s="1">
        <v>45115</v>
      </c>
      <c r="E277" t="s">
        <v>21</v>
      </c>
      <c r="F277" t="s">
        <v>18</v>
      </c>
      <c r="G277">
        <v>1698</v>
      </c>
      <c r="H277">
        <v>102.07</v>
      </c>
      <c r="I277">
        <v>100.69</v>
      </c>
      <c r="J277">
        <v>28</v>
      </c>
      <c r="K277" t="s">
        <v>15</v>
      </c>
    </row>
    <row r="278" spans="1:11" x14ac:dyDescent="0.25">
      <c r="A278" t="s">
        <v>303</v>
      </c>
      <c r="B278" t="s">
        <v>29</v>
      </c>
      <c r="C278" s="1">
        <v>45021</v>
      </c>
      <c r="E278" t="s">
        <v>39</v>
      </c>
      <c r="F278" t="s">
        <v>18</v>
      </c>
      <c r="G278">
        <v>1001</v>
      </c>
      <c r="H278">
        <v>64.62</v>
      </c>
      <c r="I278">
        <v>55.7</v>
      </c>
      <c r="J278">
        <v>32</v>
      </c>
      <c r="K278" t="s">
        <v>15</v>
      </c>
    </row>
    <row r="279" spans="1:11" x14ac:dyDescent="0.25">
      <c r="A279" t="s">
        <v>304</v>
      </c>
      <c r="B279" t="s">
        <v>12</v>
      </c>
      <c r="C279" s="1">
        <v>44705</v>
      </c>
      <c r="D279" s="1">
        <v>44708</v>
      </c>
      <c r="E279" t="s">
        <v>13</v>
      </c>
      <c r="F279" t="s">
        <v>18</v>
      </c>
      <c r="G279">
        <v>1154</v>
      </c>
      <c r="H279">
        <v>62.67</v>
      </c>
      <c r="I279">
        <v>54.11</v>
      </c>
      <c r="J279">
        <v>25</v>
      </c>
      <c r="K279" t="s">
        <v>15</v>
      </c>
    </row>
    <row r="280" spans="1:11" x14ac:dyDescent="0.25">
      <c r="A280" t="s">
        <v>305</v>
      </c>
      <c r="B280" t="s">
        <v>12</v>
      </c>
      <c r="C280" s="1">
        <v>44994</v>
      </c>
      <c r="D280" s="1">
        <v>45014</v>
      </c>
      <c r="E280" t="s">
        <v>24</v>
      </c>
      <c r="F280" t="s">
        <v>14</v>
      </c>
      <c r="G280">
        <v>748</v>
      </c>
      <c r="H280">
        <v>37.659999999999997</v>
      </c>
      <c r="I280">
        <v>32.71</v>
      </c>
      <c r="K280" t="s">
        <v>27</v>
      </c>
    </row>
    <row r="281" spans="1:11" x14ac:dyDescent="0.25">
      <c r="A281" t="s">
        <v>306</v>
      </c>
      <c r="B281" t="s">
        <v>12</v>
      </c>
      <c r="C281" s="1">
        <v>44749</v>
      </c>
      <c r="E281" t="s">
        <v>13</v>
      </c>
      <c r="F281" t="s">
        <v>18</v>
      </c>
      <c r="G281">
        <v>162</v>
      </c>
      <c r="H281">
        <v>81.63</v>
      </c>
      <c r="I281">
        <v>78.760000000000005</v>
      </c>
      <c r="J281">
        <v>2</v>
      </c>
      <c r="K281" t="s">
        <v>15</v>
      </c>
    </row>
    <row r="282" spans="1:11" x14ac:dyDescent="0.25">
      <c r="A282" t="s">
        <v>307</v>
      </c>
      <c r="B282" t="s">
        <v>12</v>
      </c>
      <c r="C282" s="1">
        <v>44847</v>
      </c>
      <c r="D282" s="1">
        <v>44858</v>
      </c>
      <c r="E282" t="s">
        <v>24</v>
      </c>
      <c r="F282" t="s">
        <v>18</v>
      </c>
      <c r="G282">
        <v>51</v>
      </c>
      <c r="H282">
        <v>28.04</v>
      </c>
      <c r="I282">
        <v>24.13</v>
      </c>
      <c r="J282">
        <v>0</v>
      </c>
      <c r="K282" t="s">
        <v>15</v>
      </c>
    </row>
    <row r="283" spans="1:11" x14ac:dyDescent="0.25">
      <c r="A283" t="s">
        <v>308</v>
      </c>
      <c r="B283" t="s">
        <v>17</v>
      </c>
      <c r="C283" s="1">
        <v>45035</v>
      </c>
      <c r="D283" s="1">
        <v>45040</v>
      </c>
      <c r="E283" t="s">
        <v>13</v>
      </c>
      <c r="F283" t="s">
        <v>18</v>
      </c>
      <c r="G283">
        <v>691</v>
      </c>
      <c r="H283">
        <v>42.07</v>
      </c>
      <c r="I283">
        <v>39.1</v>
      </c>
      <c r="J283">
        <v>106</v>
      </c>
      <c r="K283" t="s">
        <v>15</v>
      </c>
    </row>
    <row r="284" spans="1:11" x14ac:dyDescent="0.25">
      <c r="A284" t="s">
        <v>309</v>
      </c>
      <c r="B284" t="s">
        <v>23</v>
      </c>
      <c r="C284" s="1">
        <v>44817</v>
      </c>
      <c r="D284" s="1">
        <v>44824</v>
      </c>
      <c r="E284" t="s">
        <v>13</v>
      </c>
      <c r="F284" t="s">
        <v>18</v>
      </c>
      <c r="G284">
        <v>269</v>
      </c>
      <c r="H284">
        <v>50.22</v>
      </c>
      <c r="I284">
        <v>45.75</v>
      </c>
      <c r="J284">
        <v>32</v>
      </c>
      <c r="K284" t="s">
        <v>27</v>
      </c>
    </row>
    <row r="285" spans="1:11" x14ac:dyDescent="0.25">
      <c r="A285" t="s">
        <v>310</v>
      </c>
      <c r="B285" t="s">
        <v>23</v>
      </c>
      <c r="C285" s="1">
        <v>44639</v>
      </c>
      <c r="D285" s="1">
        <v>44657</v>
      </c>
      <c r="E285" t="s">
        <v>39</v>
      </c>
      <c r="F285" t="s">
        <v>35</v>
      </c>
      <c r="G285">
        <v>1639</v>
      </c>
      <c r="H285">
        <v>56.24</v>
      </c>
      <c r="I285">
        <v>55.4</v>
      </c>
      <c r="J285">
        <v>147</v>
      </c>
      <c r="K285" t="s">
        <v>15</v>
      </c>
    </row>
    <row r="286" spans="1:11" x14ac:dyDescent="0.25">
      <c r="A286" t="s">
        <v>311</v>
      </c>
      <c r="B286" t="s">
        <v>12</v>
      </c>
      <c r="C286" s="1">
        <v>45015</v>
      </c>
      <c r="D286" s="1">
        <v>45022</v>
      </c>
      <c r="E286" t="s">
        <v>26</v>
      </c>
      <c r="F286" t="s">
        <v>18</v>
      </c>
      <c r="G286">
        <v>904</v>
      </c>
      <c r="H286">
        <v>34.04</v>
      </c>
      <c r="I286">
        <v>30.06</v>
      </c>
      <c r="J286">
        <v>26</v>
      </c>
      <c r="K286" t="s">
        <v>15</v>
      </c>
    </row>
    <row r="287" spans="1:11" x14ac:dyDescent="0.25">
      <c r="A287" t="s">
        <v>312</v>
      </c>
      <c r="B287" t="s">
        <v>23</v>
      </c>
      <c r="C287" s="1">
        <v>45125</v>
      </c>
      <c r="D287" s="1">
        <v>45133</v>
      </c>
      <c r="E287" t="s">
        <v>13</v>
      </c>
      <c r="F287" t="s">
        <v>18</v>
      </c>
      <c r="G287">
        <v>1809</v>
      </c>
      <c r="H287">
        <v>22.17</v>
      </c>
      <c r="I287">
        <v>19.649999999999999</v>
      </c>
      <c r="K287" t="s">
        <v>15</v>
      </c>
    </row>
    <row r="288" spans="1:11" x14ac:dyDescent="0.25">
      <c r="A288" t="s">
        <v>313</v>
      </c>
      <c r="B288" t="s">
        <v>12</v>
      </c>
      <c r="C288" s="1">
        <v>44662</v>
      </c>
      <c r="D288" s="1">
        <v>44667</v>
      </c>
      <c r="E288" t="s">
        <v>24</v>
      </c>
      <c r="F288" t="s">
        <v>18</v>
      </c>
      <c r="G288">
        <v>1298</v>
      </c>
      <c r="H288">
        <v>65.930000000000007</v>
      </c>
      <c r="I288">
        <v>58.95</v>
      </c>
      <c r="K288" t="s">
        <v>15</v>
      </c>
    </row>
    <row r="289" spans="1:11" x14ac:dyDescent="0.25">
      <c r="A289" t="s">
        <v>314</v>
      </c>
      <c r="B289" t="s">
        <v>23</v>
      </c>
      <c r="C289" s="1">
        <v>44613</v>
      </c>
      <c r="D289" s="1">
        <v>44633</v>
      </c>
      <c r="E289" t="s">
        <v>24</v>
      </c>
      <c r="F289" t="s">
        <v>18</v>
      </c>
      <c r="G289">
        <v>434</v>
      </c>
      <c r="H289">
        <v>36.159999999999997</v>
      </c>
      <c r="I289">
        <v>34.79</v>
      </c>
      <c r="J289">
        <v>41</v>
      </c>
      <c r="K289" t="s">
        <v>15</v>
      </c>
    </row>
    <row r="290" spans="1:11" x14ac:dyDescent="0.25">
      <c r="A290" t="s">
        <v>315</v>
      </c>
      <c r="B290" t="s">
        <v>29</v>
      </c>
      <c r="C290" s="1">
        <v>45229</v>
      </c>
      <c r="D290" s="1">
        <v>45234</v>
      </c>
      <c r="E290" t="s">
        <v>39</v>
      </c>
      <c r="F290" t="s">
        <v>18</v>
      </c>
      <c r="G290">
        <v>1476</v>
      </c>
      <c r="H290">
        <v>68.849999999999994</v>
      </c>
      <c r="I290">
        <v>65.28</v>
      </c>
      <c r="J290">
        <v>43</v>
      </c>
      <c r="K290" t="s">
        <v>15</v>
      </c>
    </row>
    <row r="291" spans="1:11" x14ac:dyDescent="0.25">
      <c r="A291" t="s">
        <v>316</v>
      </c>
      <c r="B291" t="s">
        <v>17</v>
      </c>
      <c r="C291" s="1">
        <v>45115</v>
      </c>
      <c r="E291" t="s">
        <v>26</v>
      </c>
      <c r="F291" t="s">
        <v>33</v>
      </c>
      <c r="G291">
        <v>1711</v>
      </c>
      <c r="H291">
        <v>26.04</v>
      </c>
      <c r="I291">
        <v>24.81</v>
      </c>
      <c r="J291">
        <v>290</v>
      </c>
      <c r="K291" t="s">
        <v>15</v>
      </c>
    </row>
    <row r="292" spans="1:11" x14ac:dyDescent="0.25">
      <c r="A292" t="s">
        <v>317</v>
      </c>
      <c r="B292" t="s">
        <v>20</v>
      </c>
      <c r="C292" s="1">
        <v>44577</v>
      </c>
      <c r="D292" s="1">
        <v>44583</v>
      </c>
      <c r="E292" t="s">
        <v>24</v>
      </c>
      <c r="F292" t="s">
        <v>18</v>
      </c>
      <c r="G292">
        <v>1203</v>
      </c>
      <c r="H292">
        <v>53.3</v>
      </c>
      <c r="I292">
        <v>47.68</v>
      </c>
      <c r="J292">
        <v>49</v>
      </c>
      <c r="K292" t="s">
        <v>15</v>
      </c>
    </row>
    <row r="293" spans="1:11" x14ac:dyDescent="0.25">
      <c r="A293" t="s">
        <v>318</v>
      </c>
      <c r="B293" t="s">
        <v>12</v>
      </c>
      <c r="C293" s="1">
        <v>44657</v>
      </c>
      <c r="D293" s="1">
        <v>44658</v>
      </c>
      <c r="E293" t="s">
        <v>39</v>
      </c>
      <c r="F293" t="s">
        <v>18</v>
      </c>
      <c r="G293">
        <v>1126</v>
      </c>
      <c r="H293">
        <v>58.8</v>
      </c>
      <c r="I293">
        <v>52.22</v>
      </c>
      <c r="K293" t="s">
        <v>15</v>
      </c>
    </row>
    <row r="294" spans="1:11" x14ac:dyDescent="0.25">
      <c r="A294" t="s">
        <v>319</v>
      </c>
      <c r="B294" t="s">
        <v>29</v>
      </c>
      <c r="C294" s="1">
        <v>44804</v>
      </c>
      <c r="D294" s="1">
        <v>44816</v>
      </c>
      <c r="E294" t="s">
        <v>24</v>
      </c>
      <c r="F294" t="s">
        <v>18</v>
      </c>
      <c r="G294">
        <v>1757</v>
      </c>
      <c r="H294">
        <v>15.18</v>
      </c>
      <c r="I294">
        <v>13.06</v>
      </c>
      <c r="J294">
        <v>63</v>
      </c>
      <c r="K294" t="s">
        <v>15</v>
      </c>
    </row>
    <row r="295" spans="1:11" x14ac:dyDescent="0.25">
      <c r="A295" t="s">
        <v>320</v>
      </c>
      <c r="B295" t="s">
        <v>29</v>
      </c>
      <c r="C295" s="1">
        <v>44732</v>
      </c>
      <c r="D295" s="1">
        <v>44740</v>
      </c>
      <c r="E295" t="s">
        <v>21</v>
      </c>
      <c r="F295" t="s">
        <v>18</v>
      </c>
      <c r="G295">
        <v>779</v>
      </c>
      <c r="H295">
        <v>41.3</v>
      </c>
      <c r="I295">
        <v>36.28</v>
      </c>
      <c r="J295">
        <v>20</v>
      </c>
      <c r="K295" t="s">
        <v>15</v>
      </c>
    </row>
    <row r="296" spans="1:11" x14ac:dyDescent="0.25">
      <c r="A296" t="s">
        <v>321</v>
      </c>
      <c r="B296" t="s">
        <v>17</v>
      </c>
      <c r="C296" s="1">
        <v>44978</v>
      </c>
      <c r="D296" s="1">
        <v>44979</v>
      </c>
      <c r="E296" t="s">
        <v>13</v>
      </c>
      <c r="F296" t="s">
        <v>18</v>
      </c>
      <c r="G296">
        <v>1745</v>
      </c>
      <c r="H296">
        <v>23.53</v>
      </c>
      <c r="I296">
        <v>22.57</v>
      </c>
      <c r="J296">
        <v>282</v>
      </c>
      <c r="K296" t="s">
        <v>27</v>
      </c>
    </row>
    <row r="297" spans="1:11" x14ac:dyDescent="0.25">
      <c r="A297" t="s">
        <v>322</v>
      </c>
      <c r="B297" t="s">
        <v>17</v>
      </c>
      <c r="C297" s="1">
        <v>45059</v>
      </c>
      <c r="D297" s="1">
        <v>45061</v>
      </c>
      <c r="E297" t="s">
        <v>26</v>
      </c>
      <c r="F297" t="s">
        <v>18</v>
      </c>
      <c r="G297">
        <v>1783</v>
      </c>
      <c r="H297">
        <v>16.96</v>
      </c>
      <c r="I297">
        <v>15.8</v>
      </c>
      <c r="J297">
        <v>295</v>
      </c>
      <c r="K297" t="s">
        <v>15</v>
      </c>
    </row>
    <row r="298" spans="1:11" x14ac:dyDescent="0.25">
      <c r="A298" t="s">
        <v>323</v>
      </c>
      <c r="B298" t="s">
        <v>12</v>
      </c>
      <c r="C298" s="1">
        <v>45054</v>
      </c>
      <c r="D298" s="1">
        <v>45068</v>
      </c>
      <c r="E298" t="s">
        <v>13</v>
      </c>
      <c r="F298" t="s">
        <v>33</v>
      </c>
      <c r="G298">
        <v>1489</v>
      </c>
      <c r="H298">
        <v>107.02</v>
      </c>
      <c r="I298">
        <v>93.3</v>
      </c>
      <c r="K298" t="s">
        <v>15</v>
      </c>
    </row>
    <row r="299" spans="1:11" x14ac:dyDescent="0.25">
      <c r="A299" t="s">
        <v>324</v>
      </c>
      <c r="B299" t="s">
        <v>12</v>
      </c>
      <c r="C299" s="1">
        <v>44780</v>
      </c>
      <c r="D299" s="1">
        <v>44783</v>
      </c>
      <c r="E299" t="s">
        <v>13</v>
      </c>
      <c r="F299" t="s">
        <v>18</v>
      </c>
      <c r="G299">
        <v>296</v>
      </c>
      <c r="H299">
        <v>40.380000000000003</v>
      </c>
      <c r="I299">
        <v>35.25</v>
      </c>
      <c r="K299" t="s">
        <v>15</v>
      </c>
    </row>
    <row r="300" spans="1:11" x14ac:dyDescent="0.25">
      <c r="A300" t="s">
        <v>325</v>
      </c>
      <c r="B300" t="s">
        <v>29</v>
      </c>
      <c r="C300" s="1">
        <v>44972</v>
      </c>
      <c r="D300" s="1">
        <v>44984</v>
      </c>
      <c r="E300" t="s">
        <v>21</v>
      </c>
      <c r="F300" t="s">
        <v>18</v>
      </c>
      <c r="G300">
        <v>885</v>
      </c>
      <c r="H300">
        <v>88.28</v>
      </c>
      <c r="I300">
        <v>80.8</v>
      </c>
      <c r="J300">
        <v>31</v>
      </c>
      <c r="K300" t="s">
        <v>15</v>
      </c>
    </row>
    <row r="301" spans="1:11" x14ac:dyDescent="0.25">
      <c r="A301" t="s">
        <v>326</v>
      </c>
      <c r="B301" t="s">
        <v>29</v>
      </c>
      <c r="C301" s="1">
        <v>44622</v>
      </c>
      <c r="D301" s="1">
        <v>44626</v>
      </c>
      <c r="E301" t="s">
        <v>26</v>
      </c>
      <c r="F301" t="s">
        <v>35</v>
      </c>
      <c r="G301">
        <v>1512</v>
      </c>
      <c r="H301">
        <v>33.25</v>
      </c>
      <c r="I301">
        <v>30.15</v>
      </c>
      <c r="J301">
        <v>53</v>
      </c>
      <c r="K301" t="s">
        <v>15</v>
      </c>
    </row>
    <row r="302" spans="1:11" x14ac:dyDescent="0.25">
      <c r="A302" t="s">
        <v>327</v>
      </c>
      <c r="B302" t="s">
        <v>17</v>
      </c>
      <c r="C302" s="1">
        <v>44730</v>
      </c>
      <c r="D302" s="1">
        <v>44738</v>
      </c>
      <c r="E302" t="s">
        <v>13</v>
      </c>
      <c r="F302" t="s">
        <v>18</v>
      </c>
      <c r="G302">
        <v>252</v>
      </c>
      <c r="H302">
        <v>73.12</v>
      </c>
      <c r="I302">
        <v>67.64</v>
      </c>
      <c r="K302" t="s">
        <v>27</v>
      </c>
    </row>
    <row r="303" spans="1:11" x14ac:dyDescent="0.25">
      <c r="A303" t="s">
        <v>328</v>
      </c>
      <c r="B303" t="s">
        <v>12</v>
      </c>
      <c r="C303" s="1">
        <v>44950</v>
      </c>
      <c r="E303" t="s">
        <v>39</v>
      </c>
      <c r="F303" t="s">
        <v>14</v>
      </c>
      <c r="G303">
        <v>1257</v>
      </c>
      <c r="H303">
        <v>83.13</v>
      </c>
      <c r="I303">
        <v>81.89</v>
      </c>
      <c r="J303">
        <v>30</v>
      </c>
      <c r="K303" t="s">
        <v>15</v>
      </c>
    </row>
    <row r="304" spans="1:11" x14ac:dyDescent="0.25">
      <c r="A304" t="s">
        <v>329</v>
      </c>
      <c r="B304" t="s">
        <v>12</v>
      </c>
      <c r="C304" s="1">
        <v>44564</v>
      </c>
      <c r="D304" s="1">
        <v>44581</v>
      </c>
      <c r="E304" t="s">
        <v>24</v>
      </c>
      <c r="F304" t="s">
        <v>18</v>
      </c>
      <c r="G304">
        <v>172</v>
      </c>
      <c r="H304">
        <v>63.61</v>
      </c>
      <c r="I304">
        <v>55.92</v>
      </c>
      <c r="J304">
        <v>4</v>
      </c>
      <c r="K304" t="s">
        <v>15</v>
      </c>
    </row>
    <row r="305" spans="1:11" x14ac:dyDescent="0.25">
      <c r="A305" t="s">
        <v>330</v>
      </c>
      <c r="B305" t="s">
        <v>29</v>
      </c>
      <c r="C305" s="1">
        <v>44961</v>
      </c>
      <c r="D305" s="1">
        <v>44962</v>
      </c>
      <c r="E305" t="s">
        <v>24</v>
      </c>
      <c r="F305" t="s">
        <v>35</v>
      </c>
      <c r="G305">
        <v>450</v>
      </c>
      <c r="H305">
        <v>55.85</v>
      </c>
      <c r="I305">
        <v>49.88</v>
      </c>
      <c r="J305">
        <v>9</v>
      </c>
      <c r="K305" t="s">
        <v>15</v>
      </c>
    </row>
    <row r="306" spans="1:11" x14ac:dyDescent="0.25">
      <c r="A306" t="s">
        <v>331</v>
      </c>
      <c r="B306" t="s">
        <v>20</v>
      </c>
      <c r="C306" s="1">
        <v>44833</v>
      </c>
      <c r="D306" s="1">
        <v>44849</v>
      </c>
      <c r="E306" t="s">
        <v>39</v>
      </c>
      <c r="F306" t="s">
        <v>18</v>
      </c>
      <c r="G306">
        <v>816</v>
      </c>
      <c r="H306">
        <v>48.95</v>
      </c>
      <c r="I306">
        <v>43.42</v>
      </c>
      <c r="J306">
        <v>45</v>
      </c>
      <c r="K306" t="s">
        <v>15</v>
      </c>
    </row>
    <row r="307" spans="1:11" x14ac:dyDescent="0.25">
      <c r="A307" t="s">
        <v>332</v>
      </c>
      <c r="B307" t="s">
        <v>29</v>
      </c>
      <c r="C307" s="1">
        <v>45027</v>
      </c>
      <c r="D307" s="1">
        <v>45041</v>
      </c>
      <c r="E307" t="s">
        <v>24</v>
      </c>
      <c r="F307" t="s">
        <v>18</v>
      </c>
      <c r="G307">
        <v>343</v>
      </c>
      <c r="H307">
        <v>44.5</v>
      </c>
      <c r="I307">
        <v>38.57</v>
      </c>
      <c r="J307">
        <v>7</v>
      </c>
      <c r="K307" t="s">
        <v>15</v>
      </c>
    </row>
    <row r="308" spans="1:11" x14ac:dyDescent="0.25">
      <c r="A308" t="s">
        <v>333</v>
      </c>
      <c r="B308" t="s">
        <v>20</v>
      </c>
      <c r="C308" s="1">
        <v>44854</v>
      </c>
      <c r="D308" s="1">
        <v>44870</v>
      </c>
      <c r="E308" t="s">
        <v>21</v>
      </c>
      <c r="F308" t="s">
        <v>18</v>
      </c>
      <c r="G308">
        <v>329</v>
      </c>
      <c r="H308">
        <v>97.87</v>
      </c>
      <c r="I308">
        <v>85.35</v>
      </c>
      <c r="J308">
        <v>21</v>
      </c>
      <c r="K308" t="s">
        <v>27</v>
      </c>
    </row>
    <row r="309" spans="1:11" x14ac:dyDescent="0.25">
      <c r="A309" t="s">
        <v>334</v>
      </c>
      <c r="B309" t="s">
        <v>12</v>
      </c>
      <c r="C309" s="1">
        <v>44995</v>
      </c>
      <c r="D309" s="1">
        <v>45010</v>
      </c>
      <c r="E309" t="s">
        <v>39</v>
      </c>
      <c r="F309" t="s">
        <v>18</v>
      </c>
      <c r="G309">
        <v>1910</v>
      </c>
      <c r="H309">
        <v>90.69</v>
      </c>
      <c r="I309">
        <v>85.8</v>
      </c>
      <c r="K309" t="s">
        <v>15</v>
      </c>
    </row>
    <row r="310" spans="1:11" x14ac:dyDescent="0.25">
      <c r="A310" t="s">
        <v>335</v>
      </c>
      <c r="B310" t="s">
        <v>29</v>
      </c>
      <c r="C310" s="1">
        <v>45275</v>
      </c>
      <c r="D310" s="1">
        <v>45278</v>
      </c>
      <c r="E310" t="s">
        <v>21</v>
      </c>
      <c r="F310" t="s">
        <v>18</v>
      </c>
      <c r="G310">
        <v>933</v>
      </c>
      <c r="H310">
        <v>107.99</v>
      </c>
      <c r="I310">
        <v>104.29</v>
      </c>
      <c r="J310">
        <v>29</v>
      </c>
      <c r="K310" t="s">
        <v>15</v>
      </c>
    </row>
    <row r="311" spans="1:11" x14ac:dyDescent="0.25">
      <c r="A311" t="s">
        <v>336</v>
      </c>
      <c r="B311" t="s">
        <v>17</v>
      </c>
      <c r="C311" s="1">
        <v>45131</v>
      </c>
      <c r="D311" s="1">
        <v>45136</v>
      </c>
      <c r="E311" t="s">
        <v>26</v>
      </c>
      <c r="F311" t="s">
        <v>18</v>
      </c>
      <c r="G311">
        <v>1683</v>
      </c>
      <c r="H311">
        <v>23.09</v>
      </c>
      <c r="I311">
        <v>21.88</v>
      </c>
      <c r="J311">
        <v>253</v>
      </c>
      <c r="K311" t="s">
        <v>15</v>
      </c>
    </row>
    <row r="312" spans="1:11" x14ac:dyDescent="0.25">
      <c r="A312" t="s">
        <v>337</v>
      </c>
      <c r="B312" t="s">
        <v>23</v>
      </c>
      <c r="C312" s="1">
        <v>45239</v>
      </c>
      <c r="D312" s="1">
        <v>45248</v>
      </c>
      <c r="E312" t="s">
        <v>24</v>
      </c>
      <c r="F312" t="s">
        <v>35</v>
      </c>
      <c r="G312">
        <v>247</v>
      </c>
      <c r="H312">
        <v>84.11</v>
      </c>
      <c r="I312">
        <v>71.97</v>
      </c>
      <c r="K312" t="s">
        <v>15</v>
      </c>
    </row>
    <row r="313" spans="1:11" x14ac:dyDescent="0.25">
      <c r="A313" t="s">
        <v>338</v>
      </c>
      <c r="B313" t="s">
        <v>12</v>
      </c>
      <c r="C313" s="1">
        <v>45060</v>
      </c>
      <c r="D313" s="1">
        <v>45079</v>
      </c>
      <c r="E313" t="s">
        <v>21</v>
      </c>
      <c r="F313" t="s">
        <v>18</v>
      </c>
      <c r="G313">
        <v>1031</v>
      </c>
      <c r="H313">
        <v>102.01</v>
      </c>
      <c r="I313">
        <v>98.65</v>
      </c>
      <c r="K313" t="s">
        <v>15</v>
      </c>
    </row>
    <row r="314" spans="1:11" x14ac:dyDescent="0.25">
      <c r="A314" t="s">
        <v>339</v>
      </c>
      <c r="B314" t="s">
        <v>12</v>
      </c>
      <c r="C314" s="1">
        <v>44720</v>
      </c>
      <c r="D314" s="1">
        <v>44731</v>
      </c>
      <c r="E314" t="s">
        <v>24</v>
      </c>
      <c r="F314" t="s">
        <v>18</v>
      </c>
      <c r="G314">
        <v>1980</v>
      </c>
      <c r="H314">
        <v>26.97</v>
      </c>
      <c r="I314">
        <v>24.16</v>
      </c>
      <c r="J314">
        <v>41</v>
      </c>
      <c r="K314" t="s">
        <v>15</v>
      </c>
    </row>
    <row r="315" spans="1:11" x14ac:dyDescent="0.25">
      <c r="A315" t="s">
        <v>340</v>
      </c>
      <c r="B315" t="s">
        <v>29</v>
      </c>
      <c r="C315" s="1">
        <v>44756</v>
      </c>
      <c r="D315" s="1">
        <v>44776</v>
      </c>
      <c r="E315" t="s">
        <v>26</v>
      </c>
      <c r="F315" t="s">
        <v>18</v>
      </c>
      <c r="G315">
        <v>1584</v>
      </c>
      <c r="H315">
        <v>16.46</v>
      </c>
      <c r="I315">
        <v>14.2</v>
      </c>
      <c r="J315">
        <v>57</v>
      </c>
      <c r="K315" t="s">
        <v>15</v>
      </c>
    </row>
    <row r="316" spans="1:11" x14ac:dyDescent="0.25">
      <c r="A316" t="s">
        <v>341</v>
      </c>
      <c r="B316" t="s">
        <v>23</v>
      </c>
      <c r="C316" s="1">
        <v>44865</v>
      </c>
      <c r="D316" s="1">
        <v>44880</v>
      </c>
      <c r="E316" t="s">
        <v>13</v>
      </c>
      <c r="F316" t="s">
        <v>18</v>
      </c>
      <c r="G316">
        <v>801</v>
      </c>
      <c r="H316">
        <v>80.150000000000006</v>
      </c>
      <c r="I316">
        <v>70.91</v>
      </c>
      <c r="K316" t="s">
        <v>15</v>
      </c>
    </row>
    <row r="317" spans="1:11" x14ac:dyDescent="0.25">
      <c r="A317" t="s">
        <v>342</v>
      </c>
      <c r="B317" t="s">
        <v>23</v>
      </c>
      <c r="C317" s="1">
        <v>44784</v>
      </c>
      <c r="D317" s="1">
        <v>44798</v>
      </c>
      <c r="E317" t="s">
        <v>24</v>
      </c>
      <c r="F317" t="s">
        <v>18</v>
      </c>
      <c r="G317">
        <v>193</v>
      </c>
      <c r="H317">
        <v>63.86</v>
      </c>
      <c r="I317">
        <v>57.46</v>
      </c>
      <c r="K317" t="s">
        <v>15</v>
      </c>
    </row>
    <row r="318" spans="1:11" x14ac:dyDescent="0.25">
      <c r="A318" t="s">
        <v>343</v>
      </c>
      <c r="B318" t="s">
        <v>23</v>
      </c>
      <c r="C318" s="1">
        <v>44621</v>
      </c>
      <c r="D318" s="1">
        <v>44625</v>
      </c>
      <c r="E318" t="s">
        <v>26</v>
      </c>
      <c r="F318" t="s">
        <v>18</v>
      </c>
      <c r="G318">
        <v>658</v>
      </c>
      <c r="H318">
        <v>86.62</v>
      </c>
      <c r="I318">
        <v>79.849999999999994</v>
      </c>
      <c r="J318">
        <v>72</v>
      </c>
      <c r="K318" t="s">
        <v>15</v>
      </c>
    </row>
    <row r="319" spans="1:11" x14ac:dyDescent="0.25">
      <c r="A319" t="s">
        <v>344</v>
      </c>
      <c r="B319" t="s">
        <v>29</v>
      </c>
      <c r="C319" s="1">
        <v>45155</v>
      </c>
      <c r="D319" s="1">
        <v>45173</v>
      </c>
      <c r="E319" t="s">
        <v>39</v>
      </c>
      <c r="F319" t="s">
        <v>18</v>
      </c>
      <c r="G319">
        <v>1274</v>
      </c>
      <c r="H319">
        <v>24.72</v>
      </c>
      <c r="I319">
        <v>23.36</v>
      </c>
      <c r="J319">
        <v>37</v>
      </c>
      <c r="K319" t="s">
        <v>15</v>
      </c>
    </row>
    <row r="320" spans="1:11" x14ac:dyDescent="0.25">
      <c r="A320" t="s">
        <v>345</v>
      </c>
      <c r="B320" t="s">
        <v>29</v>
      </c>
      <c r="C320" s="1">
        <v>45117</v>
      </c>
      <c r="D320" s="1">
        <v>45124</v>
      </c>
      <c r="E320" t="s">
        <v>24</v>
      </c>
      <c r="F320" t="s">
        <v>33</v>
      </c>
      <c r="G320">
        <v>1197</v>
      </c>
      <c r="H320">
        <v>88.92</v>
      </c>
      <c r="I320">
        <v>78.819999999999993</v>
      </c>
      <c r="J320">
        <v>31</v>
      </c>
      <c r="K320" t="s">
        <v>15</v>
      </c>
    </row>
    <row r="321" spans="1:11" x14ac:dyDescent="0.25">
      <c r="A321" t="s">
        <v>346</v>
      </c>
      <c r="B321" t="s">
        <v>20</v>
      </c>
      <c r="C321" s="1">
        <v>44624</v>
      </c>
      <c r="D321" s="1">
        <v>44632</v>
      </c>
      <c r="E321" t="s">
        <v>39</v>
      </c>
      <c r="F321" t="s">
        <v>18</v>
      </c>
      <c r="G321">
        <v>236</v>
      </c>
      <c r="H321">
        <v>28.43</v>
      </c>
      <c r="I321">
        <v>28.11</v>
      </c>
      <c r="J321">
        <v>11</v>
      </c>
      <c r="K321" t="s">
        <v>15</v>
      </c>
    </row>
    <row r="322" spans="1:11" x14ac:dyDescent="0.25">
      <c r="A322" t="s">
        <v>347</v>
      </c>
      <c r="B322" t="s">
        <v>20</v>
      </c>
      <c r="C322" s="1">
        <v>44883</v>
      </c>
      <c r="D322" s="1">
        <v>44898</v>
      </c>
      <c r="E322" t="s">
        <v>26</v>
      </c>
      <c r="F322" t="s">
        <v>33</v>
      </c>
      <c r="G322">
        <v>1399</v>
      </c>
      <c r="H322">
        <v>25.97</v>
      </c>
      <c r="I322">
        <v>22.19</v>
      </c>
      <c r="J322">
        <v>62</v>
      </c>
      <c r="K322" t="s">
        <v>15</v>
      </c>
    </row>
    <row r="323" spans="1:11" x14ac:dyDescent="0.25">
      <c r="A323" t="s">
        <v>348</v>
      </c>
      <c r="B323" t="s">
        <v>20</v>
      </c>
      <c r="C323" s="1">
        <v>44620</v>
      </c>
      <c r="D323" s="1">
        <v>44624</v>
      </c>
      <c r="E323" t="s">
        <v>39</v>
      </c>
      <c r="F323" t="s">
        <v>18</v>
      </c>
      <c r="G323">
        <v>513</v>
      </c>
      <c r="H323">
        <v>24.91</v>
      </c>
      <c r="I323">
        <v>22.58</v>
      </c>
      <c r="J323">
        <v>29</v>
      </c>
      <c r="K323" t="s">
        <v>15</v>
      </c>
    </row>
    <row r="324" spans="1:11" x14ac:dyDescent="0.25">
      <c r="A324" t="s">
        <v>349</v>
      </c>
      <c r="B324" t="s">
        <v>17</v>
      </c>
      <c r="C324" s="1">
        <v>44613</v>
      </c>
      <c r="D324" s="1">
        <v>44624</v>
      </c>
      <c r="E324" t="s">
        <v>21</v>
      </c>
      <c r="F324" t="s">
        <v>18</v>
      </c>
      <c r="G324">
        <v>1422</v>
      </c>
      <c r="H324">
        <v>83.73</v>
      </c>
      <c r="I324">
        <v>76.47</v>
      </c>
      <c r="J324">
        <v>198</v>
      </c>
      <c r="K324" t="s">
        <v>15</v>
      </c>
    </row>
    <row r="325" spans="1:11" x14ac:dyDescent="0.25">
      <c r="A325" t="s">
        <v>350</v>
      </c>
      <c r="B325" t="s">
        <v>12</v>
      </c>
      <c r="C325" s="1">
        <v>45160</v>
      </c>
      <c r="D325" s="1">
        <v>45172</v>
      </c>
      <c r="E325" t="s">
        <v>13</v>
      </c>
      <c r="F325" t="s">
        <v>18</v>
      </c>
      <c r="G325">
        <v>1844</v>
      </c>
      <c r="H325">
        <v>76.510000000000005</v>
      </c>
      <c r="I325">
        <v>73.05</v>
      </c>
      <c r="K325" t="s">
        <v>15</v>
      </c>
    </row>
    <row r="326" spans="1:11" x14ac:dyDescent="0.25">
      <c r="A326" t="s">
        <v>351</v>
      </c>
      <c r="B326" t="s">
        <v>20</v>
      </c>
      <c r="C326" s="1">
        <v>45050</v>
      </c>
      <c r="E326" t="s">
        <v>39</v>
      </c>
      <c r="F326" t="s">
        <v>18</v>
      </c>
      <c r="G326">
        <v>709</v>
      </c>
      <c r="H326">
        <v>61.64</v>
      </c>
      <c r="I326">
        <v>54.55</v>
      </c>
      <c r="J326">
        <v>41</v>
      </c>
      <c r="K326" t="s">
        <v>15</v>
      </c>
    </row>
    <row r="327" spans="1:11" x14ac:dyDescent="0.25">
      <c r="A327" t="s">
        <v>352</v>
      </c>
      <c r="B327" t="s">
        <v>17</v>
      </c>
      <c r="C327" s="1">
        <v>45076</v>
      </c>
      <c r="D327" s="1">
        <v>45092</v>
      </c>
      <c r="E327" t="s">
        <v>21</v>
      </c>
      <c r="F327" t="s">
        <v>18</v>
      </c>
      <c r="G327">
        <v>813</v>
      </c>
      <c r="H327">
        <v>45.68</v>
      </c>
      <c r="I327">
        <v>41.78</v>
      </c>
      <c r="K327" t="s">
        <v>27</v>
      </c>
    </row>
    <row r="328" spans="1:11" x14ac:dyDescent="0.25">
      <c r="A328" t="s">
        <v>353</v>
      </c>
      <c r="B328" t="s">
        <v>17</v>
      </c>
      <c r="C328" s="1">
        <v>45105</v>
      </c>
      <c r="D328" s="1">
        <v>45108</v>
      </c>
      <c r="E328" t="s">
        <v>13</v>
      </c>
      <c r="F328" t="s">
        <v>18</v>
      </c>
      <c r="G328">
        <v>1004</v>
      </c>
      <c r="H328">
        <v>96.51</v>
      </c>
      <c r="I328">
        <v>92.9</v>
      </c>
      <c r="J328">
        <v>146</v>
      </c>
      <c r="K328" t="s">
        <v>27</v>
      </c>
    </row>
    <row r="329" spans="1:11" x14ac:dyDescent="0.25">
      <c r="A329" t="s">
        <v>354</v>
      </c>
      <c r="B329" t="s">
        <v>29</v>
      </c>
      <c r="C329" s="1">
        <v>44723</v>
      </c>
      <c r="D329" s="1">
        <v>44727</v>
      </c>
      <c r="E329" t="s">
        <v>26</v>
      </c>
      <c r="F329" t="s">
        <v>18</v>
      </c>
      <c r="G329">
        <v>452</v>
      </c>
      <c r="H329">
        <v>46.45</v>
      </c>
      <c r="I329">
        <v>40.39</v>
      </c>
      <c r="J329">
        <v>9</v>
      </c>
      <c r="K329" t="s">
        <v>15</v>
      </c>
    </row>
    <row r="330" spans="1:11" x14ac:dyDescent="0.25">
      <c r="A330" t="s">
        <v>355</v>
      </c>
      <c r="B330" t="s">
        <v>23</v>
      </c>
      <c r="C330" s="1">
        <v>44620</v>
      </c>
      <c r="D330" s="1">
        <v>44632</v>
      </c>
      <c r="E330" t="s">
        <v>26</v>
      </c>
      <c r="F330" t="s">
        <v>35</v>
      </c>
      <c r="G330">
        <v>1419</v>
      </c>
      <c r="H330">
        <v>83.91</v>
      </c>
      <c r="I330">
        <v>71.459999999999994</v>
      </c>
      <c r="J330">
        <v>137</v>
      </c>
      <c r="K330" t="s">
        <v>15</v>
      </c>
    </row>
    <row r="331" spans="1:11" x14ac:dyDescent="0.25">
      <c r="A331" t="s">
        <v>356</v>
      </c>
      <c r="B331" t="s">
        <v>23</v>
      </c>
      <c r="C331" s="1">
        <v>45082</v>
      </c>
      <c r="D331" s="1">
        <v>45100</v>
      </c>
      <c r="E331" t="s">
        <v>24</v>
      </c>
      <c r="F331" t="s">
        <v>18</v>
      </c>
      <c r="G331">
        <v>1584</v>
      </c>
      <c r="H331">
        <v>53.73</v>
      </c>
      <c r="I331">
        <v>51.92</v>
      </c>
      <c r="J331">
        <v>167</v>
      </c>
      <c r="K331" t="s">
        <v>27</v>
      </c>
    </row>
    <row r="332" spans="1:11" x14ac:dyDescent="0.25">
      <c r="A332" t="s">
        <v>357</v>
      </c>
      <c r="B332" t="s">
        <v>20</v>
      </c>
      <c r="C332" s="1">
        <v>44644</v>
      </c>
      <c r="D332" s="1">
        <v>44662</v>
      </c>
      <c r="E332" t="s">
        <v>21</v>
      </c>
      <c r="F332" t="s">
        <v>35</v>
      </c>
      <c r="G332">
        <v>196</v>
      </c>
      <c r="H332">
        <v>44.36</v>
      </c>
      <c r="I332">
        <v>43.81</v>
      </c>
      <c r="J332">
        <v>6</v>
      </c>
      <c r="K332" t="s">
        <v>15</v>
      </c>
    </row>
    <row r="333" spans="1:11" x14ac:dyDescent="0.25">
      <c r="A333" t="s">
        <v>358</v>
      </c>
      <c r="B333" t="s">
        <v>12</v>
      </c>
      <c r="C333" s="1">
        <v>44752</v>
      </c>
      <c r="D333" s="1">
        <v>44756</v>
      </c>
      <c r="E333" t="s">
        <v>13</v>
      </c>
      <c r="F333" t="s">
        <v>18</v>
      </c>
      <c r="G333">
        <v>1221</v>
      </c>
      <c r="H333">
        <v>53.19</v>
      </c>
      <c r="I333">
        <v>46.18</v>
      </c>
      <c r="J333">
        <v>29</v>
      </c>
      <c r="K333" t="s">
        <v>15</v>
      </c>
    </row>
    <row r="334" spans="1:11" x14ac:dyDescent="0.25">
      <c r="A334" t="s">
        <v>359</v>
      </c>
      <c r="B334" t="s">
        <v>12</v>
      </c>
      <c r="C334" s="1">
        <v>44632</v>
      </c>
      <c r="D334" s="1">
        <v>44646</v>
      </c>
      <c r="E334" t="s">
        <v>24</v>
      </c>
      <c r="F334" t="s">
        <v>18</v>
      </c>
      <c r="G334">
        <v>913</v>
      </c>
      <c r="H334">
        <v>37.5</v>
      </c>
      <c r="I334">
        <v>36.200000000000003</v>
      </c>
      <c r="K334" t="s">
        <v>15</v>
      </c>
    </row>
    <row r="335" spans="1:11" x14ac:dyDescent="0.25">
      <c r="A335" t="s">
        <v>360</v>
      </c>
      <c r="B335" t="s">
        <v>12</v>
      </c>
      <c r="C335" s="1">
        <v>45171</v>
      </c>
      <c r="D335" s="1">
        <v>45173</v>
      </c>
      <c r="E335" t="s">
        <v>24</v>
      </c>
      <c r="F335" t="s">
        <v>18</v>
      </c>
      <c r="G335">
        <v>1784</v>
      </c>
      <c r="H335">
        <v>85.01</v>
      </c>
      <c r="I335">
        <v>76.69</v>
      </c>
      <c r="J335">
        <v>37</v>
      </c>
      <c r="K335" t="s">
        <v>15</v>
      </c>
    </row>
    <row r="336" spans="1:11" x14ac:dyDescent="0.25">
      <c r="A336" t="s">
        <v>361</v>
      </c>
      <c r="B336" t="s">
        <v>17</v>
      </c>
      <c r="C336" s="1">
        <v>44631</v>
      </c>
      <c r="E336" t="s">
        <v>26</v>
      </c>
      <c r="F336" t="s">
        <v>18</v>
      </c>
      <c r="G336">
        <v>1893</v>
      </c>
      <c r="H336">
        <v>55.8</v>
      </c>
      <c r="I336">
        <v>52.35</v>
      </c>
      <c r="K336" t="s">
        <v>15</v>
      </c>
    </row>
    <row r="337" spans="1:11" x14ac:dyDescent="0.25">
      <c r="A337" t="s">
        <v>362</v>
      </c>
      <c r="B337" t="s">
        <v>17</v>
      </c>
      <c r="C337" s="1">
        <v>45253</v>
      </c>
      <c r="D337" s="1">
        <v>45265</v>
      </c>
      <c r="E337" t="s">
        <v>39</v>
      </c>
      <c r="F337" t="s">
        <v>35</v>
      </c>
      <c r="G337">
        <v>538</v>
      </c>
      <c r="H337">
        <v>34.299999999999997</v>
      </c>
      <c r="I337">
        <v>32.25</v>
      </c>
      <c r="J337">
        <v>84</v>
      </c>
      <c r="K337" t="s">
        <v>27</v>
      </c>
    </row>
    <row r="338" spans="1:11" x14ac:dyDescent="0.25">
      <c r="A338" t="s">
        <v>363</v>
      </c>
      <c r="B338" t="s">
        <v>17</v>
      </c>
      <c r="C338" s="1">
        <v>44802</v>
      </c>
      <c r="D338" s="1">
        <v>44819</v>
      </c>
      <c r="E338" t="s">
        <v>13</v>
      </c>
      <c r="F338" t="s">
        <v>35</v>
      </c>
      <c r="G338">
        <v>978</v>
      </c>
      <c r="H338">
        <v>94.15</v>
      </c>
      <c r="I338">
        <v>87.7</v>
      </c>
      <c r="J338">
        <v>149</v>
      </c>
      <c r="K338" t="s">
        <v>27</v>
      </c>
    </row>
    <row r="339" spans="1:11" x14ac:dyDescent="0.25">
      <c r="A339" t="s">
        <v>364</v>
      </c>
      <c r="B339" t="s">
        <v>29</v>
      </c>
      <c r="C339" s="1">
        <v>44975</v>
      </c>
      <c r="D339" s="1">
        <v>44991</v>
      </c>
      <c r="E339" t="s">
        <v>26</v>
      </c>
      <c r="F339" t="s">
        <v>14</v>
      </c>
      <c r="G339">
        <v>1713</v>
      </c>
      <c r="H339">
        <v>47.45</v>
      </c>
      <c r="I339">
        <v>42.05</v>
      </c>
      <c r="J339">
        <v>53</v>
      </c>
      <c r="K339" t="s">
        <v>15</v>
      </c>
    </row>
    <row r="340" spans="1:11" x14ac:dyDescent="0.25">
      <c r="A340" t="s">
        <v>365</v>
      </c>
      <c r="B340" t="s">
        <v>17</v>
      </c>
      <c r="C340" s="1">
        <v>44684</v>
      </c>
      <c r="D340" s="1">
        <v>44688</v>
      </c>
      <c r="E340" t="s">
        <v>26</v>
      </c>
      <c r="F340" t="s">
        <v>35</v>
      </c>
      <c r="G340">
        <v>600</v>
      </c>
      <c r="H340">
        <v>60.1</v>
      </c>
      <c r="I340">
        <v>57.92</v>
      </c>
      <c r="J340">
        <v>95</v>
      </c>
      <c r="K340" t="s">
        <v>27</v>
      </c>
    </row>
    <row r="341" spans="1:11" x14ac:dyDescent="0.25">
      <c r="A341" t="s">
        <v>366</v>
      </c>
      <c r="B341" t="s">
        <v>12</v>
      </c>
      <c r="C341" s="1">
        <v>45145</v>
      </c>
      <c r="D341" s="1">
        <v>45163</v>
      </c>
      <c r="E341" t="s">
        <v>39</v>
      </c>
      <c r="F341" t="s">
        <v>35</v>
      </c>
      <c r="G341">
        <v>387</v>
      </c>
      <c r="H341">
        <v>100.28</v>
      </c>
      <c r="I341">
        <v>85.54</v>
      </c>
      <c r="J341">
        <v>5</v>
      </c>
      <c r="K341" t="s">
        <v>15</v>
      </c>
    </row>
    <row r="342" spans="1:11" x14ac:dyDescent="0.25">
      <c r="A342" t="s">
        <v>367</v>
      </c>
      <c r="B342" t="s">
        <v>12</v>
      </c>
      <c r="C342" s="1">
        <v>44814</v>
      </c>
      <c r="D342" s="1">
        <v>44823</v>
      </c>
      <c r="E342" t="s">
        <v>21</v>
      </c>
      <c r="F342" t="s">
        <v>35</v>
      </c>
      <c r="G342">
        <v>921</v>
      </c>
      <c r="H342">
        <v>68.83</v>
      </c>
      <c r="I342">
        <v>59.13</v>
      </c>
      <c r="J342">
        <v>22</v>
      </c>
      <c r="K342" t="s">
        <v>15</v>
      </c>
    </row>
    <row r="343" spans="1:11" x14ac:dyDescent="0.25">
      <c r="A343" t="s">
        <v>368</v>
      </c>
      <c r="B343" t="s">
        <v>23</v>
      </c>
      <c r="C343" s="1">
        <v>45154</v>
      </c>
      <c r="D343" s="1">
        <v>45168</v>
      </c>
      <c r="E343" t="s">
        <v>21</v>
      </c>
      <c r="F343" t="s">
        <v>18</v>
      </c>
      <c r="G343">
        <v>690</v>
      </c>
      <c r="H343">
        <v>22.47</v>
      </c>
      <c r="I343">
        <v>21.94</v>
      </c>
      <c r="J343">
        <v>77</v>
      </c>
      <c r="K343" t="s">
        <v>15</v>
      </c>
    </row>
    <row r="344" spans="1:11" x14ac:dyDescent="0.25">
      <c r="A344" t="s">
        <v>369</v>
      </c>
      <c r="B344" t="s">
        <v>12</v>
      </c>
      <c r="C344" s="1">
        <v>45170</v>
      </c>
      <c r="D344" s="1">
        <v>45190</v>
      </c>
      <c r="E344" t="s">
        <v>13</v>
      </c>
      <c r="F344" t="s">
        <v>14</v>
      </c>
      <c r="G344">
        <v>1852</v>
      </c>
      <c r="H344">
        <v>104.04</v>
      </c>
      <c r="I344">
        <v>94.89</v>
      </c>
      <c r="J344">
        <v>36</v>
      </c>
      <c r="K344" t="s">
        <v>15</v>
      </c>
    </row>
    <row r="345" spans="1:11" x14ac:dyDescent="0.25">
      <c r="A345" t="s">
        <v>370</v>
      </c>
      <c r="B345" t="s">
        <v>17</v>
      </c>
      <c r="C345" s="1">
        <v>44602</v>
      </c>
      <c r="D345" s="1">
        <v>44620</v>
      </c>
      <c r="E345" t="s">
        <v>39</v>
      </c>
      <c r="F345" t="s">
        <v>18</v>
      </c>
      <c r="G345">
        <v>522</v>
      </c>
      <c r="H345">
        <v>66.83</v>
      </c>
      <c r="I345">
        <v>58.01</v>
      </c>
      <c r="J345">
        <v>74</v>
      </c>
      <c r="K345" t="s">
        <v>15</v>
      </c>
    </row>
    <row r="346" spans="1:11" x14ac:dyDescent="0.25">
      <c r="A346" t="s">
        <v>371</v>
      </c>
      <c r="B346" t="s">
        <v>17</v>
      </c>
      <c r="C346" s="1">
        <v>45196</v>
      </c>
      <c r="D346" s="1">
        <v>45205</v>
      </c>
      <c r="E346" t="s">
        <v>39</v>
      </c>
      <c r="F346" t="s">
        <v>18</v>
      </c>
      <c r="G346">
        <v>200</v>
      </c>
      <c r="H346">
        <v>44.16</v>
      </c>
      <c r="I346">
        <v>43.13</v>
      </c>
      <c r="J346">
        <v>21</v>
      </c>
      <c r="K346" t="s">
        <v>15</v>
      </c>
    </row>
    <row r="347" spans="1:11" x14ac:dyDescent="0.25">
      <c r="A347" t="s">
        <v>372</v>
      </c>
      <c r="B347" t="s">
        <v>20</v>
      </c>
      <c r="C347" s="1">
        <v>44645</v>
      </c>
      <c r="D347" s="1">
        <v>44654</v>
      </c>
      <c r="E347" t="s">
        <v>24</v>
      </c>
      <c r="F347" t="s">
        <v>18</v>
      </c>
      <c r="G347">
        <v>1488</v>
      </c>
      <c r="H347">
        <v>22.76</v>
      </c>
      <c r="I347">
        <v>21.99</v>
      </c>
      <c r="K347" t="s">
        <v>15</v>
      </c>
    </row>
    <row r="348" spans="1:11" x14ac:dyDescent="0.25">
      <c r="A348" t="s">
        <v>373</v>
      </c>
      <c r="B348" t="s">
        <v>29</v>
      </c>
      <c r="C348" s="1">
        <v>44991</v>
      </c>
      <c r="D348" s="1">
        <v>45001</v>
      </c>
      <c r="E348" t="s">
        <v>39</v>
      </c>
      <c r="F348" t="s">
        <v>18</v>
      </c>
      <c r="G348">
        <v>1371</v>
      </c>
      <c r="H348">
        <v>87.16</v>
      </c>
      <c r="I348">
        <v>78.13</v>
      </c>
      <c r="J348">
        <v>43</v>
      </c>
      <c r="K348" t="s">
        <v>15</v>
      </c>
    </row>
    <row r="349" spans="1:11" x14ac:dyDescent="0.25">
      <c r="A349" t="s">
        <v>374</v>
      </c>
      <c r="B349" t="s">
        <v>12</v>
      </c>
      <c r="C349" s="1">
        <v>45235</v>
      </c>
      <c r="E349" t="s">
        <v>13</v>
      </c>
      <c r="F349" t="s">
        <v>18</v>
      </c>
      <c r="G349">
        <v>1684</v>
      </c>
      <c r="H349">
        <v>73.05</v>
      </c>
      <c r="I349">
        <v>62.53</v>
      </c>
      <c r="K349" t="s">
        <v>15</v>
      </c>
    </row>
    <row r="350" spans="1:11" x14ac:dyDescent="0.25">
      <c r="A350" t="s">
        <v>375</v>
      </c>
      <c r="B350" t="s">
        <v>29</v>
      </c>
      <c r="C350" s="1">
        <v>45159</v>
      </c>
      <c r="D350" s="1">
        <v>45165</v>
      </c>
      <c r="E350" t="s">
        <v>39</v>
      </c>
      <c r="F350" t="s">
        <v>18</v>
      </c>
      <c r="G350">
        <v>312</v>
      </c>
      <c r="H350">
        <v>63.52</v>
      </c>
      <c r="I350">
        <v>58.09</v>
      </c>
      <c r="K350" t="s">
        <v>15</v>
      </c>
    </row>
    <row r="351" spans="1:11" x14ac:dyDescent="0.25">
      <c r="A351" t="s">
        <v>376</v>
      </c>
      <c r="B351" t="s">
        <v>12</v>
      </c>
      <c r="C351" s="1">
        <v>45140</v>
      </c>
      <c r="D351" s="1">
        <v>45159</v>
      </c>
      <c r="E351" t="s">
        <v>24</v>
      </c>
      <c r="F351" t="s">
        <v>14</v>
      </c>
      <c r="G351">
        <v>1837</v>
      </c>
      <c r="H351">
        <v>99.04</v>
      </c>
      <c r="I351">
        <v>86.51</v>
      </c>
      <c r="J351">
        <v>39</v>
      </c>
      <c r="K351" t="s">
        <v>15</v>
      </c>
    </row>
    <row r="352" spans="1:11" x14ac:dyDescent="0.25">
      <c r="A352" t="s">
        <v>377</v>
      </c>
      <c r="B352" t="s">
        <v>23</v>
      </c>
      <c r="C352" s="1">
        <v>45097</v>
      </c>
      <c r="D352" s="1">
        <v>45100</v>
      </c>
      <c r="E352" t="s">
        <v>21</v>
      </c>
      <c r="F352" t="s">
        <v>18</v>
      </c>
      <c r="G352">
        <v>193</v>
      </c>
      <c r="H352">
        <v>87.86</v>
      </c>
      <c r="I352">
        <v>81.739999999999995</v>
      </c>
      <c r="J352">
        <v>21</v>
      </c>
      <c r="K352" t="s">
        <v>15</v>
      </c>
    </row>
    <row r="353" spans="1:11" x14ac:dyDescent="0.25">
      <c r="A353" t="s">
        <v>378</v>
      </c>
      <c r="B353" t="s">
        <v>23</v>
      </c>
      <c r="C353" s="1">
        <v>44885</v>
      </c>
      <c r="D353" s="1">
        <v>44886</v>
      </c>
      <c r="E353" t="s">
        <v>39</v>
      </c>
      <c r="F353" t="s">
        <v>18</v>
      </c>
      <c r="G353">
        <v>395</v>
      </c>
      <c r="H353">
        <v>24.83</v>
      </c>
      <c r="I353">
        <v>23.96</v>
      </c>
      <c r="J353">
        <v>31</v>
      </c>
      <c r="K353" t="s">
        <v>15</v>
      </c>
    </row>
    <row r="354" spans="1:11" x14ac:dyDescent="0.25">
      <c r="A354" t="s">
        <v>379</v>
      </c>
      <c r="B354" t="s">
        <v>29</v>
      </c>
      <c r="C354" s="1">
        <v>44829</v>
      </c>
      <c r="D354" s="1">
        <v>44846</v>
      </c>
      <c r="E354" t="s">
        <v>39</v>
      </c>
      <c r="F354" t="s">
        <v>14</v>
      </c>
      <c r="G354">
        <v>673</v>
      </c>
      <c r="H354">
        <v>39.58</v>
      </c>
      <c r="I354">
        <v>35.83</v>
      </c>
      <c r="J354">
        <v>25</v>
      </c>
      <c r="K354" t="s">
        <v>15</v>
      </c>
    </row>
    <row r="355" spans="1:11" x14ac:dyDescent="0.25">
      <c r="A355" t="s">
        <v>380</v>
      </c>
      <c r="B355" t="s">
        <v>17</v>
      </c>
      <c r="C355" s="1">
        <v>44771</v>
      </c>
      <c r="D355" s="1">
        <v>44785</v>
      </c>
      <c r="E355" t="s">
        <v>13</v>
      </c>
      <c r="F355" t="s">
        <v>14</v>
      </c>
      <c r="G355">
        <v>1066</v>
      </c>
      <c r="H355">
        <v>33.33</v>
      </c>
      <c r="I355">
        <v>28.47</v>
      </c>
      <c r="J355">
        <v>162</v>
      </c>
      <c r="K355" t="s">
        <v>27</v>
      </c>
    </row>
    <row r="356" spans="1:11" x14ac:dyDescent="0.25">
      <c r="A356" t="s">
        <v>381</v>
      </c>
      <c r="B356" t="s">
        <v>20</v>
      </c>
      <c r="C356" s="1">
        <v>45247</v>
      </c>
      <c r="D356" s="1">
        <v>45253</v>
      </c>
      <c r="E356" t="s">
        <v>24</v>
      </c>
      <c r="F356" t="s">
        <v>18</v>
      </c>
      <c r="G356">
        <v>1645</v>
      </c>
      <c r="H356">
        <v>85.42</v>
      </c>
      <c r="I356">
        <v>80.78</v>
      </c>
      <c r="J356">
        <v>73</v>
      </c>
      <c r="K356" t="s">
        <v>27</v>
      </c>
    </row>
    <row r="357" spans="1:11" x14ac:dyDescent="0.25">
      <c r="A357" t="s">
        <v>382</v>
      </c>
      <c r="B357" t="s">
        <v>12</v>
      </c>
      <c r="C357" s="1">
        <v>44883</v>
      </c>
      <c r="D357" s="1">
        <v>44894</v>
      </c>
      <c r="E357" t="s">
        <v>39</v>
      </c>
      <c r="F357" t="s">
        <v>18</v>
      </c>
      <c r="G357">
        <v>930</v>
      </c>
      <c r="H357">
        <v>13.67</v>
      </c>
      <c r="I357">
        <v>11.95</v>
      </c>
      <c r="J357">
        <v>16</v>
      </c>
      <c r="K357" t="s">
        <v>15</v>
      </c>
    </row>
    <row r="358" spans="1:11" x14ac:dyDescent="0.25">
      <c r="A358" t="s">
        <v>383</v>
      </c>
      <c r="B358" t="s">
        <v>12</v>
      </c>
      <c r="C358" s="1">
        <v>44806</v>
      </c>
      <c r="D358" s="1">
        <v>44825</v>
      </c>
      <c r="E358" t="s">
        <v>13</v>
      </c>
      <c r="F358" t="s">
        <v>18</v>
      </c>
      <c r="G358">
        <v>51</v>
      </c>
      <c r="H358">
        <v>63.74</v>
      </c>
      <c r="I358">
        <v>56.1</v>
      </c>
      <c r="J358">
        <v>0</v>
      </c>
      <c r="K358" t="s">
        <v>15</v>
      </c>
    </row>
    <row r="359" spans="1:11" x14ac:dyDescent="0.25">
      <c r="A359" t="s">
        <v>384</v>
      </c>
      <c r="B359" t="s">
        <v>20</v>
      </c>
      <c r="C359" s="1">
        <v>44833</v>
      </c>
      <c r="D359" s="1">
        <v>44835</v>
      </c>
      <c r="E359" t="s">
        <v>24</v>
      </c>
      <c r="F359" t="s">
        <v>18</v>
      </c>
      <c r="G359">
        <v>946</v>
      </c>
      <c r="H359">
        <v>81.77</v>
      </c>
      <c r="I359">
        <v>71.650000000000006</v>
      </c>
      <c r="J359">
        <v>55</v>
      </c>
      <c r="K359" t="s">
        <v>15</v>
      </c>
    </row>
    <row r="360" spans="1:11" x14ac:dyDescent="0.25">
      <c r="A360" t="s">
        <v>385</v>
      </c>
      <c r="B360" t="s">
        <v>29</v>
      </c>
      <c r="C360" s="1">
        <v>44967</v>
      </c>
      <c r="D360" s="1">
        <v>44987</v>
      </c>
      <c r="E360" t="s">
        <v>26</v>
      </c>
      <c r="F360" t="s">
        <v>33</v>
      </c>
      <c r="G360">
        <v>1377</v>
      </c>
      <c r="H360">
        <v>94.69</v>
      </c>
      <c r="I360">
        <v>84.2</v>
      </c>
      <c r="K360" t="s">
        <v>15</v>
      </c>
    </row>
    <row r="361" spans="1:11" x14ac:dyDescent="0.25">
      <c r="A361" t="s">
        <v>386</v>
      </c>
      <c r="B361" t="s">
        <v>29</v>
      </c>
      <c r="C361" s="1">
        <v>44696</v>
      </c>
      <c r="D361" s="1">
        <v>44699</v>
      </c>
      <c r="E361" t="s">
        <v>24</v>
      </c>
      <c r="F361" t="s">
        <v>14</v>
      </c>
      <c r="G361">
        <v>303</v>
      </c>
      <c r="H361">
        <v>41.6</v>
      </c>
      <c r="I361">
        <v>40.51</v>
      </c>
      <c r="J361">
        <v>11</v>
      </c>
      <c r="K361" t="s">
        <v>15</v>
      </c>
    </row>
    <row r="362" spans="1:11" x14ac:dyDescent="0.25">
      <c r="A362" t="s">
        <v>387</v>
      </c>
      <c r="B362" t="s">
        <v>12</v>
      </c>
      <c r="C362" s="1">
        <v>45249</v>
      </c>
      <c r="D362" s="1">
        <v>45263</v>
      </c>
      <c r="E362" t="s">
        <v>26</v>
      </c>
      <c r="F362" t="s">
        <v>18</v>
      </c>
      <c r="G362">
        <v>1725</v>
      </c>
      <c r="H362">
        <v>93.14</v>
      </c>
      <c r="I362">
        <v>79.62</v>
      </c>
      <c r="J362">
        <v>24</v>
      </c>
      <c r="K362" t="s">
        <v>15</v>
      </c>
    </row>
    <row r="363" spans="1:11" x14ac:dyDescent="0.25">
      <c r="A363" t="s">
        <v>388</v>
      </c>
      <c r="B363" t="s">
        <v>23</v>
      </c>
      <c r="C363" s="1">
        <v>45222</v>
      </c>
      <c r="D363" s="1">
        <v>45237</v>
      </c>
      <c r="E363" t="s">
        <v>26</v>
      </c>
      <c r="F363" t="s">
        <v>14</v>
      </c>
      <c r="G363">
        <v>502</v>
      </c>
      <c r="H363">
        <v>22.05</v>
      </c>
      <c r="I363">
        <v>20.65</v>
      </c>
      <c r="J363">
        <v>50</v>
      </c>
      <c r="K363" t="s">
        <v>27</v>
      </c>
    </row>
    <row r="364" spans="1:11" x14ac:dyDescent="0.25">
      <c r="A364" t="s">
        <v>389</v>
      </c>
      <c r="B364" t="s">
        <v>20</v>
      </c>
      <c r="C364" s="1">
        <v>44869</v>
      </c>
      <c r="D364" s="1">
        <v>44876</v>
      </c>
      <c r="E364" t="s">
        <v>24</v>
      </c>
      <c r="F364" t="s">
        <v>18</v>
      </c>
      <c r="G364">
        <v>1110</v>
      </c>
      <c r="H364">
        <v>90.49</v>
      </c>
      <c r="I364">
        <v>80.03</v>
      </c>
      <c r="J364">
        <v>61</v>
      </c>
      <c r="K364" t="s">
        <v>15</v>
      </c>
    </row>
    <row r="365" spans="1:11" x14ac:dyDescent="0.25">
      <c r="A365" t="s">
        <v>390</v>
      </c>
      <c r="B365" t="s">
        <v>12</v>
      </c>
      <c r="C365" s="1">
        <v>45030</v>
      </c>
      <c r="D365" s="1">
        <v>45034</v>
      </c>
      <c r="E365" t="s">
        <v>24</v>
      </c>
      <c r="F365" t="s">
        <v>18</v>
      </c>
      <c r="G365">
        <v>1233</v>
      </c>
      <c r="H365">
        <v>23.08</v>
      </c>
      <c r="I365">
        <v>20.57</v>
      </c>
      <c r="K365" t="s">
        <v>15</v>
      </c>
    </row>
    <row r="366" spans="1:11" x14ac:dyDescent="0.25">
      <c r="A366" t="s">
        <v>391</v>
      </c>
      <c r="B366" t="s">
        <v>23</v>
      </c>
      <c r="C366" s="1">
        <v>44885</v>
      </c>
      <c r="D366" s="1">
        <v>44889</v>
      </c>
      <c r="E366" t="s">
        <v>13</v>
      </c>
      <c r="F366" t="s">
        <v>18</v>
      </c>
      <c r="G366">
        <v>1064</v>
      </c>
      <c r="H366">
        <v>48.04</v>
      </c>
      <c r="I366">
        <v>43.6</v>
      </c>
      <c r="J366">
        <v>94</v>
      </c>
      <c r="K366" t="s">
        <v>15</v>
      </c>
    </row>
    <row r="367" spans="1:11" x14ac:dyDescent="0.25">
      <c r="A367" t="s">
        <v>392</v>
      </c>
      <c r="B367" t="s">
        <v>29</v>
      </c>
      <c r="C367" s="1">
        <v>44636</v>
      </c>
      <c r="D367" s="1">
        <v>44655</v>
      </c>
      <c r="E367" t="s">
        <v>24</v>
      </c>
      <c r="F367" t="s">
        <v>33</v>
      </c>
      <c r="G367">
        <v>58</v>
      </c>
      <c r="H367">
        <v>82.57</v>
      </c>
      <c r="I367">
        <v>76.55</v>
      </c>
      <c r="K367" t="s">
        <v>15</v>
      </c>
    </row>
    <row r="368" spans="1:11" x14ac:dyDescent="0.25">
      <c r="A368" t="s">
        <v>393</v>
      </c>
      <c r="B368" t="s">
        <v>23</v>
      </c>
      <c r="C368" s="1">
        <v>44571</v>
      </c>
      <c r="D368" s="1">
        <v>44581</v>
      </c>
      <c r="E368" t="s">
        <v>21</v>
      </c>
      <c r="F368" t="s">
        <v>18</v>
      </c>
      <c r="G368">
        <v>1306</v>
      </c>
      <c r="H368">
        <v>23.49</v>
      </c>
      <c r="I368">
        <v>20.170000000000002</v>
      </c>
      <c r="J368">
        <v>116</v>
      </c>
      <c r="K368" t="s">
        <v>27</v>
      </c>
    </row>
    <row r="369" spans="1:11" x14ac:dyDescent="0.25">
      <c r="A369" t="s">
        <v>394</v>
      </c>
      <c r="B369" t="s">
        <v>17</v>
      </c>
      <c r="C369" s="1">
        <v>45031</v>
      </c>
      <c r="D369" s="1">
        <v>45044</v>
      </c>
      <c r="E369" t="s">
        <v>39</v>
      </c>
      <c r="F369" t="s">
        <v>18</v>
      </c>
      <c r="G369">
        <v>1172</v>
      </c>
      <c r="H369">
        <v>32.93</v>
      </c>
      <c r="I369">
        <v>29.28</v>
      </c>
      <c r="K369" t="s">
        <v>27</v>
      </c>
    </row>
    <row r="370" spans="1:11" x14ac:dyDescent="0.25">
      <c r="A370" t="s">
        <v>395</v>
      </c>
      <c r="B370" t="s">
        <v>12</v>
      </c>
      <c r="C370" s="1">
        <v>45198</v>
      </c>
      <c r="E370" t="s">
        <v>24</v>
      </c>
      <c r="F370" t="s">
        <v>18</v>
      </c>
      <c r="G370">
        <v>1732</v>
      </c>
      <c r="H370">
        <v>82.5</v>
      </c>
      <c r="I370">
        <v>71.709999999999994</v>
      </c>
      <c r="J370">
        <v>24</v>
      </c>
      <c r="K370" t="s">
        <v>15</v>
      </c>
    </row>
    <row r="371" spans="1:11" x14ac:dyDescent="0.25">
      <c r="A371" t="s">
        <v>396</v>
      </c>
      <c r="B371" t="s">
        <v>20</v>
      </c>
      <c r="C371" s="1">
        <v>45138</v>
      </c>
      <c r="D371" s="1">
        <v>45145</v>
      </c>
      <c r="E371" t="s">
        <v>26</v>
      </c>
      <c r="F371" t="s">
        <v>18</v>
      </c>
      <c r="G371">
        <v>865</v>
      </c>
      <c r="H371">
        <v>81.540000000000006</v>
      </c>
      <c r="I371">
        <v>71.59</v>
      </c>
      <c r="J371">
        <v>39</v>
      </c>
      <c r="K371" t="s">
        <v>15</v>
      </c>
    </row>
    <row r="372" spans="1:11" x14ac:dyDescent="0.25">
      <c r="A372" t="s">
        <v>397</v>
      </c>
      <c r="B372" t="s">
        <v>23</v>
      </c>
      <c r="C372" s="1">
        <v>44664</v>
      </c>
      <c r="D372" s="1">
        <v>44671</v>
      </c>
      <c r="E372" t="s">
        <v>26</v>
      </c>
      <c r="F372" t="s">
        <v>18</v>
      </c>
      <c r="G372">
        <v>257</v>
      </c>
      <c r="H372">
        <v>68.72</v>
      </c>
      <c r="I372">
        <v>66.92</v>
      </c>
      <c r="J372">
        <v>22</v>
      </c>
      <c r="K372" t="s">
        <v>15</v>
      </c>
    </row>
    <row r="373" spans="1:11" x14ac:dyDescent="0.25">
      <c r="A373" t="s">
        <v>398</v>
      </c>
      <c r="B373" t="s">
        <v>29</v>
      </c>
      <c r="C373" s="1">
        <v>44637</v>
      </c>
      <c r="D373" s="1">
        <v>44646</v>
      </c>
      <c r="E373" t="s">
        <v>24</v>
      </c>
      <c r="F373" t="s">
        <v>18</v>
      </c>
      <c r="G373">
        <v>1204</v>
      </c>
      <c r="H373">
        <v>73.180000000000007</v>
      </c>
      <c r="I373">
        <v>67.59</v>
      </c>
      <c r="J373">
        <v>31</v>
      </c>
      <c r="K373" t="s">
        <v>15</v>
      </c>
    </row>
    <row r="374" spans="1:11" x14ac:dyDescent="0.25">
      <c r="A374" t="s">
        <v>399</v>
      </c>
      <c r="B374" t="s">
        <v>23</v>
      </c>
      <c r="C374" s="1">
        <v>45112</v>
      </c>
      <c r="D374" s="1">
        <v>45116</v>
      </c>
      <c r="E374" t="s">
        <v>39</v>
      </c>
      <c r="F374" t="s">
        <v>33</v>
      </c>
      <c r="G374">
        <v>453</v>
      </c>
      <c r="H374">
        <v>64.14</v>
      </c>
      <c r="I374">
        <v>60.18</v>
      </c>
      <c r="J374">
        <v>51</v>
      </c>
      <c r="K374" t="s">
        <v>15</v>
      </c>
    </row>
    <row r="375" spans="1:11" x14ac:dyDescent="0.25">
      <c r="A375" t="s">
        <v>400</v>
      </c>
      <c r="B375" t="s">
        <v>29</v>
      </c>
      <c r="C375" s="1">
        <v>44780</v>
      </c>
      <c r="D375" s="1">
        <v>44794</v>
      </c>
      <c r="E375" t="s">
        <v>39</v>
      </c>
      <c r="F375" t="s">
        <v>18</v>
      </c>
      <c r="G375">
        <v>201</v>
      </c>
      <c r="H375">
        <v>33.81</v>
      </c>
      <c r="I375">
        <v>32.54</v>
      </c>
      <c r="J375">
        <v>3</v>
      </c>
      <c r="K375" t="s">
        <v>15</v>
      </c>
    </row>
    <row r="376" spans="1:11" x14ac:dyDescent="0.25">
      <c r="A376" t="s">
        <v>401</v>
      </c>
      <c r="B376" t="s">
        <v>17</v>
      </c>
      <c r="C376" s="1">
        <v>45080</v>
      </c>
      <c r="D376" s="1">
        <v>45093</v>
      </c>
      <c r="E376" t="s">
        <v>13</v>
      </c>
      <c r="F376" t="s">
        <v>18</v>
      </c>
      <c r="G376">
        <v>103</v>
      </c>
      <c r="H376">
        <v>44.61</v>
      </c>
      <c r="I376">
        <v>42.88</v>
      </c>
      <c r="J376">
        <v>10</v>
      </c>
      <c r="K376" t="s">
        <v>15</v>
      </c>
    </row>
    <row r="377" spans="1:11" x14ac:dyDescent="0.25">
      <c r="A377" t="s">
        <v>402</v>
      </c>
      <c r="B377" t="s">
        <v>29</v>
      </c>
      <c r="C377" s="1">
        <v>44833</v>
      </c>
      <c r="D377" s="1">
        <v>44841</v>
      </c>
      <c r="E377" t="s">
        <v>13</v>
      </c>
      <c r="F377" t="s">
        <v>18</v>
      </c>
      <c r="G377">
        <v>1193</v>
      </c>
      <c r="H377">
        <v>27.4</v>
      </c>
      <c r="I377">
        <v>27.09</v>
      </c>
      <c r="K377" t="s">
        <v>15</v>
      </c>
    </row>
    <row r="378" spans="1:11" x14ac:dyDescent="0.25">
      <c r="A378" t="s">
        <v>403</v>
      </c>
      <c r="B378" t="s">
        <v>20</v>
      </c>
      <c r="C378" s="1">
        <v>44697</v>
      </c>
      <c r="D378" s="1">
        <v>44709</v>
      </c>
      <c r="E378" t="s">
        <v>13</v>
      </c>
      <c r="F378" t="s">
        <v>33</v>
      </c>
      <c r="G378">
        <v>1746</v>
      </c>
      <c r="H378">
        <v>93.6</v>
      </c>
      <c r="I378">
        <v>89.81</v>
      </c>
      <c r="J378">
        <v>85</v>
      </c>
      <c r="K378" t="s">
        <v>15</v>
      </c>
    </row>
    <row r="379" spans="1:11" x14ac:dyDescent="0.25">
      <c r="A379" t="s">
        <v>404</v>
      </c>
      <c r="B379" t="s">
        <v>17</v>
      </c>
      <c r="C379" s="1">
        <v>44919</v>
      </c>
      <c r="D379" s="1">
        <v>44921</v>
      </c>
      <c r="E379" t="s">
        <v>39</v>
      </c>
      <c r="F379" t="s">
        <v>18</v>
      </c>
      <c r="G379">
        <v>1993</v>
      </c>
      <c r="H379">
        <v>65.94</v>
      </c>
      <c r="I379">
        <v>59.36</v>
      </c>
      <c r="K379" t="s">
        <v>15</v>
      </c>
    </row>
    <row r="380" spans="1:11" x14ac:dyDescent="0.25">
      <c r="A380" t="s">
        <v>405</v>
      </c>
      <c r="B380" t="s">
        <v>23</v>
      </c>
      <c r="C380" s="1">
        <v>44632</v>
      </c>
      <c r="D380" s="1">
        <v>44647</v>
      </c>
      <c r="E380" t="s">
        <v>26</v>
      </c>
      <c r="F380" t="s">
        <v>18</v>
      </c>
      <c r="G380">
        <v>677</v>
      </c>
      <c r="H380">
        <v>46.54</v>
      </c>
      <c r="I380">
        <v>43.11</v>
      </c>
      <c r="K380" t="s">
        <v>27</v>
      </c>
    </row>
    <row r="381" spans="1:11" x14ac:dyDescent="0.25">
      <c r="A381" t="s">
        <v>406</v>
      </c>
      <c r="B381" t="s">
        <v>12</v>
      </c>
      <c r="C381" s="1">
        <v>44812</v>
      </c>
      <c r="E381" t="s">
        <v>13</v>
      </c>
      <c r="F381" t="s">
        <v>35</v>
      </c>
      <c r="G381">
        <v>636</v>
      </c>
      <c r="H381">
        <v>53.64</v>
      </c>
      <c r="I381">
        <v>49.23</v>
      </c>
      <c r="J381">
        <v>18</v>
      </c>
      <c r="K381" t="s">
        <v>15</v>
      </c>
    </row>
    <row r="382" spans="1:11" x14ac:dyDescent="0.25">
      <c r="A382" t="s">
        <v>407</v>
      </c>
      <c r="B382" t="s">
        <v>29</v>
      </c>
      <c r="C382" s="1">
        <v>44940</v>
      </c>
      <c r="D382" s="1">
        <v>44959</v>
      </c>
      <c r="E382" t="s">
        <v>24</v>
      </c>
      <c r="F382" t="s">
        <v>18</v>
      </c>
      <c r="G382">
        <v>1698</v>
      </c>
      <c r="H382">
        <v>100.97</v>
      </c>
      <c r="I382">
        <v>98.73</v>
      </c>
      <c r="J382">
        <v>52</v>
      </c>
      <c r="K382" t="s">
        <v>15</v>
      </c>
    </row>
    <row r="383" spans="1:11" x14ac:dyDescent="0.25">
      <c r="A383" t="s">
        <v>408</v>
      </c>
      <c r="B383" t="s">
        <v>20</v>
      </c>
      <c r="C383" s="1">
        <v>44853</v>
      </c>
      <c r="D383" s="1">
        <v>44866</v>
      </c>
      <c r="E383" t="s">
        <v>13</v>
      </c>
      <c r="F383" t="s">
        <v>18</v>
      </c>
      <c r="G383">
        <v>1493</v>
      </c>
      <c r="H383">
        <v>24.87</v>
      </c>
      <c r="I383">
        <v>22.89</v>
      </c>
      <c r="J383">
        <v>56</v>
      </c>
      <c r="K383" t="s">
        <v>15</v>
      </c>
    </row>
    <row r="384" spans="1:11" x14ac:dyDescent="0.25">
      <c r="A384" t="s">
        <v>409</v>
      </c>
      <c r="B384" t="s">
        <v>12</v>
      </c>
      <c r="C384" s="1">
        <v>44723</v>
      </c>
      <c r="D384" s="1">
        <v>44737</v>
      </c>
      <c r="E384" t="s">
        <v>24</v>
      </c>
      <c r="F384" t="s">
        <v>18</v>
      </c>
      <c r="G384">
        <v>1495</v>
      </c>
      <c r="H384">
        <v>64.33</v>
      </c>
      <c r="I384">
        <v>58.18</v>
      </c>
      <c r="J384">
        <v>26</v>
      </c>
      <c r="K384" t="s">
        <v>15</v>
      </c>
    </row>
    <row r="385" spans="1:11" x14ac:dyDescent="0.25">
      <c r="A385" t="s">
        <v>410</v>
      </c>
      <c r="B385" t="s">
        <v>12</v>
      </c>
      <c r="C385" s="1">
        <v>45010</v>
      </c>
      <c r="D385" s="1">
        <v>45023</v>
      </c>
      <c r="E385" t="s">
        <v>24</v>
      </c>
      <c r="F385" t="s">
        <v>14</v>
      </c>
      <c r="G385">
        <v>153</v>
      </c>
      <c r="H385">
        <v>59.42</v>
      </c>
      <c r="I385">
        <v>52</v>
      </c>
      <c r="J385">
        <v>3</v>
      </c>
      <c r="K385" t="s">
        <v>15</v>
      </c>
    </row>
    <row r="386" spans="1:11" x14ac:dyDescent="0.25">
      <c r="A386" t="s">
        <v>411</v>
      </c>
      <c r="B386" t="s">
        <v>17</v>
      </c>
      <c r="C386" s="1">
        <v>45118</v>
      </c>
      <c r="D386" s="1">
        <v>45129</v>
      </c>
      <c r="E386" t="s">
        <v>26</v>
      </c>
      <c r="F386" t="s">
        <v>14</v>
      </c>
      <c r="G386">
        <v>1925</v>
      </c>
      <c r="H386">
        <v>70.88</v>
      </c>
      <c r="I386">
        <v>63.41</v>
      </c>
      <c r="J386">
        <v>292</v>
      </c>
      <c r="K386" t="s">
        <v>15</v>
      </c>
    </row>
    <row r="387" spans="1:11" x14ac:dyDescent="0.25">
      <c r="A387" t="s">
        <v>412</v>
      </c>
      <c r="B387" t="s">
        <v>23</v>
      </c>
      <c r="C387" s="1">
        <v>45282</v>
      </c>
      <c r="D387" s="1">
        <v>45302</v>
      </c>
      <c r="E387" t="s">
        <v>24</v>
      </c>
      <c r="F387" t="s">
        <v>18</v>
      </c>
      <c r="G387">
        <v>303</v>
      </c>
      <c r="H387">
        <v>12.97</v>
      </c>
      <c r="I387">
        <v>11.42</v>
      </c>
      <c r="K387" t="s">
        <v>27</v>
      </c>
    </row>
    <row r="388" spans="1:11" x14ac:dyDescent="0.25">
      <c r="A388" t="s">
        <v>413</v>
      </c>
      <c r="B388" t="s">
        <v>12</v>
      </c>
      <c r="C388" s="1">
        <v>44871</v>
      </c>
      <c r="D388" s="1">
        <v>44883</v>
      </c>
      <c r="E388" t="s">
        <v>13</v>
      </c>
      <c r="F388" t="s">
        <v>18</v>
      </c>
      <c r="G388">
        <v>1300</v>
      </c>
      <c r="H388">
        <v>92.92</v>
      </c>
      <c r="I388">
        <v>90.63</v>
      </c>
      <c r="K388" t="s">
        <v>15</v>
      </c>
    </row>
    <row r="389" spans="1:11" x14ac:dyDescent="0.25">
      <c r="A389" t="s">
        <v>414</v>
      </c>
      <c r="B389" t="s">
        <v>20</v>
      </c>
      <c r="C389" s="1">
        <v>45188</v>
      </c>
      <c r="D389" s="1">
        <v>45192</v>
      </c>
      <c r="E389" t="s">
        <v>26</v>
      </c>
      <c r="F389" t="s">
        <v>18</v>
      </c>
      <c r="G389">
        <v>1185</v>
      </c>
      <c r="H389">
        <v>103.28</v>
      </c>
      <c r="I389">
        <v>99.05</v>
      </c>
      <c r="K389" t="s">
        <v>15</v>
      </c>
    </row>
    <row r="390" spans="1:11" x14ac:dyDescent="0.25">
      <c r="A390" t="s">
        <v>415</v>
      </c>
      <c r="B390" t="s">
        <v>29</v>
      </c>
      <c r="C390" s="1">
        <v>45231</v>
      </c>
      <c r="D390" s="1">
        <v>45250</v>
      </c>
      <c r="E390" t="s">
        <v>26</v>
      </c>
      <c r="F390" t="s">
        <v>18</v>
      </c>
      <c r="G390">
        <v>559</v>
      </c>
      <c r="H390">
        <v>67.56</v>
      </c>
      <c r="I390">
        <v>57.98</v>
      </c>
      <c r="J390">
        <v>15</v>
      </c>
      <c r="K390" t="s">
        <v>15</v>
      </c>
    </row>
    <row r="391" spans="1:11" x14ac:dyDescent="0.25">
      <c r="A391" t="s">
        <v>416</v>
      </c>
      <c r="B391" t="s">
        <v>29</v>
      </c>
      <c r="C391" s="1">
        <v>45103</v>
      </c>
      <c r="D391" s="1">
        <v>45106</v>
      </c>
      <c r="E391" t="s">
        <v>39</v>
      </c>
      <c r="F391" t="s">
        <v>35</v>
      </c>
      <c r="G391">
        <v>1546</v>
      </c>
      <c r="H391">
        <v>78.88</v>
      </c>
      <c r="I391">
        <v>78</v>
      </c>
      <c r="J391">
        <v>38</v>
      </c>
      <c r="K391" t="s">
        <v>15</v>
      </c>
    </row>
    <row r="392" spans="1:11" x14ac:dyDescent="0.25">
      <c r="A392" t="s">
        <v>417</v>
      </c>
      <c r="B392" t="s">
        <v>29</v>
      </c>
      <c r="C392" s="1">
        <v>44570</v>
      </c>
      <c r="D392" s="1">
        <v>44580</v>
      </c>
      <c r="E392" t="s">
        <v>24</v>
      </c>
      <c r="F392" t="s">
        <v>18</v>
      </c>
      <c r="G392">
        <v>148</v>
      </c>
      <c r="H392">
        <v>93.02</v>
      </c>
      <c r="I392">
        <v>85.96</v>
      </c>
      <c r="J392">
        <v>4</v>
      </c>
      <c r="K392" t="s">
        <v>15</v>
      </c>
    </row>
    <row r="393" spans="1:11" x14ac:dyDescent="0.25">
      <c r="A393" t="s">
        <v>418</v>
      </c>
      <c r="B393" t="s">
        <v>17</v>
      </c>
      <c r="C393" s="1">
        <v>45245</v>
      </c>
      <c r="D393" s="1">
        <v>45253</v>
      </c>
      <c r="E393" t="s">
        <v>13</v>
      </c>
      <c r="F393" t="s">
        <v>18</v>
      </c>
      <c r="G393">
        <v>202</v>
      </c>
      <c r="H393">
        <v>81.75</v>
      </c>
      <c r="I393">
        <v>78.260000000000005</v>
      </c>
      <c r="J393">
        <v>37</v>
      </c>
      <c r="K393" t="s">
        <v>27</v>
      </c>
    </row>
    <row r="394" spans="1:11" x14ac:dyDescent="0.25">
      <c r="A394" t="s">
        <v>419</v>
      </c>
      <c r="B394" t="s">
        <v>20</v>
      </c>
      <c r="C394" s="1">
        <v>45129</v>
      </c>
      <c r="D394" s="1">
        <v>45135</v>
      </c>
      <c r="E394" t="s">
        <v>24</v>
      </c>
      <c r="F394" t="s">
        <v>18</v>
      </c>
      <c r="G394">
        <v>1934</v>
      </c>
      <c r="H394">
        <v>25.86</v>
      </c>
      <c r="I394">
        <v>25.6</v>
      </c>
      <c r="J394">
        <v>78</v>
      </c>
      <c r="K394" t="s">
        <v>15</v>
      </c>
    </row>
    <row r="395" spans="1:11" x14ac:dyDescent="0.25">
      <c r="A395" t="s">
        <v>420</v>
      </c>
      <c r="B395" t="s">
        <v>12</v>
      </c>
      <c r="C395" s="1">
        <v>44868</v>
      </c>
      <c r="D395" s="1">
        <v>44872</v>
      </c>
      <c r="E395" t="s">
        <v>13</v>
      </c>
      <c r="F395" t="s">
        <v>18</v>
      </c>
      <c r="G395">
        <v>963</v>
      </c>
      <c r="H395">
        <v>64.959999999999994</v>
      </c>
      <c r="I395">
        <v>64.069999999999993</v>
      </c>
      <c r="J395">
        <v>20</v>
      </c>
      <c r="K395" t="s">
        <v>15</v>
      </c>
    </row>
    <row r="396" spans="1:11" x14ac:dyDescent="0.25">
      <c r="A396" t="s">
        <v>421</v>
      </c>
      <c r="B396" t="s">
        <v>20</v>
      </c>
      <c r="C396" s="1">
        <v>45241</v>
      </c>
      <c r="D396" s="1">
        <v>45248</v>
      </c>
      <c r="E396" t="s">
        <v>21</v>
      </c>
      <c r="F396" t="s">
        <v>18</v>
      </c>
      <c r="G396">
        <v>1969</v>
      </c>
      <c r="H396">
        <v>71.709999999999994</v>
      </c>
      <c r="I396">
        <v>61.96</v>
      </c>
      <c r="K396" t="s">
        <v>15</v>
      </c>
    </row>
    <row r="397" spans="1:11" x14ac:dyDescent="0.25">
      <c r="A397" t="s">
        <v>422</v>
      </c>
      <c r="B397" t="s">
        <v>17</v>
      </c>
      <c r="C397" s="1">
        <v>44668</v>
      </c>
      <c r="E397" t="s">
        <v>39</v>
      </c>
      <c r="F397" t="s">
        <v>18</v>
      </c>
      <c r="G397">
        <v>927</v>
      </c>
      <c r="H397">
        <v>48.89</v>
      </c>
      <c r="I397">
        <v>46.05</v>
      </c>
      <c r="J397">
        <v>138</v>
      </c>
      <c r="K397" t="s">
        <v>15</v>
      </c>
    </row>
    <row r="398" spans="1:11" x14ac:dyDescent="0.25">
      <c r="A398" t="s">
        <v>423</v>
      </c>
      <c r="B398" t="s">
        <v>17</v>
      </c>
      <c r="C398" s="1">
        <v>44699</v>
      </c>
      <c r="D398" s="1">
        <v>44704</v>
      </c>
      <c r="E398" t="s">
        <v>26</v>
      </c>
      <c r="F398" t="s">
        <v>14</v>
      </c>
      <c r="G398">
        <v>387</v>
      </c>
      <c r="H398">
        <v>77.81</v>
      </c>
      <c r="I398">
        <v>69.040000000000006</v>
      </c>
      <c r="J398">
        <v>67</v>
      </c>
      <c r="K398" t="s">
        <v>15</v>
      </c>
    </row>
    <row r="399" spans="1:11" x14ac:dyDescent="0.25">
      <c r="A399" t="s">
        <v>424</v>
      </c>
      <c r="B399" t="s">
        <v>23</v>
      </c>
      <c r="C399" s="1">
        <v>44832</v>
      </c>
      <c r="D399" s="1">
        <v>44837</v>
      </c>
      <c r="E399" t="s">
        <v>39</v>
      </c>
      <c r="F399" t="s">
        <v>18</v>
      </c>
      <c r="G399">
        <v>1779</v>
      </c>
      <c r="H399">
        <v>97.86</v>
      </c>
      <c r="I399">
        <v>94.36</v>
      </c>
      <c r="J399">
        <v>176</v>
      </c>
      <c r="K399" t="s">
        <v>15</v>
      </c>
    </row>
    <row r="400" spans="1:11" x14ac:dyDescent="0.25">
      <c r="A400" t="s">
        <v>425</v>
      </c>
      <c r="B400" t="s">
        <v>20</v>
      </c>
      <c r="C400" s="1">
        <v>44680</v>
      </c>
      <c r="D400" s="1">
        <v>44686</v>
      </c>
      <c r="E400" t="s">
        <v>21</v>
      </c>
      <c r="F400" t="s">
        <v>35</v>
      </c>
      <c r="G400">
        <v>871</v>
      </c>
      <c r="H400">
        <v>94.7</v>
      </c>
      <c r="I400">
        <v>92.66</v>
      </c>
      <c r="J400">
        <v>46</v>
      </c>
      <c r="K400" t="s">
        <v>15</v>
      </c>
    </row>
    <row r="401" spans="1:11" x14ac:dyDescent="0.25">
      <c r="A401" t="s">
        <v>426</v>
      </c>
      <c r="B401" t="s">
        <v>29</v>
      </c>
      <c r="C401" s="1">
        <v>44671</v>
      </c>
      <c r="D401" s="1">
        <v>44674</v>
      </c>
      <c r="E401" t="s">
        <v>39</v>
      </c>
      <c r="F401" t="s">
        <v>18</v>
      </c>
      <c r="G401">
        <v>1236</v>
      </c>
      <c r="H401">
        <v>51.33</v>
      </c>
      <c r="I401">
        <v>44.03</v>
      </c>
      <c r="J401">
        <v>25</v>
      </c>
      <c r="K401" t="s">
        <v>15</v>
      </c>
    </row>
    <row r="402" spans="1:11" x14ac:dyDescent="0.25">
      <c r="A402" t="s">
        <v>427</v>
      </c>
      <c r="B402" t="s">
        <v>17</v>
      </c>
      <c r="C402" s="1">
        <v>45128</v>
      </c>
      <c r="D402" s="1">
        <v>45144</v>
      </c>
      <c r="E402" t="s">
        <v>39</v>
      </c>
      <c r="F402" t="s">
        <v>18</v>
      </c>
      <c r="G402">
        <v>1793</v>
      </c>
      <c r="H402">
        <v>22.01</v>
      </c>
      <c r="I402">
        <v>21.78</v>
      </c>
      <c r="J402">
        <v>285</v>
      </c>
      <c r="K402" t="s">
        <v>15</v>
      </c>
    </row>
    <row r="403" spans="1:11" x14ac:dyDescent="0.25">
      <c r="A403" t="s">
        <v>428</v>
      </c>
      <c r="B403" t="s">
        <v>17</v>
      </c>
      <c r="C403" s="1">
        <v>44721</v>
      </c>
      <c r="D403" s="1">
        <v>44740</v>
      </c>
      <c r="E403" t="s">
        <v>21</v>
      </c>
      <c r="F403" t="s">
        <v>18</v>
      </c>
      <c r="G403">
        <v>1006</v>
      </c>
      <c r="H403">
        <v>101.1</v>
      </c>
      <c r="I403">
        <v>89.04</v>
      </c>
      <c r="J403">
        <v>139</v>
      </c>
      <c r="K403" t="s">
        <v>15</v>
      </c>
    </row>
    <row r="404" spans="1:11" x14ac:dyDescent="0.25">
      <c r="A404" t="s">
        <v>429</v>
      </c>
      <c r="B404" t="s">
        <v>23</v>
      </c>
      <c r="C404" s="1">
        <v>44840</v>
      </c>
      <c r="D404" s="1">
        <v>44855</v>
      </c>
      <c r="E404" t="s">
        <v>39</v>
      </c>
      <c r="F404" t="s">
        <v>14</v>
      </c>
      <c r="G404">
        <v>1754</v>
      </c>
      <c r="H404">
        <v>89.35</v>
      </c>
      <c r="I404">
        <v>86.54</v>
      </c>
      <c r="J404">
        <v>161</v>
      </c>
      <c r="K404" t="s">
        <v>27</v>
      </c>
    </row>
    <row r="405" spans="1:11" x14ac:dyDescent="0.25">
      <c r="A405" t="s">
        <v>430</v>
      </c>
      <c r="B405" t="s">
        <v>29</v>
      </c>
      <c r="C405" s="1">
        <v>44850</v>
      </c>
      <c r="D405" s="1">
        <v>44869</v>
      </c>
      <c r="E405" t="s">
        <v>39</v>
      </c>
      <c r="F405" t="s">
        <v>18</v>
      </c>
      <c r="G405">
        <v>210</v>
      </c>
      <c r="H405">
        <v>22.17</v>
      </c>
      <c r="I405">
        <v>21.32</v>
      </c>
      <c r="J405">
        <v>10</v>
      </c>
      <c r="K405" t="s">
        <v>15</v>
      </c>
    </row>
    <row r="406" spans="1:11" x14ac:dyDescent="0.25">
      <c r="A406" t="s">
        <v>431</v>
      </c>
      <c r="B406" t="s">
        <v>17</v>
      </c>
      <c r="C406" s="1">
        <v>45181</v>
      </c>
      <c r="D406" s="1">
        <v>45201</v>
      </c>
      <c r="E406" t="s">
        <v>21</v>
      </c>
      <c r="F406" t="s">
        <v>18</v>
      </c>
      <c r="G406">
        <v>1653</v>
      </c>
      <c r="H406">
        <v>102.16</v>
      </c>
      <c r="I406">
        <v>91.91</v>
      </c>
      <c r="J406">
        <v>217</v>
      </c>
      <c r="K406" t="s">
        <v>15</v>
      </c>
    </row>
    <row r="407" spans="1:11" x14ac:dyDescent="0.25">
      <c r="A407" t="s">
        <v>432</v>
      </c>
      <c r="B407" t="s">
        <v>12</v>
      </c>
      <c r="C407" s="1">
        <v>44777</v>
      </c>
      <c r="D407" s="1">
        <v>44788</v>
      </c>
      <c r="E407" t="s">
        <v>21</v>
      </c>
      <c r="F407" t="s">
        <v>33</v>
      </c>
      <c r="G407">
        <v>850</v>
      </c>
      <c r="H407">
        <v>91.38</v>
      </c>
      <c r="I407">
        <v>88.41</v>
      </c>
      <c r="J407">
        <v>24</v>
      </c>
      <c r="K407" t="s">
        <v>15</v>
      </c>
    </row>
    <row r="408" spans="1:11" x14ac:dyDescent="0.25">
      <c r="A408" t="s">
        <v>433</v>
      </c>
      <c r="B408" t="s">
        <v>29</v>
      </c>
      <c r="C408" s="1">
        <v>44913</v>
      </c>
      <c r="D408" s="1">
        <v>44916</v>
      </c>
      <c r="E408" t="s">
        <v>26</v>
      </c>
      <c r="F408" t="s">
        <v>18</v>
      </c>
      <c r="G408">
        <v>447</v>
      </c>
      <c r="H408">
        <v>59.81</v>
      </c>
      <c r="I408">
        <v>57.92</v>
      </c>
      <c r="J408">
        <v>13</v>
      </c>
      <c r="K408" t="s">
        <v>15</v>
      </c>
    </row>
    <row r="409" spans="1:11" x14ac:dyDescent="0.25">
      <c r="A409" t="s">
        <v>434</v>
      </c>
      <c r="B409" t="s">
        <v>20</v>
      </c>
      <c r="C409" s="1">
        <v>44770</v>
      </c>
      <c r="D409" s="1">
        <v>44780</v>
      </c>
      <c r="E409" t="s">
        <v>13</v>
      </c>
      <c r="F409" t="s">
        <v>18</v>
      </c>
      <c r="G409">
        <v>1350</v>
      </c>
      <c r="H409">
        <v>65.11</v>
      </c>
      <c r="I409">
        <v>56.95</v>
      </c>
      <c r="J409">
        <v>71</v>
      </c>
      <c r="K409" t="s">
        <v>15</v>
      </c>
    </row>
    <row r="410" spans="1:11" x14ac:dyDescent="0.25">
      <c r="A410" t="s">
        <v>435</v>
      </c>
      <c r="B410" t="s">
        <v>23</v>
      </c>
      <c r="C410" s="1">
        <v>45265</v>
      </c>
      <c r="D410" s="1">
        <v>45284</v>
      </c>
      <c r="E410" t="s">
        <v>13</v>
      </c>
      <c r="F410" t="s">
        <v>18</v>
      </c>
      <c r="G410">
        <v>865</v>
      </c>
      <c r="H410">
        <v>51.19</v>
      </c>
      <c r="I410">
        <v>47.76</v>
      </c>
      <c r="J410">
        <v>83</v>
      </c>
      <c r="K410" t="s">
        <v>15</v>
      </c>
    </row>
    <row r="411" spans="1:11" x14ac:dyDescent="0.25">
      <c r="A411" t="s">
        <v>436</v>
      </c>
      <c r="B411" t="s">
        <v>12</v>
      </c>
      <c r="C411" s="1">
        <v>45211</v>
      </c>
      <c r="D411" s="1">
        <v>45228</v>
      </c>
      <c r="E411" t="s">
        <v>21</v>
      </c>
      <c r="F411" t="s">
        <v>18</v>
      </c>
      <c r="G411">
        <v>1989</v>
      </c>
      <c r="H411">
        <v>16.5</v>
      </c>
      <c r="I411">
        <v>15.89</v>
      </c>
      <c r="J411">
        <v>57</v>
      </c>
      <c r="K411" t="s">
        <v>15</v>
      </c>
    </row>
    <row r="412" spans="1:11" x14ac:dyDescent="0.25">
      <c r="A412" t="s">
        <v>437</v>
      </c>
      <c r="B412" t="s">
        <v>12</v>
      </c>
      <c r="C412" s="1">
        <v>44832</v>
      </c>
      <c r="D412" s="1">
        <v>44847</v>
      </c>
      <c r="E412" t="s">
        <v>13</v>
      </c>
      <c r="F412" t="s">
        <v>18</v>
      </c>
      <c r="G412">
        <v>1577</v>
      </c>
      <c r="H412">
        <v>41.77</v>
      </c>
      <c r="I412">
        <v>39.58</v>
      </c>
      <c r="J412">
        <v>32</v>
      </c>
      <c r="K412" t="s">
        <v>15</v>
      </c>
    </row>
    <row r="413" spans="1:11" x14ac:dyDescent="0.25">
      <c r="A413" t="s">
        <v>438</v>
      </c>
      <c r="B413" t="s">
        <v>20</v>
      </c>
      <c r="C413" s="1">
        <v>45079</v>
      </c>
      <c r="D413" s="1">
        <v>45081</v>
      </c>
      <c r="E413" t="s">
        <v>24</v>
      </c>
      <c r="F413" t="s">
        <v>35</v>
      </c>
      <c r="G413">
        <v>1969</v>
      </c>
      <c r="H413">
        <v>89.25</v>
      </c>
      <c r="I413">
        <v>87.28</v>
      </c>
      <c r="J413">
        <v>108</v>
      </c>
      <c r="K413" t="s">
        <v>27</v>
      </c>
    </row>
    <row r="414" spans="1:11" x14ac:dyDescent="0.25">
      <c r="A414" t="s">
        <v>439</v>
      </c>
      <c r="B414" t="s">
        <v>23</v>
      </c>
      <c r="C414" s="1">
        <v>45062</v>
      </c>
      <c r="D414" s="1">
        <v>45072</v>
      </c>
      <c r="E414" t="s">
        <v>24</v>
      </c>
      <c r="F414" t="s">
        <v>33</v>
      </c>
      <c r="G414">
        <v>1465</v>
      </c>
      <c r="H414">
        <v>11.25</v>
      </c>
      <c r="I414">
        <v>9.61</v>
      </c>
      <c r="J414">
        <v>151</v>
      </c>
      <c r="K414" t="s">
        <v>15</v>
      </c>
    </row>
    <row r="415" spans="1:11" x14ac:dyDescent="0.25">
      <c r="A415" t="s">
        <v>440</v>
      </c>
      <c r="B415" t="s">
        <v>17</v>
      </c>
      <c r="C415" s="1">
        <v>44819</v>
      </c>
      <c r="D415" s="1">
        <v>44822</v>
      </c>
      <c r="E415" t="s">
        <v>24</v>
      </c>
      <c r="F415" t="s">
        <v>35</v>
      </c>
      <c r="G415">
        <v>1208</v>
      </c>
      <c r="H415">
        <v>41.62</v>
      </c>
      <c r="I415">
        <v>39.46</v>
      </c>
      <c r="K415" t="s">
        <v>15</v>
      </c>
    </row>
    <row r="416" spans="1:11" x14ac:dyDescent="0.25">
      <c r="A416" t="s">
        <v>441</v>
      </c>
      <c r="B416" t="s">
        <v>23</v>
      </c>
      <c r="C416" s="1">
        <v>44614</v>
      </c>
      <c r="D416" s="1">
        <v>44631</v>
      </c>
      <c r="E416" t="s">
        <v>26</v>
      </c>
      <c r="F416" t="s">
        <v>18</v>
      </c>
      <c r="G416">
        <v>1268</v>
      </c>
      <c r="H416">
        <v>46.06</v>
      </c>
      <c r="I416">
        <v>45.26</v>
      </c>
      <c r="J416">
        <v>123</v>
      </c>
      <c r="K416" t="s">
        <v>15</v>
      </c>
    </row>
    <row r="417" spans="1:11" x14ac:dyDescent="0.25">
      <c r="A417" t="s">
        <v>442</v>
      </c>
      <c r="B417" t="s">
        <v>17</v>
      </c>
      <c r="C417" s="1">
        <v>44656</v>
      </c>
      <c r="D417" s="1">
        <v>44675</v>
      </c>
      <c r="E417" t="s">
        <v>13</v>
      </c>
      <c r="F417" t="s">
        <v>18</v>
      </c>
      <c r="G417">
        <v>450</v>
      </c>
      <c r="H417">
        <v>59.24</v>
      </c>
      <c r="I417">
        <v>55.03</v>
      </c>
      <c r="J417">
        <v>68</v>
      </c>
      <c r="K417" t="s">
        <v>27</v>
      </c>
    </row>
    <row r="418" spans="1:11" x14ac:dyDescent="0.25">
      <c r="A418" t="s">
        <v>443</v>
      </c>
      <c r="B418" t="s">
        <v>20</v>
      </c>
      <c r="C418" s="1">
        <v>45211</v>
      </c>
      <c r="D418" s="1">
        <v>45213</v>
      </c>
      <c r="E418" t="s">
        <v>39</v>
      </c>
      <c r="F418" t="s">
        <v>33</v>
      </c>
      <c r="G418">
        <v>689</v>
      </c>
      <c r="H418">
        <v>102.53</v>
      </c>
      <c r="I418">
        <v>95.23</v>
      </c>
      <c r="J418">
        <v>38</v>
      </c>
      <c r="K418" t="s">
        <v>15</v>
      </c>
    </row>
    <row r="419" spans="1:11" x14ac:dyDescent="0.25">
      <c r="A419" t="s">
        <v>444</v>
      </c>
      <c r="B419" t="s">
        <v>20</v>
      </c>
      <c r="C419" s="1">
        <v>44995</v>
      </c>
      <c r="D419" s="1">
        <v>45014</v>
      </c>
      <c r="E419" t="s">
        <v>21</v>
      </c>
      <c r="F419" t="s">
        <v>18</v>
      </c>
      <c r="G419">
        <v>1106</v>
      </c>
      <c r="H419">
        <v>44.05</v>
      </c>
      <c r="I419">
        <v>38.6</v>
      </c>
      <c r="J419">
        <v>51</v>
      </c>
      <c r="K419" t="s">
        <v>15</v>
      </c>
    </row>
    <row r="420" spans="1:11" x14ac:dyDescent="0.25">
      <c r="A420" t="s">
        <v>445</v>
      </c>
      <c r="B420" t="s">
        <v>12</v>
      </c>
      <c r="C420" s="1">
        <v>44845</v>
      </c>
      <c r="D420" s="1">
        <v>44856</v>
      </c>
      <c r="E420" t="s">
        <v>13</v>
      </c>
      <c r="F420" t="s">
        <v>18</v>
      </c>
      <c r="G420">
        <v>737</v>
      </c>
      <c r="H420">
        <v>43.08</v>
      </c>
      <c r="I420">
        <v>42.58</v>
      </c>
      <c r="J420">
        <v>21</v>
      </c>
      <c r="K420" t="s">
        <v>15</v>
      </c>
    </row>
    <row r="421" spans="1:11" x14ac:dyDescent="0.25">
      <c r="A421" t="s">
        <v>446</v>
      </c>
      <c r="B421" t="s">
        <v>12</v>
      </c>
      <c r="C421" s="1">
        <v>44607</v>
      </c>
      <c r="D421" s="1">
        <v>44624</v>
      </c>
      <c r="E421" t="s">
        <v>26</v>
      </c>
      <c r="F421" t="s">
        <v>18</v>
      </c>
      <c r="G421">
        <v>509</v>
      </c>
      <c r="H421">
        <v>76.760000000000005</v>
      </c>
      <c r="I421">
        <v>74.72</v>
      </c>
      <c r="J421">
        <v>7</v>
      </c>
      <c r="K421" t="s">
        <v>27</v>
      </c>
    </row>
    <row r="422" spans="1:11" x14ac:dyDescent="0.25">
      <c r="A422" t="s">
        <v>447</v>
      </c>
      <c r="B422" t="s">
        <v>12</v>
      </c>
      <c r="C422" s="1">
        <v>44565</v>
      </c>
      <c r="D422" s="1">
        <v>44567</v>
      </c>
      <c r="E422" t="s">
        <v>39</v>
      </c>
      <c r="F422" t="s">
        <v>18</v>
      </c>
      <c r="G422">
        <v>1004</v>
      </c>
      <c r="H422">
        <v>50.7</v>
      </c>
      <c r="I422">
        <v>46.59</v>
      </c>
      <c r="J422">
        <v>27</v>
      </c>
      <c r="K422" t="s">
        <v>15</v>
      </c>
    </row>
    <row r="423" spans="1:11" x14ac:dyDescent="0.25">
      <c r="A423" t="s">
        <v>448</v>
      </c>
      <c r="B423" t="s">
        <v>20</v>
      </c>
      <c r="C423" s="1">
        <v>44903</v>
      </c>
      <c r="D423" s="1">
        <v>44914</v>
      </c>
      <c r="E423" t="s">
        <v>21</v>
      </c>
      <c r="F423" t="s">
        <v>35</v>
      </c>
      <c r="G423">
        <v>1956</v>
      </c>
      <c r="H423">
        <v>31.88</v>
      </c>
      <c r="I423">
        <v>28.48</v>
      </c>
      <c r="J423">
        <v>86</v>
      </c>
      <c r="K423" t="s">
        <v>15</v>
      </c>
    </row>
    <row r="424" spans="1:11" x14ac:dyDescent="0.25">
      <c r="A424" t="s">
        <v>449</v>
      </c>
      <c r="B424" t="s">
        <v>17</v>
      </c>
      <c r="C424" s="1">
        <v>44695</v>
      </c>
      <c r="E424" t="s">
        <v>39</v>
      </c>
      <c r="F424" t="s">
        <v>18</v>
      </c>
      <c r="G424">
        <v>519</v>
      </c>
      <c r="H424">
        <v>51.73</v>
      </c>
      <c r="I424">
        <v>47.52</v>
      </c>
      <c r="J424">
        <v>81</v>
      </c>
      <c r="K424" t="s">
        <v>27</v>
      </c>
    </row>
    <row r="425" spans="1:11" x14ac:dyDescent="0.25">
      <c r="A425" t="s">
        <v>450</v>
      </c>
      <c r="B425" t="s">
        <v>20</v>
      </c>
      <c r="C425" s="1">
        <v>45214</v>
      </c>
      <c r="D425" s="1">
        <v>45220</v>
      </c>
      <c r="E425" t="s">
        <v>21</v>
      </c>
      <c r="F425" t="s">
        <v>33</v>
      </c>
      <c r="G425">
        <v>1448</v>
      </c>
      <c r="H425">
        <v>25.06</v>
      </c>
      <c r="I425">
        <v>21.62</v>
      </c>
      <c r="J425">
        <v>84</v>
      </c>
      <c r="K425" t="s">
        <v>15</v>
      </c>
    </row>
    <row r="426" spans="1:11" x14ac:dyDescent="0.25">
      <c r="A426" t="s">
        <v>451</v>
      </c>
      <c r="B426" t="s">
        <v>20</v>
      </c>
      <c r="C426" s="1">
        <v>44830</v>
      </c>
      <c r="D426" s="1">
        <v>44845</v>
      </c>
      <c r="E426" t="s">
        <v>24</v>
      </c>
      <c r="F426" t="s">
        <v>18</v>
      </c>
      <c r="G426">
        <v>1095</v>
      </c>
      <c r="H426">
        <v>26.91</v>
      </c>
      <c r="I426">
        <v>23.75</v>
      </c>
      <c r="J426">
        <v>53</v>
      </c>
      <c r="K426" t="s">
        <v>15</v>
      </c>
    </row>
    <row r="427" spans="1:11" x14ac:dyDescent="0.25">
      <c r="A427" t="s">
        <v>452</v>
      </c>
      <c r="B427" t="s">
        <v>12</v>
      </c>
      <c r="C427" s="1">
        <v>44727</v>
      </c>
      <c r="E427" t="s">
        <v>21</v>
      </c>
      <c r="F427" t="s">
        <v>18</v>
      </c>
      <c r="G427">
        <v>799</v>
      </c>
      <c r="H427">
        <v>56.22</v>
      </c>
      <c r="I427">
        <v>49.51</v>
      </c>
      <c r="J427">
        <v>18</v>
      </c>
      <c r="K427" t="s">
        <v>15</v>
      </c>
    </row>
    <row r="428" spans="1:11" x14ac:dyDescent="0.25">
      <c r="A428" t="s">
        <v>453</v>
      </c>
      <c r="B428" t="s">
        <v>23</v>
      </c>
      <c r="C428" s="1">
        <v>45014</v>
      </c>
      <c r="D428" s="1">
        <v>45034</v>
      </c>
      <c r="E428" t="s">
        <v>21</v>
      </c>
      <c r="F428" t="s">
        <v>33</v>
      </c>
      <c r="G428">
        <v>1743</v>
      </c>
      <c r="H428">
        <v>51.04</v>
      </c>
      <c r="I428">
        <v>47.15</v>
      </c>
      <c r="J428">
        <v>160</v>
      </c>
      <c r="K428" t="s">
        <v>15</v>
      </c>
    </row>
    <row r="429" spans="1:11" x14ac:dyDescent="0.25">
      <c r="A429" t="s">
        <v>454</v>
      </c>
      <c r="B429" t="s">
        <v>12</v>
      </c>
      <c r="C429" s="1">
        <v>45126</v>
      </c>
      <c r="D429" s="1">
        <v>45138</v>
      </c>
      <c r="E429" t="s">
        <v>26</v>
      </c>
      <c r="F429" t="s">
        <v>18</v>
      </c>
      <c r="G429">
        <v>87</v>
      </c>
      <c r="H429">
        <v>100.65</v>
      </c>
      <c r="I429">
        <v>85.56</v>
      </c>
      <c r="J429">
        <v>1</v>
      </c>
      <c r="K429" t="s">
        <v>15</v>
      </c>
    </row>
    <row r="430" spans="1:11" x14ac:dyDescent="0.25">
      <c r="A430" t="s">
        <v>455</v>
      </c>
      <c r="B430" t="s">
        <v>23</v>
      </c>
      <c r="C430" s="1">
        <v>45284</v>
      </c>
      <c r="E430" t="s">
        <v>26</v>
      </c>
      <c r="F430" t="s">
        <v>18</v>
      </c>
      <c r="G430">
        <v>279</v>
      </c>
      <c r="H430">
        <v>47.52</v>
      </c>
      <c r="I430">
        <v>46.5</v>
      </c>
      <c r="J430">
        <v>28</v>
      </c>
      <c r="K430" t="s">
        <v>27</v>
      </c>
    </row>
    <row r="431" spans="1:11" x14ac:dyDescent="0.25">
      <c r="A431" t="s">
        <v>456</v>
      </c>
      <c r="B431" t="s">
        <v>17</v>
      </c>
      <c r="C431" s="1">
        <v>44999</v>
      </c>
      <c r="D431" s="1">
        <v>45010</v>
      </c>
      <c r="E431" t="s">
        <v>26</v>
      </c>
      <c r="F431" t="s">
        <v>18</v>
      </c>
      <c r="G431">
        <v>1438</v>
      </c>
      <c r="H431">
        <v>66.61</v>
      </c>
      <c r="I431">
        <v>58.5</v>
      </c>
      <c r="J431">
        <v>237</v>
      </c>
      <c r="K431" t="s">
        <v>15</v>
      </c>
    </row>
    <row r="432" spans="1:11" x14ac:dyDescent="0.25">
      <c r="A432" t="s">
        <v>457</v>
      </c>
      <c r="B432" t="s">
        <v>17</v>
      </c>
      <c r="C432" s="1">
        <v>45136</v>
      </c>
      <c r="D432" s="1">
        <v>45138</v>
      </c>
      <c r="E432" t="s">
        <v>13</v>
      </c>
      <c r="F432" t="s">
        <v>33</v>
      </c>
      <c r="G432">
        <v>612</v>
      </c>
      <c r="H432">
        <v>72.930000000000007</v>
      </c>
      <c r="I432">
        <v>63.32</v>
      </c>
      <c r="J432">
        <v>99</v>
      </c>
      <c r="K432" t="s">
        <v>15</v>
      </c>
    </row>
    <row r="433" spans="1:11" x14ac:dyDescent="0.25">
      <c r="A433" t="s">
        <v>458</v>
      </c>
      <c r="B433" t="s">
        <v>29</v>
      </c>
      <c r="C433" s="1">
        <v>44571</v>
      </c>
      <c r="D433" s="1">
        <v>44582</v>
      </c>
      <c r="E433" t="s">
        <v>24</v>
      </c>
      <c r="F433" t="s">
        <v>35</v>
      </c>
      <c r="G433">
        <v>487</v>
      </c>
      <c r="H433">
        <v>11.18</v>
      </c>
      <c r="I433">
        <v>10.63</v>
      </c>
      <c r="J433">
        <v>15</v>
      </c>
      <c r="K433" t="s">
        <v>15</v>
      </c>
    </row>
    <row r="434" spans="1:11" x14ac:dyDescent="0.25">
      <c r="A434" t="s">
        <v>459</v>
      </c>
      <c r="B434" t="s">
        <v>29</v>
      </c>
      <c r="C434" s="1">
        <v>44676</v>
      </c>
      <c r="D434" s="1">
        <v>44680</v>
      </c>
      <c r="E434" t="s">
        <v>24</v>
      </c>
      <c r="F434" t="s">
        <v>33</v>
      </c>
      <c r="G434">
        <v>1849</v>
      </c>
      <c r="H434">
        <v>70.760000000000005</v>
      </c>
      <c r="I434">
        <v>69.25</v>
      </c>
      <c r="J434">
        <v>51</v>
      </c>
      <c r="K434" t="s">
        <v>15</v>
      </c>
    </row>
    <row r="435" spans="1:11" x14ac:dyDescent="0.25">
      <c r="A435" t="s">
        <v>460</v>
      </c>
      <c r="B435" t="s">
        <v>29</v>
      </c>
      <c r="C435" s="1">
        <v>44639</v>
      </c>
      <c r="D435" s="1">
        <v>44652</v>
      </c>
      <c r="E435" t="s">
        <v>21</v>
      </c>
      <c r="F435" t="s">
        <v>33</v>
      </c>
      <c r="G435">
        <v>1356</v>
      </c>
      <c r="H435">
        <v>26.28</v>
      </c>
      <c r="I435">
        <v>25.44</v>
      </c>
      <c r="J435">
        <v>47</v>
      </c>
      <c r="K435" t="s">
        <v>15</v>
      </c>
    </row>
    <row r="436" spans="1:11" x14ac:dyDescent="0.25">
      <c r="A436" t="s">
        <v>461</v>
      </c>
      <c r="B436" t="s">
        <v>17</v>
      </c>
      <c r="C436" s="1">
        <v>45269</v>
      </c>
      <c r="D436" s="1">
        <v>45289</v>
      </c>
      <c r="E436" t="s">
        <v>26</v>
      </c>
      <c r="F436" t="s">
        <v>18</v>
      </c>
      <c r="G436">
        <v>76</v>
      </c>
      <c r="H436">
        <v>107.59</v>
      </c>
      <c r="I436">
        <v>96.33</v>
      </c>
      <c r="J436">
        <v>10</v>
      </c>
      <c r="K436" t="s">
        <v>15</v>
      </c>
    </row>
    <row r="437" spans="1:11" x14ac:dyDescent="0.25">
      <c r="A437" t="s">
        <v>462</v>
      </c>
      <c r="B437" t="s">
        <v>12</v>
      </c>
      <c r="C437" s="1">
        <v>44714</v>
      </c>
      <c r="D437" s="1">
        <v>44725</v>
      </c>
      <c r="E437" t="s">
        <v>24</v>
      </c>
      <c r="F437" t="s">
        <v>33</v>
      </c>
      <c r="G437">
        <v>275</v>
      </c>
      <c r="H437">
        <v>23.96</v>
      </c>
      <c r="I437">
        <v>20.440000000000001</v>
      </c>
      <c r="K437" t="s">
        <v>15</v>
      </c>
    </row>
    <row r="438" spans="1:11" x14ac:dyDescent="0.25">
      <c r="A438" t="s">
        <v>463</v>
      </c>
      <c r="B438" t="s">
        <v>12</v>
      </c>
      <c r="C438" s="1">
        <v>45120</v>
      </c>
      <c r="D438" s="1">
        <v>45125</v>
      </c>
      <c r="E438" t="s">
        <v>24</v>
      </c>
      <c r="F438" t="s">
        <v>18</v>
      </c>
      <c r="G438">
        <v>1350</v>
      </c>
      <c r="H438">
        <v>51.57</v>
      </c>
      <c r="I438">
        <v>48.07</v>
      </c>
      <c r="K438" t="s">
        <v>15</v>
      </c>
    </row>
    <row r="439" spans="1:11" x14ac:dyDescent="0.25">
      <c r="A439" t="s">
        <v>464</v>
      </c>
      <c r="B439" t="s">
        <v>12</v>
      </c>
      <c r="C439" s="1">
        <v>44598</v>
      </c>
      <c r="E439" t="s">
        <v>21</v>
      </c>
      <c r="F439" t="s">
        <v>18</v>
      </c>
      <c r="G439">
        <v>847</v>
      </c>
      <c r="H439">
        <v>17.77</v>
      </c>
      <c r="I439">
        <v>17.39</v>
      </c>
      <c r="K439" t="s">
        <v>15</v>
      </c>
    </row>
    <row r="440" spans="1:11" x14ac:dyDescent="0.25">
      <c r="A440" t="s">
        <v>465</v>
      </c>
      <c r="B440" t="s">
        <v>20</v>
      </c>
      <c r="C440" s="1">
        <v>44940</v>
      </c>
      <c r="D440" s="1">
        <v>44953</v>
      </c>
      <c r="E440" t="s">
        <v>21</v>
      </c>
      <c r="F440" t="s">
        <v>18</v>
      </c>
      <c r="G440">
        <v>1682</v>
      </c>
      <c r="H440">
        <v>105.7</v>
      </c>
      <c r="I440">
        <v>101.3</v>
      </c>
      <c r="J440">
        <v>94</v>
      </c>
      <c r="K440" t="s">
        <v>15</v>
      </c>
    </row>
    <row r="441" spans="1:11" x14ac:dyDescent="0.25">
      <c r="A441" t="s">
        <v>466</v>
      </c>
      <c r="B441" t="s">
        <v>29</v>
      </c>
      <c r="C441" s="1">
        <v>45158</v>
      </c>
      <c r="D441" s="1">
        <v>45161</v>
      </c>
      <c r="E441" t="s">
        <v>39</v>
      </c>
      <c r="F441" t="s">
        <v>18</v>
      </c>
      <c r="G441">
        <v>333</v>
      </c>
      <c r="H441">
        <v>60.44</v>
      </c>
      <c r="I441">
        <v>58.54</v>
      </c>
      <c r="J441">
        <v>8</v>
      </c>
      <c r="K441" t="s">
        <v>15</v>
      </c>
    </row>
    <row r="442" spans="1:11" x14ac:dyDescent="0.25">
      <c r="A442" t="s">
        <v>467</v>
      </c>
      <c r="B442" t="s">
        <v>12</v>
      </c>
      <c r="C442" s="1">
        <v>45127</v>
      </c>
      <c r="D442" s="1">
        <v>45140</v>
      </c>
      <c r="E442" t="s">
        <v>39</v>
      </c>
      <c r="F442" t="s">
        <v>14</v>
      </c>
      <c r="G442">
        <v>928</v>
      </c>
      <c r="H442">
        <v>69.31</v>
      </c>
      <c r="I442">
        <v>67.260000000000005</v>
      </c>
      <c r="J442">
        <v>20</v>
      </c>
      <c r="K442" t="s">
        <v>15</v>
      </c>
    </row>
    <row r="443" spans="1:11" x14ac:dyDescent="0.25">
      <c r="A443" t="s">
        <v>468</v>
      </c>
      <c r="B443" t="s">
        <v>29</v>
      </c>
      <c r="C443" s="1">
        <v>44713</v>
      </c>
      <c r="D443" s="1">
        <v>44724</v>
      </c>
      <c r="E443" t="s">
        <v>21</v>
      </c>
      <c r="F443" t="s">
        <v>33</v>
      </c>
      <c r="G443">
        <v>1009</v>
      </c>
      <c r="H443">
        <v>16.440000000000001</v>
      </c>
      <c r="I443">
        <v>16.18</v>
      </c>
      <c r="K443" t="s">
        <v>15</v>
      </c>
    </row>
    <row r="444" spans="1:11" x14ac:dyDescent="0.25">
      <c r="A444" t="s">
        <v>469</v>
      </c>
      <c r="B444" t="s">
        <v>29</v>
      </c>
      <c r="C444" s="1">
        <v>45002</v>
      </c>
      <c r="D444" s="1">
        <v>45019</v>
      </c>
      <c r="E444" t="s">
        <v>39</v>
      </c>
      <c r="F444" t="s">
        <v>35</v>
      </c>
      <c r="G444">
        <v>1554</v>
      </c>
      <c r="H444">
        <v>82.92</v>
      </c>
      <c r="I444">
        <v>74.819999999999993</v>
      </c>
      <c r="J444">
        <v>44</v>
      </c>
      <c r="K444" t="s">
        <v>15</v>
      </c>
    </row>
    <row r="445" spans="1:11" x14ac:dyDescent="0.25">
      <c r="A445" t="s">
        <v>470</v>
      </c>
      <c r="B445" t="s">
        <v>20</v>
      </c>
      <c r="C445" s="1">
        <v>44692</v>
      </c>
      <c r="D445" s="1">
        <v>44706</v>
      </c>
      <c r="E445" t="s">
        <v>24</v>
      </c>
      <c r="F445" t="s">
        <v>33</v>
      </c>
      <c r="G445">
        <v>502</v>
      </c>
      <c r="H445">
        <v>29.47</v>
      </c>
      <c r="I445">
        <v>28.94</v>
      </c>
      <c r="J445">
        <v>27</v>
      </c>
      <c r="K445" t="s">
        <v>15</v>
      </c>
    </row>
    <row r="446" spans="1:11" x14ac:dyDescent="0.25">
      <c r="A446" t="s">
        <v>471</v>
      </c>
      <c r="B446" t="s">
        <v>17</v>
      </c>
      <c r="C446" s="1">
        <v>44604</v>
      </c>
      <c r="D446" s="1">
        <v>44605</v>
      </c>
      <c r="E446" t="s">
        <v>21</v>
      </c>
      <c r="F446" t="s">
        <v>18</v>
      </c>
      <c r="G446">
        <v>1069</v>
      </c>
      <c r="H446">
        <v>91.28</v>
      </c>
      <c r="I446">
        <v>82.64</v>
      </c>
      <c r="K446" t="s">
        <v>15</v>
      </c>
    </row>
    <row r="447" spans="1:11" x14ac:dyDescent="0.25">
      <c r="A447" t="s">
        <v>472</v>
      </c>
      <c r="B447" t="s">
        <v>12</v>
      </c>
      <c r="C447" s="1">
        <v>44877</v>
      </c>
      <c r="D447" s="1">
        <v>44883</v>
      </c>
      <c r="E447" t="s">
        <v>21</v>
      </c>
      <c r="F447" t="s">
        <v>35</v>
      </c>
      <c r="G447">
        <v>1902</v>
      </c>
      <c r="H447">
        <v>29.89</v>
      </c>
      <c r="I447">
        <v>25.83</v>
      </c>
      <c r="J447">
        <v>41</v>
      </c>
      <c r="K447" t="s">
        <v>15</v>
      </c>
    </row>
    <row r="448" spans="1:11" x14ac:dyDescent="0.25">
      <c r="A448" t="s">
        <v>473</v>
      </c>
      <c r="B448" t="s">
        <v>20</v>
      </c>
      <c r="C448" s="1">
        <v>44935</v>
      </c>
      <c r="E448" t="s">
        <v>26</v>
      </c>
      <c r="F448" t="s">
        <v>35</v>
      </c>
      <c r="G448">
        <v>865</v>
      </c>
      <c r="H448">
        <v>28.79</v>
      </c>
      <c r="I448">
        <v>25.69</v>
      </c>
      <c r="J448">
        <v>47</v>
      </c>
      <c r="K448" t="s">
        <v>15</v>
      </c>
    </row>
    <row r="449" spans="1:11" x14ac:dyDescent="0.25">
      <c r="A449" t="s">
        <v>474</v>
      </c>
      <c r="B449" t="s">
        <v>17</v>
      </c>
      <c r="C449" s="1">
        <v>44602</v>
      </c>
      <c r="D449" s="1">
        <v>44618</v>
      </c>
      <c r="E449" t="s">
        <v>24</v>
      </c>
      <c r="F449" t="s">
        <v>33</v>
      </c>
      <c r="G449">
        <v>708</v>
      </c>
      <c r="H449">
        <v>13.36</v>
      </c>
      <c r="I449">
        <v>11.61</v>
      </c>
      <c r="K449" t="s">
        <v>27</v>
      </c>
    </row>
    <row r="450" spans="1:11" x14ac:dyDescent="0.25">
      <c r="A450" t="s">
        <v>475</v>
      </c>
      <c r="B450" t="s">
        <v>17</v>
      </c>
      <c r="C450" s="1">
        <v>44928</v>
      </c>
      <c r="D450" s="1">
        <v>44933</v>
      </c>
      <c r="E450" t="s">
        <v>24</v>
      </c>
      <c r="F450" t="s">
        <v>18</v>
      </c>
      <c r="G450">
        <v>1589</v>
      </c>
      <c r="H450">
        <v>55.64</v>
      </c>
      <c r="I450">
        <v>48.52</v>
      </c>
      <c r="K450" t="s">
        <v>15</v>
      </c>
    </row>
    <row r="451" spans="1:11" x14ac:dyDescent="0.25">
      <c r="A451" t="s">
        <v>476</v>
      </c>
      <c r="B451" t="s">
        <v>12</v>
      </c>
      <c r="C451" s="1">
        <v>44777</v>
      </c>
      <c r="D451" s="1">
        <v>44787</v>
      </c>
      <c r="E451" t="s">
        <v>13</v>
      </c>
      <c r="F451" t="s">
        <v>18</v>
      </c>
      <c r="G451">
        <v>596</v>
      </c>
      <c r="H451">
        <v>62.96</v>
      </c>
      <c r="I451">
        <v>61.88</v>
      </c>
      <c r="J451">
        <v>9</v>
      </c>
      <c r="K451" t="s">
        <v>15</v>
      </c>
    </row>
    <row r="452" spans="1:11" x14ac:dyDescent="0.25">
      <c r="A452" t="s">
        <v>477</v>
      </c>
      <c r="B452" t="s">
        <v>29</v>
      </c>
      <c r="C452" s="1">
        <v>45260</v>
      </c>
      <c r="D452" s="1">
        <v>45264</v>
      </c>
      <c r="E452" t="s">
        <v>13</v>
      </c>
      <c r="F452" t="s">
        <v>18</v>
      </c>
      <c r="G452">
        <v>1265</v>
      </c>
      <c r="H452">
        <v>17.66</v>
      </c>
      <c r="I452">
        <v>16.97</v>
      </c>
      <c r="J452">
        <v>34</v>
      </c>
      <c r="K452" t="s">
        <v>15</v>
      </c>
    </row>
    <row r="453" spans="1:11" x14ac:dyDescent="0.25">
      <c r="A453" t="s">
        <v>478</v>
      </c>
      <c r="B453" t="s">
        <v>23</v>
      </c>
      <c r="C453" s="1">
        <v>44817</v>
      </c>
      <c r="D453" s="1">
        <v>44835</v>
      </c>
      <c r="E453" t="s">
        <v>26</v>
      </c>
      <c r="F453" t="s">
        <v>18</v>
      </c>
      <c r="G453">
        <v>1122</v>
      </c>
      <c r="H453">
        <v>82.99</v>
      </c>
      <c r="I453">
        <v>81.7</v>
      </c>
      <c r="J453">
        <v>118</v>
      </c>
      <c r="K453" t="s">
        <v>27</v>
      </c>
    </row>
    <row r="454" spans="1:11" x14ac:dyDescent="0.25">
      <c r="A454" t="s">
        <v>479</v>
      </c>
      <c r="B454" t="s">
        <v>29</v>
      </c>
      <c r="C454" s="1">
        <v>45244</v>
      </c>
      <c r="D454" s="1">
        <v>45261</v>
      </c>
      <c r="E454" t="s">
        <v>13</v>
      </c>
      <c r="F454" t="s">
        <v>18</v>
      </c>
      <c r="G454">
        <v>1585</v>
      </c>
      <c r="H454">
        <v>56.38</v>
      </c>
      <c r="I454">
        <v>53.05</v>
      </c>
      <c r="K454" t="s">
        <v>15</v>
      </c>
    </row>
    <row r="455" spans="1:11" x14ac:dyDescent="0.25">
      <c r="A455" t="s">
        <v>480</v>
      </c>
      <c r="B455" t="s">
        <v>29</v>
      </c>
      <c r="C455" s="1">
        <v>44667</v>
      </c>
      <c r="D455" s="1">
        <v>44678</v>
      </c>
      <c r="E455" t="s">
        <v>39</v>
      </c>
      <c r="F455" t="s">
        <v>18</v>
      </c>
      <c r="G455">
        <v>66</v>
      </c>
      <c r="H455">
        <v>58.05</v>
      </c>
      <c r="I455">
        <v>50.76</v>
      </c>
      <c r="K455" t="s">
        <v>15</v>
      </c>
    </row>
    <row r="456" spans="1:11" x14ac:dyDescent="0.25">
      <c r="A456" t="s">
        <v>481</v>
      </c>
      <c r="B456" t="s">
        <v>23</v>
      </c>
      <c r="C456" s="1">
        <v>44924</v>
      </c>
      <c r="D456" s="1">
        <v>44944</v>
      </c>
      <c r="E456" t="s">
        <v>21</v>
      </c>
      <c r="F456" t="s">
        <v>18</v>
      </c>
      <c r="G456">
        <v>1245</v>
      </c>
      <c r="H456">
        <v>52.4</v>
      </c>
      <c r="I456">
        <v>51.65</v>
      </c>
      <c r="J456">
        <v>118</v>
      </c>
      <c r="K456" t="s">
        <v>27</v>
      </c>
    </row>
    <row r="457" spans="1:11" x14ac:dyDescent="0.25">
      <c r="A457" t="s">
        <v>482</v>
      </c>
      <c r="B457" t="s">
        <v>17</v>
      </c>
      <c r="C457" s="1">
        <v>45135</v>
      </c>
      <c r="D457" s="1">
        <v>45148</v>
      </c>
      <c r="E457" t="s">
        <v>39</v>
      </c>
      <c r="F457" t="s">
        <v>18</v>
      </c>
      <c r="G457">
        <v>1293</v>
      </c>
      <c r="H457">
        <v>50.21</v>
      </c>
      <c r="I457">
        <v>47.55</v>
      </c>
      <c r="K457" t="s">
        <v>27</v>
      </c>
    </row>
    <row r="458" spans="1:11" x14ac:dyDescent="0.25">
      <c r="A458" t="s">
        <v>483</v>
      </c>
      <c r="B458" t="s">
        <v>23</v>
      </c>
      <c r="C458" s="1">
        <v>44978</v>
      </c>
      <c r="D458" s="1">
        <v>44984</v>
      </c>
      <c r="E458" t="s">
        <v>24</v>
      </c>
      <c r="F458" t="s">
        <v>18</v>
      </c>
      <c r="G458">
        <v>207</v>
      </c>
      <c r="H458">
        <v>64.290000000000006</v>
      </c>
      <c r="I458">
        <v>63.01</v>
      </c>
      <c r="J458">
        <v>25</v>
      </c>
      <c r="K458" t="s">
        <v>15</v>
      </c>
    </row>
    <row r="459" spans="1:11" x14ac:dyDescent="0.25">
      <c r="A459" t="s">
        <v>484</v>
      </c>
      <c r="B459" t="s">
        <v>23</v>
      </c>
      <c r="C459" s="1">
        <v>45197</v>
      </c>
      <c r="D459" s="1">
        <v>45217</v>
      </c>
      <c r="E459" t="s">
        <v>13</v>
      </c>
      <c r="F459" t="s">
        <v>18</v>
      </c>
      <c r="G459">
        <v>526</v>
      </c>
      <c r="H459">
        <v>26.37</v>
      </c>
      <c r="I459">
        <v>25.32</v>
      </c>
      <c r="J459">
        <v>47</v>
      </c>
      <c r="K459" t="s">
        <v>15</v>
      </c>
    </row>
    <row r="460" spans="1:11" x14ac:dyDescent="0.25">
      <c r="A460" t="s">
        <v>485</v>
      </c>
      <c r="B460" t="s">
        <v>20</v>
      </c>
      <c r="C460" s="1">
        <v>44720</v>
      </c>
      <c r="D460" s="1">
        <v>44726</v>
      </c>
      <c r="E460" t="s">
        <v>39</v>
      </c>
      <c r="F460" t="s">
        <v>18</v>
      </c>
      <c r="G460">
        <v>1119</v>
      </c>
      <c r="H460">
        <v>27.03</v>
      </c>
      <c r="I460">
        <v>23.82</v>
      </c>
      <c r="K460" t="s">
        <v>15</v>
      </c>
    </row>
    <row r="461" spans="1:11" x14ac:dyDescent="0.25">
      <c r="A461" t="s">
        <v>486</v>
      </c>
      <c r="B461" t="s">
        <v>20</v>
      </c>
      <c r="C461" s="1">
        <v>44804</v>
      </c>
      <c r="D461" s="1">
        <v>44806</v>
      </c>
      <c r="E461" t="s">
        <v>24</v>
      </c>
      <c r="F461" t="s">
        <v>18</v>
      </c>
      <c r="G461">
        <v>1446</v>
      </c>
      <c r="H461">
        <v>90.63</v>
      </c>
      <c r="I461">
        <v>84.51</v>
      </c>
      <c r="J461">
        <v>77</v>
      </c>
      <c r="K461" t="s">
        <v>15</v>
      </c>
    </row>
    <row r="462" spans="1:11" x14ac:dyDescent="0.25">
      <c r="A462" t="s">
        <v>487</v>
      </c>
      <c r="B462" t="s">
        <v>20</v>
      </c>
      <c r="C462" s="1">
        <v>44728</v>
      </c>
      <c r="D462" s="1">
        <v>44736</v>
      </c>
      <c r="E462" t="s">
        <v>13</v>
      </c>
      <c r="F462" t="s">
        <v>18</v>
      </c>
      <c r="G462">
        <v>567</v>
      </c>
      <c r="H462">
        <v>97.53</v>
      </c>
      <c r="I462">
        <v>85.29</v>
      </c>
      <c r="J462">
        <v>21</v>
      </c>
      <c r="K462" t="s">
        <v>15</v>
      </c>
    </row>
    <row r="463" spans="1:11" x14ac:dyDescent="0.25">
      <c r="A463" t="s">
        <v>488</v>
      </c>
      <c r="B463" t="s">
        <v>17</v>
      </c>
      <c r="C463" s="1">
        <v>44743</v>
      </c>
      <c r="E463" t="s">
        <v>21</v>
      </c>
      <c r="F463" t="s">
        <v>18</v>
      </c>
      <c r="G463">
        <v>148</v>
      </c>
      <c r="H463">
        <v>44.91</v>
      </c>
      <c r="I463">
        <v>40.1</v>
      </c>
      <c r="K463" t="s">
        <v>27</v>
      </c>
    </row>
    <row r="464" spans="1:11" x14ac:dyDescent="0.25">
      <c r="A464" t="s">
        <v>489</v>
      </c>
      <c r="B464" t="s">
        <v>23</v>
      </c>
      <c r="C464" s="1">
        <v>44984</v>
      </c>
      <c r="D464" s="1">
        <v>44999</v>
      </c>
      <c r="E464" t="s">
        <v>21</v>
      </c>
      <c r="F464" t="s">
        <v>35</v>
      </c>
      <c r="G464">
        <v>1965</v>
      </c>
      <c r="H464">
        <v>36.6</v>
      </c>
      <c r="I464">
        <v>34.64</v>
      </c>
      <c r="J464">
        <v>195</v>
      </c>
      <c r="K464" t="s">
        <v>15</v>
      </c>
    </row>
    <row r="465" spans="1:11" x14ac:dyDescent="0.25">
      <c r="A465" t="s">
        <v>490</v>
      </c>
      <c r="B465" t="s">
        <v>12</v>
      </c>
      <c r="C465" s="1">
        <v>44587</v>
      </c>
      <c r="D465" s="1">
        <v>44595</v>
      </c>
      <c r="E465" t="s">
        <v>13</v>
      </c>
      <c r="F465" t="s">
        <v>35</v>
      </c>
      <c r="G465">
        <v>1818</v>
      </c>
      <c r="H465">
        <v>67.959999999999994</v>
      </c>
      <c r="I465">
        <v>58.98</v>
      </c>
      <c r="K465" t="s">
        <v>15</v>
      </c>
    </row>
    <row r="466" spans="1:11" x14ac:dyDescent="0.25">
      <c r="A466" t="s">
        <v>491</v>
      </c>
      <c r="B466" t="s">
        <v>23</v>
      </c>
      <c r="C466" s="1">
        <v>44745</v>
      </c>
      <c r="D466" s="1">
        <v>44761</v>
      </c>
      <c r="E466" t="s">
        <v>21</v>
      </c>
      <c r="F466" t="s">
        <v>18</v>
      </c>
      <c r="G466">
        <v>1110</v>
      </c>
      <c r="H466">
        <v>48.19</v>
      </c>
      <c r="I466">
        <v>45.88</v>
      </c>
      <c r="J466">
        <v>112</v>
      </c>
      <c r="K466" t="s">
        <v>15</v>
      </c>
    </row>
    <row r="467" spans="1:11" x14ac:dyDescent="0.25">
      <c r="A467" t="s">
        <v>492</v>
      </c>
      <c r="B467" t="s">
        <v>17</v>
      </c>
      <c r="C467" s="1">
        <v>44902</v>
      </c>
      <c r="E467" t="s">
        <v>26</v>
      </c>
      <c r="F467" t="s">
        <v>18</v>
      </c>
      <c r="G467">
        <v>329</v>
      </c>
      <c r="H467">
        <v>12.96</v>
      </c>
      <c r="I467">
        <v>12.74</v>
      </c>
      <c r="J467">
        <v>48</v>
      </c>
      <c r="K467" t="s">
        <v>15</v>
      </c>
    </row>
    <row r="468" spans="1:11" x14ac:dyDescent="0.25">
      <c r="A468" t="s">
        <v>493</v>
      </c>
      <c r="B468" t="s">
        <v>20</v>
      </c>
      <c r="C468" s="1">
        <v>44983</v>
      </c>
      <c r="D468" s="1">
        <v>45002</v>
      </c>
      <c r="E468" t="s">
        <v>13</v>
      </c>
      <c r="F468" t="s">
        <v>14</v>
      </c>
      <c r="G468">
        <v>1422</v>
      </c>
      <c r="H468">
        <v>25.62</v>
      </c>
      <c r="I468">
        <v>25.18</v>
      </c>
      <c r="J468">
        <v>65</v>
      </c>
      <c r="K468" t="s">
        <v>15</v>
      </c>
    </row>
    <row r="469" spans="1:11" x14ac:dyDescent="0.25">
      <c r="A469" t="s">
        <v>494</v>
      </c>
      <c r="B469" t="s">
        <v>17</v>
      </c>
      <c r="C469" s="1">
        <v>45247</v>
      </c>
      <c r="E469" t="s">
        <v>26</v>
      </c>
      <c r="F469" t="s">
        <v>18</v>
      </c>
      <c r="G469">
        <v>546</v>
      </c>
      <c r="H469">
        <v>82.63</v>
      </c>
      <c r="I469">
        <v>74.77</v>
      </c>
      <c r="J469">
        <v>76</v>
      </c>
      <c r="K469" t="s">
        <v>27</v>
      </c>
    </row>
    <row r="470" spans="1:11" x14ac:dyDescent="0.25">
      <c r="A470" t="s">
        <v>495</v>
      </c>
      <c r="B470" t="s">
        <v>20</v>
      </c>
      <c r="C470" s="1">
        <v>44816</v>
      </c>
      <c r="D470" s="1">
        <v>44826</v>
      </c>
      <c r="E470" t="s">
        <v>13</v>
      </c>
      <c r="F470" t="s">
        <v>33</v>
      </c>
      <c r="G470">
        <v>351</v>
      </c>
      <c r="H470">
        <v>72.08</v>
      </c>
      <c r="I470">
        <v>71.3</v>
      </c>
      <c r="J470">
        <v>20</v>
      </c>
      <c r="K470" t="s">
        <v>15</v>
      </c>
    </row>
    <row r="471" spans="1:11" x14ac:dyDescent="0.25">
      <c r="A471" t="s">
        <v>496</v>
      </c>
      <c r="B471" t="s">
        <v>17</v>
      </c>
      <c r="C471" s="1">
        <v>44835</v>
      </c>
      <c r="D471" s="1">
        <v>44852</v>
      </c>
      <c r="E471" t="s">
        <v>26</v>
      </c>
      <c r="F471" t="s">
        <v>33</v>
      </c>
      <c r="G471">
        <v>230</v>
      </c>
      <c r="H471">
        <v>13</v>
      </c>
      <c r="I471">
        <v>12.81</v>
      </c>
      <c r="K471" t="s">
        <v>27</v>
      </c>
    </row>
    <row r="472" spans="1:11" x14ac:dyDescent="0.25">
      <c r="A472" t="s">
        <v>497</v>
      </c>
      <c r="B472" t="s">
        <v>12</v>
      </c>
      <c r="C472" s="1">
        <v>44725</v>
      </c>
      <c r="D472" s="1">
        <v>44731</v>
      </c>
      <c r="E472" t="s">
        <v>21</v>
      </c>
      <c r="F472" t="s">
        <v>18</v>
      </c>
      <c r="G472">
        <v>656</v>
      </c>
      <c r="H472">
        <v>30.73</v>
      </c>
      <c r="I472">
        <v>26.26</v>
      </c>
      <c r="J472">
        <v>17</v>
      </c>
      <c r="K472" t="s">
        <v>15</v>
      </c>
    </row>
    <row r="473" spans="1:11" x14ac:dyDescent="0.25">
      <c r="A473" t="s">
        <v>498</v>
      </c>
      <c r="B473" t="s">
        <v>20</v>
      </c>
      <c r="C473" s="1">
        <v>45280</v>
      </c>
      <c r="D473" s="1">
        <v>45300</v>
      </c>
      <c r="E473" t="s">
        <v>21</v>
      </c>
      <c r="F473" t="s">
        <v>18</v>
      </c>
      <c r="G473">
        <v>1172</v>
      </c>
      <c r="H473">
        <v>34.340000000000003</v>
      </c>
      <c r="I473">
        <v>32.090000000000003</v>
      </c>
      <c r="J473">
        <v>69</v>
      </c>
      <c r="K473" t="s">
        <v>15</v>
      </c>
    </row>
    <row r="474" spans="1:11" x14ac:dyDescent="0.25">
      <c r="A474" t="s">
        <v>499</v>
      </c>
      <c r="B474" t="s">
        <v>20</v>
      </c>
      <c r="C474" s="1">
        <v>44672</v>
      </c>
      <c r="D474" s="1">
        <v>44681</v>
      </c>
      <c r="E474" t="s">
        <v>39</v>
      </c>
      <c r="F474" t="s">
        <v>18</v>
      </c>
      <c r="G474">
        <v>749</v>
      </c>
      <c r="H474">
        <v>71.53</v>
      </c>
      <c r="I474">
        <v>70.02</v>
      </c>
      <c r="J474">
        <v>41</v>
      </c>
      <c r="K474" t="s">
        <v>15</v>
      </c>
    </row>
    <row r="475" spans="1:11" x14ac:dyDescent="0.25">
      <c r="A475" t="s">
        <v>500</v>
      </c>
      <c r="B475" t="s">
        <v>23</v>
      </c>
      <c r="C475" s="1">
        <v>44953</v>
      </c>
      <c r="D475" s="1">
        <v>44969</v>
      </c>
      <c r="E475" t="s">
        <v>24</v>
      </c>
      <c r="F475" t="s">
        <v>18</v>
      </c>
      <c r="G475">
        <v>1042</v>
      </c>
      <c r="H475">
        <v>12.48</v>
      </c>
      <c r="I475">
        <v>12.3</v>
      </c>
      <c r="J475">
        <v>88</v>
      </c>
      <c r="K475" t="s">
        <v>15</v>
      </c>
    </row>
    <row r="476" spans="1:11" x14ac:dyDescent="0.25">
      <c r="A476" t="s">
        <v>501</v>
      </c>
      <c r="B476" t="s">
        <v>17</v>
      </c>
      <c r="C476" s="1">
        <v>44601</v>
      </c>
      <c r="D476" s="1">
        <v>44619</v>
      </c>
      <c r="E476" t="s">
        <v>26</v>
      </c>
      <c r="F476" t="s">
        <v>18</v>
      </c>
      <c r="G476">
        <v>1189</v>
      </c>
      <c r="H476">
        <v>19.47</v>
      </c>
      <c r="I476">
        <v>17.149999999999999</v>
      </c>
      <c r="K476" t="s">
        <v>27</v>
      </c>
    </row>
    <row r="477" spans="1:11" x14ac:dyDescent="0.25">
      <c r="A477" t="s">
        <v>502</v>
      </c>
      <c r="B477" t="s">
        <v>29</v>
      </c>
      <c r="C477" s="1">
        <v>45043</v>
      </c>
      <c r="E477" t="s">
        <v>13</v>
      </c>
      <c r="F477" t="s">
        <v>18</v>
      </c>
      <c r="G477">
        <v>240</v>
      </c>
      <c r="H477">
        <v>88.14</v>
      </c>
      <c r="I477">
        <v>81.900000000000006</v>
      </c>
      <c r="J477">
        <v>4</v>
      </c>
      <c r="K477" t="s">
        <v>15</v>
      </c>
    </row>
    <row r="478" spans="1:11" x14ac:dyDescent="0.25">
      <c r="A478" t="s">
        <v>503</v>
      </c>
      <c r="B478" t="s">
        <v>29</v>
      </c>
      <c r="C478" s="1">
        <v>44789</v>
      </c>
      <c r="D478" s="1">
        <v>44806</v>
      </c>
      <c r="E478" t="s">
        <v>21</v>
      </c>
      <c r="F478" t="s">
        <v>18</v>
      </c>
      <c r="G478">
        <v>302</v>
      </c>
      <c r="H478">
        <v>26.98</v>
      </c>
      <c r="I478">
        <v>26.47</v>
      </c>
      <c r="J478">
        <v>9</v>
      </c>
      <c r="K478" t="s">
        <v>15</v>
      </c>
    </row>
    <row r="479" spans="1:11" x14ac:dyDescent="0.25">
      <c r="A479" t="s">
        <v>504</v>
      </c>
      <c r="B479" t="s">
        <v>23</v>
      </c>
      <c r="C479" s="1">
        <v>44766</v>
      </c>
      <c r="D479" s="1">
        <v>44776</v>
      </c>
      <c r="E479" t="s">
        <v>21</v>
      </c>
      <c r="F479" t="s">
        <v>35</v>
      </c>
      <c r="G479">
        <v>1030</v>
      </c>
      <c r="H479">
        <v>70.81</v>
      </c>
      <c r="I479">
        <v>61.58</v>
      </c>
      <c r="K479" t="s">
        <v>27</v>
      </c>
    </row>
    <row r="480" spans="1:11" x14ac:dyDescent="0.25">
      <c r="A480" t="s">
        <v>505</v>
      </c>
      <c r="B480" t="s">
        <v>17</v>
      </c>
      <c r="C480" s="1">
        <v>45033</v>
      </c>
      <c r="D480" s="1">
        <v>45039</v>
      </c>
      <c r="E480" t="s">
        <v>13</v>
      </c>
      <c r="F480" t="s">
        <v>18</v>
      </c>
      <c r="G480">
        <v>977</v>
      </c>
      <c r="H480">
        <v>33.79</v>
      </c>
      <c r="I480">
        <v>32.25</v>
      </c>
      <c r="J480">
        <v>137</v>
      </c>
      <c r="K480" t="s">
        <v>15</v>
      </c>
    </row>
    <row r="481" spans="1:11" x14ac:dyDescent="0.25">
      <c r="A481" t="s">
        <v>506</v>
      </c>
      <c r="B481" t="s">
        <v>12</v>
      </c>
      <c r="C481" s="1">
        <v>44920</v>
      </c>
      <c r="D481" s="1">
        <v>44937</v>
      </c>
      <c r="E481" t="s">
        <v>24</v>
      </c>
      <c r="F481" t="s">
        <v>18</v>
      </c>
      <c r="G481">
        <v>1234</v>
      </c>
      <c r="H481">
        <v>19.989999999999998</v>
      </c>
      <c r="I481">
        <v>17.66</v>
      </c>
      <c r="J481">
        <v>25</v>
      </c>
      <c r="K481" t="s">
        <v>15</v>
      </c>
    </row>
    <row r="482" spans="1:11" x14ac:dyDescent="0.25">
      <c r="A482" t="s">
        <v>507</v>
      </c>
      <c r="B482" t="s">
        <v>23</v>
      </c>
      <c r="C482" s="1">
        <v>44874</v>
      </c>
      <c r="D482" s="1">
        <v>44888</v>
      </c>
      <c r="E482" t="s">
        <v>13</v>
      </c>
      <c r="F482" t="s">
        <v>18</v>
      </c>
      <c r="G482">
        <v>1329</v>
      </c>
      <c r="H482">
        <v>33.479999999999997</v>
      </c>
      <c r="I482">
        <v>33.06</v>
      </c>
      <c r="J482">
        <v>146</v>
      </c>
      <c r="K482" t="s">
        <v>15</v>
      </c>
    </row>
    <row r="483" spans="1:11" x14ac:dyDescent="0.25">
      <c r="A483" t="s">
        <v>508</v>
      </c>
      <c r="B483" t="s">
        <v>20</v>
      </c>
      <c r="C483" s="1">
        <v>44795</v>
      </c>
      <c r="D483" s="1">
        <v>44803</v>
      </c>
      <c r="E483" t="s">
        <v>26</v>
      </c>
      <c r="F483" t="s">
        <v>18</v>
      </c>
      <c r="G483">
        <v>1396</v>
      </c>
      <c r="H483">
        <v>77.63</v>
      </c>
      <c r="I483">
        <v>67.81</v>
      </c>
      <c r="J483">
        <v>58</v>
      </c>
      <c r="K483" t="s">
        <v>15</v>
      </c>
    </row>
    <row r="484" spans="1:11" x14ac:dyDescent="0.25">
      <c r="A484" t="s">
        <v>509</v>
      </c>
      <c r="B484" t="s">
        <v>12</v>
      </c>
      <c r="C484" s="1">
        <v>44790</v>
      </c>
      <c r="D484" s="1">
        <v>44802</v>
      </c>
      <c r="E484" t="s">
        <v>26</v>
      </c>
      <c r="F484" t="s">
        <v>18</v>
      </c>
      <c r="G484">
        <v>177</v>
      </c>
      <c r="H484">
        <v>90.06</v>
      </c>
      <c r="I484">
        <v>87.71</v>
      </c>
      <c r="J484">
        <v>7</v>
      </c>
      <c r="K484" t="s">
        <v>15</v>
      </c>
    </row>
    <row r="485" spans="1:11" x14ac:dyDescent="0.25">
      <c r="A485" t="s">
        <v>510</v>
      </c>
      <c r="B485" t="s">
        <v>17</v>
      </c>
      <c r="C485" s="1">
        <v>44586</v>
      </c>
      <c r="E485" t="s">
        <v>39</v>
      </c>
      <c r="F485" t="s">
        <v>18</v>
      </c>
      <c r="G485">
        <v>67</v>
      </c>
      <c r="H485">
        <v>84.72</v>
      </c>
      <c r="I485">
        <v>73.06</v>
      </c>
      <c r="J485">
        <v>9</v>
      </c>
      <c r="K485" t="s">
        <v>15</v>
      </c>
    </row>
    <row r="486" spans="1:11" x14ac:dyDescent="0.25">
      <c r="A486" t="s">
        <v>511</v>
      </c>
      <c r="B486" t="s">
        <v>20</v>
      </c>
      <c r="C486" s="1">
        <v>45237</v>
      </c>
      <c r="D486" s="1">
        <v>45250</v>
      </c>
      <c r="E486" t="s">
        <v>13</v>
      </c>
      <c r="F486" t="s">
        <v>18</v>
      </c>
      <c r="G486">
        <v>1866</v>
      </c>
      <c r="H486">
        <v>50.78</v>
      </c>
      <c r="I486">
        <v>48.2</v>
      </c>
      <c r="J486">
        <v>96</v>
      </c>
      <c r="K486" t="s">
        <v>15</v>
      </c>
    </row>
    <row r="487" spans="1:11" x14ac:dyDescent="0.25">
      <c r="A487" t="s">
        <v>512</v>
      </c>
      <c r="B487" t="s">
        <v>29</v>
      </c>
      <c r="C487" s="1">
        <v>44759</v>
      </c>
      <c r="D487" s="1">
        <v>44767</v>
      </c>
      <c r="E487" t="s">
        <v>21</v>
      </c>
      <c r="F487" t="s">
        <v>18</v>
      </c>
      <c r="G487">
        <v>1808</v>
      </c>
      <c r="H487">
        <v>72.23</v>
      </c>
      <c r="I487">
        <v>67.86</v>
      </c>
      <c r="J487">
        <v>53</v>
      </c>
      <c r="K487" t="s">
        <v>15</v>
      </c>
    </row>
    <row r="488" spans="1:11" x14ac:dyDescent="0.25">
      <c r="A488" t="s">
        <v>513</v>
      </c>
      <c r="B488" t="s">
        <v>17</v>
      </c>
      <c r="C488" s="1">
        <v>44970</v>
      </c>
      <c r="D488" s="1">
        <v>44973</v>
      </c>
      <c r="E488" t="s">
        <v>39</v>
      </c>
      <c r="F488" t="s">
        <v>14</v>
      </c>
      <c r="G488">
        <v>615</v>
      </c>
      <c r="H488">
        <v>30.3</v>
      </c>
      <c r="I488">
        <v>29.52</v>
      </c>
      <c r="J488">
        <v>96</v>
      </c>
      <c r="K488" t="s">
        <v>15</v>
      </c>
    </row>
    <row r="489" spans="1:11" x14ac:dyDescent="0.25">
      <c r="A489" t="s">
        <v>514</v>
      </c>
      <c r="B489" t="s">
        <v>20</v>
      </c>
      <c r="C489" s="1">
        <v>44898</v>
      </c>
      <c r="D489" s="1">
        <v>44899</v>
      </c>
      <c r="E489" t="s">
        <v>13</v>
      </c>
      <c r="F489" t="s">
        <v>35</v>
      </c>
      <c r="G489">
        <v>619</v>
      </c>
      <c r="H489">
        <v>38.380000000000003</v>
      </c>
      <c r="I489">
        <v>35.020000000000003</v>
      </c>
      <c r="J489">
        <v>34</v>
      </c>
      <c r="K489" t="s">
        <v>15</v>
      </c>
    </row>
    <row r="490" spans="1:11" x14ac:dyDescent="0.25">
      <c r="A490" t="s">
        <v>515</v>
      </c>
      <c r="B490" t="s">
        <v>17</v>
      </c>
      <c r="C490" s="1">
        <v>44847</v>
      </c>
      <c r="D490" s="1">
        <v>44851</v>
      </c>
      <c r="E490" t="s">
        <v>13</v>
      </c>
      <c r="F490" t="s">
        <v>18</v>
      </c>
      <c r="G490">
        <v>1396</v>
      </c>
      <c r="H490">
        <v>94.75</v>
      </c>
      <c r="I490">
        <v>84.06</v>
      </c>
      <c r="J490">
        <v>210</v>
      </c>
      <c r="K490" t="s">
        <v>15</v>
      </c>
    </row>
    <row r="491" spans="1:11" x14ac:dyDescent="0.25">
      <c r="A491" t="s">
        <v>516</v>
      </c>
      <c r="B491" t="s">
        <v>20</v>
      </c>
      <c r="C491" s="1">
        <v>44633</v>
      </c>
      <c r="D491" s="1">
        <v>44644</v>
      </c>
      <c r="E491" t="s">
        <v>21</v>
      </c>
      <c r="F491" t="s">
        <v>18</v>
      </c>
      <c r="G491">
        <v>1945</v>
      </c>
      <c r="H491">
        <v>11.28</v>
      </c>
      <c r="I491">
        <v>9.98</v>
      </c>
      <c r="J491">
        <v>94</v>
      </c>
      <c r="K491" t="s">
        <v>15</v>
      </c>
    </row>
    <row r="492" spans="1:11" x14ac:dyDescent="0.25">
      <c r="A492" t="s">
        <v>517</v>
      </c>
      <c r="B492" t="s">
        <v>17</v>
      </c>
      <c r="C492" s="1">
        <v>44847</v>
      </c>
      <c r="D492" s="1">
        <v>44852</v>
      </c>
      <c r="E492" t="s">
        <v>24</v>
      </c>
      <c r="F492" t="s">
        <v>18</v>
      </c>
      <c r="G492">
        <v>735</v>
      </c>
      <c r="H492">
        <v>18.489999999999998</v>
      </c>
      <c r="I492">
        <v>15.89</v>
      </c>
      <c r="J492">
        <v>113</v>
      </c>
      <c r="K492" t="s">
        <v>27</v>
      </c>
    </row>
    <row r="493" spans="1:11" x14ac:dyDescent="0.25">
      <c r="A493" t="s">
        <v>518</v>
      </c>
      <c r="B493" t="s">
        <v>29</v>
      </c>
      <c r="C493" s="1">
        <v>44921</v>
      </c>
      <c r="D493" s="1">
        <v>44937</v>
      </c>
      <c r="E493" t="s">
        <v>13</v>
      </c>
      <c r="F493" t="s">
        <v>35</v>
      </c>
      <c r="G493">
        <v>1865</v>
      </c>
      <c r="H493">
        <v>30.29</v>
      </c>
      <c r="I493">
        <v>26.83</v>
      </c>
      <c r="J493">
        <v>56</v>
      </c>
      <c r="K493" t="s">
        <v>15</v>
      </c>
    </row>
    <row r="494" spans="1:11" x14ac:dyDescent="0.25">
      <c r="A494" t="s">
        <v>519</v>
      </c>
      <c r="B494" t="s">
        <v>23</v>
      </c>
      <c r="C494" s="1">
        <v>45218</v>
      </c>
      <c r="D494" s="1">
        <v>45223</v>
      </c>
      <c r="E494" t="s">
        <v>39</v>
      </c>
      <c r="F494" t="s">
        <v>14</v>
      </c>
      <c r="G494">
        <v>675</v>
      </c>
      <c r="H494">
        <v>13.69</v>
      </c>
      <c r="I494">
        <v>11.84</v>
      </c>
      <c r="J494">
        <v>52</v>
      </c>
      <c r="K494" t="s">
        <v>15</v>
      </c>
    </row>
    <row r="495" spans="1:11" x14ac:dyDescent="0.25">
      <c r="A495" t="s">
        <v>520</v>
      </c>
      <c r="B495" t="s">
        <v>20</v>
      </c>
      <c r="C495" s="1">
        <v>45083</v>
      </c>
      <c r="D495" s="1">
        <v>45099</v>
      </c>
      <c r="E495" t="s">
        <v>21</v>
      </c>
      <c r="F495" t="s">
        <v>35</v>
      </c>
      <c r="G495">
        <v>1361</v>
      </c>
      <c r="H495">
        <v>28.57</v>
      </c>
      <c r="I495">
        <v>24.29</v>
      </c>
      <c r="J495">
        <v>65</v>
      </c>
      <c r="K495" t="s">
        <v>15</v>
      </c>
    </row>
    <row r="496" spans="1:11" x14ac:dyDescent="0.25">
      <c r="A496" t="s">
        <v>521</v>
      </c>
      <c r="B496" t="s">
        <v>20</v>
      </c>
      <c r="C496" s="1">
        <v>44971</v>
      </c>
      <c r="D496" s="1">
        <v>44972</v>
      </c>
      <c r="E496" t="s">
        <v>26</v>
      </c>
      <c r="F496" t="s">
        <v>18</v>
      </c>
      <c r="G496">
        <v>903</v>
      </c>
      <c r="H496">
        <v>66.53</v>
      </c>
      <c r="I496">
        <v>60.15</v>
      </c>
      <c r="J496">
        <v>29</v>
      </c>
      <c r="K496" t="s">
        <v>15</v>
      </c>
    </row>
    <row r="497" spans="1:11" x14ac:dyDescent="0.25">
      <c r="A497" t="s">
        <v>522</v>
      </c>
      <c r="B497" t="s">
        <v>29</v>
      </c>
      <c r="C497" s="1">
        <v>45257</v>
      </c>
      <c r="E497" t="s">
        <v>24</v>
      </c>
      <c r="F497" t="s">
        <v>14</v>
      </c>
      <c r="G497">
        <v>1736</v>
      </c>
      <c r="H497">
        <v>53.2</v>
      </c>
      <c r="I497">
        <v>50.68</v>
      </c>
      <c r="J497">
        <v>48</v>
      </c>
      <c r="K497" t="s">
        <v>15</v>
      </c>
    </row>
    <row r="498" spans="1:11" x14ac:dyDescent="0.25">
      <c r="A498" t="s">
        <v>523</v>
      </c>
      <c r="B498" t="s">
        <v>23</v>
      </c>
      <c r="C498" s="1">
        <v>45111</v>
      </c>
      <c r="D498" s="1">
        <v>45118</v>
      </c>
      <c r="E498" t="s">
        <v>21</v>
      </c>
      <c r="F498" t="s">
        <v>18</v>
      </c>
      <c r="G498">
        <v>1011</v>
      </c>
      <c r="H498">
        <v>98.47</v>
      </c>
      <c r="I498">
        <v>97.06</v>
      </c>
      <c r="J498">
        <v>91</v>
      </c>
      <c r="K498" t="s">
        <v>15</v>
      </c>
    </row>
    <row r="499" spans="1:11" x14ac:dyDescent="0.25">
      <c r="A499" t="s">
        <v>524</v>
      </c>
      <c r="B499" t="s">
        <v>17</v>
      </c>
      <c r="C499" s="1">
        <v>44901</v>
      </c>
      <c r="D499" s="1">
        <v>44919</v>
      </c>
      <c r="E499" t="s">
        <v>39</v>
      </c>
      <c r="F499" t="s">
        <v>18</v>
      </c>
      <c r="G499">
        <v>1712</v>
      </c>
      <c r="H499">
        <v>88.17</v>
      </c>
      <c r="I499">
        <v>85.86</v>
      </c>
      <c r="J499">
        <v>246</v>
      </c>
      <c r="K499" t="s">
        <v>15</v>
      </c>
    </row>
    <row r="500" spans="1:11" x14ac:dyDescent="0.25">
      <c r="A500" t="s">
        <v>525</v>
      </c>
      <c r="B500" t="s">
        <v>20</v>
      </c>
      <c r="C500" s="1">
        <v>44590</v>
      </c>
      <c r="E500" t="s">
        <v>13</v>
      </c>
      <c r="F500" t="s">
        <v>18</v>
      </c>
      <c r="G500">
        <v>204</v>
      </c>
      <c r="H500">
        <v>40.76</v>
      </c>
      <c r="I500">
        <v>37.46</v>
      </c>
      <c r="J500">
        <v>10</v>
      </c>
      <c r="K500" t="s">
        <v>15</v>
      </c>
    </row>
    <row r="501" spans="1:11" x14ac:dyDescent="0.25">
      <c r="A501" t="s">
        <v>526</v>
      </c>
      <c r="B501" t="s">
        <v>23</v>
      </c>
      <c r="C501" s="1">
        <v>44680</v>
      </c>
      <c r="D501" s="1">
        <v>44694</v>
      </c>
      <c r="E501" t="s">
        <v>39</v>
      </c>
      <c r="F501" t="s">
        <v>33</v>
      </c>
      <c r="G501">
        <v>539</v>
      </c>
      <c r="H501">
        <v>33.85</v>
      </c>
      <c r="I501">
        <v>30.57</v>
      </c>
      <c r="J501">
        <v>34</v>
      </c>
      <c r="K501" t="s">
        <v>27</v>
      </c>
    </row>
    <row r="502" spans="1:11" x14ac:dyDescent="0.25">
      <c r="A502" t="s">
        <v>527</v>
      </c>
      <c r="B502" t="s">
        <v>17</v>
      </c>
      <c r="C502" s="1">
        <v>44829</v>
      </c>
      <c r="D502" s="1">
        <v>44839</v>
      </c>
      <c r="E502" t="s">
        <v>13</v>
      </c>
      <c r="F502" t="s">
        <v>18</v>
      </c>
      <c r="G502">
        <v>1459</v>
      </c>
      <c r="H502">
        <v>45.94</v>
      </c>
      <c r="I502">
        <v>42.56</v>
      </c>
      <c r="J502">
        <v>212</v>
      </c>
      <c r="K502" t="s">
        <v>27</v>
      </c>
    </row>
    <row r="503" spans="1:11" x14ac:dyDescent="0.25">
      <c r="A503" t="s">
        <v>528</v>
      </c>
      <c r="B503" t="s">
        <v>20</v>
      </c>
      <c r="C503" s="1">
        <v>44744</v>
      </c>
      <c r="D503" s="1">
        <v>44748</v>
      </c>
      <c r="E503" t="s">
        <v>21</v>
      </c>
      <c r="F503" t="s">
        <v>18</v>
      </c>
      <c r="G503">
        <v>834</v>
      </c>
      <c r="H503">
        <v>65.02</v>
      </c>
      <c r="I503">
        <v>56.19</v>
      </c>
      <c r="K503" t="s">
        <v>15</v>
      </c>
    </row>
    <row r="504" spans="1:11" x14ac:dyDescent="0.25">
      <c r="A504" t="s">
        <v>529</v>
      </c>
      <c r="B504" t="s">
        <v>20</v>
      </c>
      <c r="C504" s="1">
        <v>45156</v>
      </c>
      <c r="D504" s="1">
        <v>45170</v>
      </c>
      <c r="E504" t="s">
        <v>24</v>
      </c>
      <c r="F504" t="s">
        <v>33</v>
      </c>
      <c r="G504">
        <v>1177</v>
      </c>
      <c r="H504">
        <v>37.369999999999997</v>
      </c>
      <c r="I504">
        <v>34.270000000000003</v>
      </c>
      <c r="J504">
        <v>60</v>
      </c>
      <c r="K504" t="s">
        <v>15</v>
      </c>
    </row>
    <row r="505" spans="1:11" x14ac:dyDescent="0.25">
      <c r="A505" t="s">
        <v>530</v>
      </c>
      <c r="B505" t="s">
        <v>17</v>
      </c>
      <c r="C505" s="1">
        <v>44833</v>
      </c>
      <c r="D505" s="1">
        <v>44853</v>
      </c>
      <c r="E505" t="s">
        <v>21</v>
      </c>
      <c r="F505" t="s">
        <v>18</v>
      </c>
      <c r="G505">
        <v>1466</v>
      </c>
      <c r="H505">
        <v>68.819999999999993</v>
      </c>
      <c r="I505">
        <v>66.819999999999993</v>
      </c>
      <c r="J505">
        <v>211</v>
      </c>
      <c r="K505" t="s">
        <v>15</v>
      </c>
    </row>
    <row r="506" spans="1:11" x14ac:dyDescent="0.25">
      <c r="A506" t="s">
        <v>531</v>
      </c>
      <c r="B506" t="s">
        <v>29</v>
      </c>
      <c r="C506" s="1">
        <v>44601</v>
      </c>
      <c r="D506" s="1">
        <v>44605</v>
      </c>
      <c r="E506" t="s">
        <v>39</v>
      </c>
      <c r="F506" t="s">
        <v>18</v>
      </c>
      <c r="G506">
        <v>1884</v>
      </c>
      <c r="H506">
        <v>47.08</v>
      </c>
      <c r="I506">
        <v>44.31</v>
      </c>
      <c r="J506">
        <v>54</v>
      </c>
      <c r="K506" t="s">
        <v>15</v>
      </c>
    </row>
    <row r="507" spans="1:11" x14ac:dyDescent="0.25">
      <c r="A507" t="s">
        <v>532</v>
      </c>
      <c r="B507" t="s">
        <v>23</v>
      </c>
      <c r="C507" s="1">
        <v>44673</v>
      </c>
      <c r="D507" s="1">
        <v>44689</v>
      </c>
      <c r="E507" t="s">
        <v>39</v>
      </c>
      <c r="F507" t="s">
        <v>18</v>
      </c>
      <c r="G507">
        <v>295</v>
      </c>
      <c r="H507">
        <v>60.58</v>
      </c>
      <c r="I507">
        <v>57.32</v>
      </c>
      <c r="J507">
        <v>31</v>
      </c>
      <c r="K507" t="s">
        <v>15</v>
      </c>
    </row>
    <row r="508" spans="1:11" x14ac:dyDescent="0.25">
      <c r="A508" t="s">
        <v>533</v>
      </c>
      <c r="B508" t="s">
        <v>20</v>
      </c>
      <c r="C508" s="1">
        <v>45172</v>
      </c>
      <c r="D508" s="1">
        <v>45173</v>
      </c>
      <c r="E508" t="s">
        <v>26</v>
      </c>
      <c r="F508" t="s">
        <v>18</v>
      </c>
      <c r="G508">
        <v>1249</v>
      </c>
      <c r="H508">
        <v>54.18</v>
      </c>
      <c r="I508">
        <v>47.29</v>
      </c>
      <c r="J508">
        <v>59</v>
      </c>
      <c r="K508" t="s">
        <v>15</v>
      </c>
    </row>
    <row r="509" spans="1:11" x14ac:dyDescent="0.25">
      <c r="A509" t="s">
        <v>534</v>
      </c>
      <c r="B509" t="s">
        <v>17</v>
      </c>
      <c r="C509" s="1">
        <v>45006</v>
      </c>
      <c r="D509" s="1">
        <v>45025</v>
      </c>
      <c r="E509" t="s">
        <v>26</v>
      </c>
      <c r="F509" t="s">
        <v>18</v>
      </c>
      <c r="G509">
        <v>1112</v>
      </c>
      <c r="H509">
        <v>39.06</v>
      </c>
      <c r="I509">
        <v>33.6</v>
      </c>
      <c r="J509">
        <v>184</v>
      </c>
      <c r="K509" t="s">
        <v>27</v>
      </c>
    </row>
    <row r="510" spans="1:11" x14ac:dyDescent="0.25">
      <c r="A510" t="s">
        <v>535</v>
      </c>
      <c r="B510" t="s">
        <v>20</v>
      </c>
      <c r="C510" s="1">
        <v>44915</v>
      </c>
      <c r="D510" s="1">
        <v>44920</v>
      </c>
      <c r="E510" t="s">
        <v>13</v>
      </c>
      <c r="F510" t="s">
        <v>18</v>
      </c>
      <c r="G510">
        <v>1550</v>
      </c>
      <c r="H510">
        <v>100.61</v>
      </c>
      <c r="I510">
        <v>97.43</v>
      </c>
      <c r="J510">
        <v>66</v>
      </c>
      <c r="K510" t="s">
        <v>15</v>
      </c>
    </row>
    <row r="511" spans="1:11" x14ac:dyDescent="0.25">
      <c r="A511" t="s">
        <v>536</v>
      </c>
      <c r="B511" t="s">
        <v>17</v>
      </c>
      <c r="C511" s="1">
        <v>44883</v>
      </c>
      <c r="D511" s="1">
        <v>44884</v>
      </c>
      <c r="E511" t="s">
        <v>39</v>
      </c>
      <c r="F511" t="s">
        <v>18</v>
      </c>
      <c r="G511">
        <v>1755</v>
      </c>
      <c r="H511">
        <v>82.66</v>
      </c>
      <c r="I511">
        <v>73.67</v>
      </c>
      <c r="J511">
        <v>258</v>
      </c>
      <c r="K511" t="s">
        <v>27</v>
      </c>
    </row>
    <row r="512" spans="1:11" x14ac:dyDescent="0.25">
      <c r="A512" t="s">
        <v>537</v>
      </c>
      <c r="B512" t="s">
        <v>20</v>
      </c>
      <c r="C512" s="1">
        <v>45008</v>
      </c>
      <c r="D512" s="1">
        <v>45016</v>
      </c>
      <c r="E512" t="s">
        <v>26</v>
      </c>
      <c r="F512" t="s">
        <v>18</v>
      </c>
      <c r="G512">
        <v>808</v>
      </c>
      <c r="H512">
        <v>24.19</v>
      </c>
      <c r="I512">
        <v>21.64</v>
      </c>
      <c r="J512">
        <v>39</v>
      </c>
      <c r="K512" t="s">
        <v>15</v>
      </c>
    </row>
    <row r="513" spans="1:11" x14ac:dyDescent="0.25">
      <c r="A513" t="s">
        <v>538</v>
      </c>
      <c r="B513" t="s">
        <v>12</v>
      </c>
      <c r="C513" s="1">
        <v>45182</v>
      </c>
      <c r="D513" s="1">
        <v>45188</v>
      </c>
      <c r="E513" t="s">
        <v>26</v>
      </c>
      <c r="F513" t="s">
        <v>33</v>
      </c>
      <c r="G513">
        <v>587</v>
      </c>
      <c r="H513">
        <v>96.98</v>
      </c>
      <c r="I513">
        <v>95.35</v>
      </c>
      <c r="J513">
        <v>14</v>
      </c>
      <c r="K513" t="s">
        <v>15</v>
      </c>
    </row>
    <row r="514" spans="1:11" x14ac:dyDescent="0.25">
      <c r="A514" t="s">
        <v>539</v>
      </c>
      <c r="B514" t="s">
        <v>29</v>
      </c>
      <c r="C514" s="1">
        <v>45085</v>
      </c>
      <c r="D514" s="1">
        <v>45088</v>
      </c>
      <c r="E514" t="s">
        <v>21</v>
      </c>
      <c r="F514" t="s">
        <v>18</v>
      </c>
      <c r="G514">
        <v>1940</v>
      </c>
      <c r="H514">
        <v>58.45</v>
      </c>
      <c r="I514">
        <v>50.29</v>
      </c>
      <c r="J514">
        <v>54</v>
      </c>
      <c r="K514" t="s">
        <v>15</v>
      </c>
    </row>
    <row r="515" spans="1:11" x14ac:dyDescent="0.25">
      <c r="A515" t="s">
        <v>540</v>
      </c>
      <c r="B515" t="s">
        <v>23</v>
      </c>
      <c r="C515" s="1">
        <v>44680</v>
      </c>
      <c r="D515" s="1">
        <v>44692</v>
      </c>
      <c r="E515" t="s">
        <v>13</v>
      </c>
      <c r="F515" t="s">
        <v>14</v>
      </c>
      <c r="G515">
        <v>1891</v>
      </c>
      <c r="H515">
        <v>91.87</v>
      </c>
      <c r="I515">
        <v>80.28</v>
      </c>
      <c r="J515">
        <v>158</v>
      </c>
      <c r="K515" t="s">
        <v>15</v>
      </c>
    </row>
    <row r="516" spans="1:11" x14ac:dyDescent="0.25">
      <c r="A516" t="s">
        <v>541</v>
      </c>
      <c r="B516" t="s">
        <v>29</v>
      </c>
      <c r="C516" s="1">
        <v>44956</v>
      </c>
      <c r="D516" s="1">
        <v>44973</v>
      </c>
      <c r="E516" t="s">
        <v>24</v>
      </c>
      <c r="F516" t="s">
        <v>18</v>
      </c>
      <c r="G516">
        <v>970</v>
      </c>
      <c r="H516">
        <v>86.91</v>
      </c>
      <c r="I516">
        <v>78.44</v>
      </c>
      <c r="J516">
        <v>18</v>
      </c>
      <c r="K516" t="s">
        <v>15</v>
      </c>
    </row>
    <row r="517" spans="1:11" x14ac:dyDescent="0.25">
      <c r="A517" t="s">
        <v>542</v>
      </c>
      <c r="B517" t="s">
        <v>29</v>
      </c>
      <c r="C517" s="1">
        <v>45152</v>
      </c>
      <c r="D517" s="1">
        <v>45169</v>
      </c>
      <c r="E517" t="s">
        <v>21</v>
      </c>
      <c r="F517" t="s">
        <v>18</v>
      </c>
      <c r="G517">
        <v>457</v>
      </c>
      <c r="H517">
        <v>52.85</v>
      </c>
      <c r="I517">
        <v>50.34</v>
      </c>
      <c r="J517">
        <v>16</v>
      </c>
      <c r="K517" t="s">
        <v>15</v>
      </c>
    </row>
    <row r="518" spans="1:11" x14ac:dyDescent="0.25">
      <c r="A518" t="s">
        <v>543</v>
      </c>
      <c r="B518" t="s">
        <v>23</v>
      </c>
      <c r="C518" s="1">
        <v>44756</v>
      </c>
      <c r="D518" s="1">
        <v>44769</v>
      </c>
      <c r="E518" t="s">
        <v>13</v>
      </c>
      <c r="F518" t="s">
        <v>14</v>
      </c>
      <c r="G518">
        <v>574</v>
      </c>
      <c r="H518">
        <v>12.38</v>
      </c>
      <c r="I518">
        <v>11.47</v>
      </c>
      <c r="K518" t="s">
        <v>27</v>
      </c>
    </row>
    <row r="519" spans="1:11" x14ac:dyDescent="0.25">
      <c r="A519" t="s">
        <v>544</v>
      </c>
      <c r="B519" t="s">
        <v>29</v>
      </c>
      <c r="C519" s="1">
        <v>44822</v>
      </c>
      <c r="D519" s="1">
        <v>44824</v>
      </c>
      <c r="E519" t="s">
        <v>13</v>
      </c>
      <c r="F519" t="s">
        <v>18</v>
      </c>
      <c r="G519">
        <v>877</v>
      </c>
      <c r="H519">
        <v>35.549999999999997</v>
      </c>
      <c r="I519">
        <v>34.69</v>
      </c>
      <c r="J519">
        <v>24</v>
      </c>
      <c r="K519" t="s">
        <v>15</v>
      </c>
    </row>
    <row r="520" spans="1:11" x14ac:dyDescent="0.25">
      <c r="A520" t="s">
        <v>545</v>
      </c>
      <c r="B520" t="s">
        <v>12</v>
      </c>
      <c r="C520" s="1">
        <v>44607</v>
      </c>
      <c r="D520" s="1">
        <v>44619</v>
      </c>
      <c r="E520" t="s">
        <v>21</v>
      </c>
      <c r="F520" t="s">
        <v>18</v>
      </c>
      <c r="G520">
        <v>1579</v>
      </c>
      <c r="H520">
        <v>59.04</v>
      </c>
      <c r="I520">
        <v>50.95</v>
      </c>
      <c r="J520">
        <v>29</v>
      </c>
      <c r="K520" t="s">
        <v>15</v>
      </c>
    </row>
    <row r="521" spans="1:11" x14ac:dyDescent="0.25">
      <c r="A521" t="s">
        <v>546</v>
      </c>
      <c r="B521" t="s">
        <v>17</v>
      </c>
      <c r="C521" s="1">
        <v>45287</v>
      </c>
      <c r="D521" s="1">
        <v>45288</v>
      </c>
      <c r="E521" t="s">
        <v>26</v>
      </c>
      <c r="F521" t="s">
        <v>18</v>
      </c>
      <c r="G521">
        <v>952</v>
      </c>
      <c r="H521">
        <v>74.72</v>
      </c>
      <c r="I521">
        <v>69.73</v>
      </c>
      <c r="K521" t="s">
        <v>15</v>
      </c>
    </row>
    <row r="522" spans="1:11" x14ac:dyDescent="0.25">
      <c r="A522" t="s">
        <v>547</v>
      </c>
      <c r="B522" t="s">
        <v>23</v>
      </c>
      <c r="C522" s="1">
        <v>45008</v>
      </c>
      <c r="D522" s="1">
        <v>45011</v>
      </c>
      <c r="E522" t="s">
        <v>26</v>
      </c>
      <c r="F522" t="s">
        <v>35</v>
      </c>
      <c r="G522">
        <v>1898</v>
      </c>
      <c r="H522">
        <v>35.53</v>
      </c>
      <c r="I522">
        <v>33.25</v>
      </c>
      <c r="J522">
        <v>187</v>
      </c>
      <c r="K522" t="s">
        <v>15</v>
      </c>
    </row>
    <row r="523" spans="1:11" x14ac:dyDescent="0.25">
      <c r="A523" t="s">
        <v>548</v>
      </c>
      <c r="B523" t="s">
        <v>17</v>
      </c>
      <c r="C523" s="1">
        <v>44563</v>
      </c>
      <c r="D523" s="1">
        <v>44567</v>
      </c>
      <c r="E523" t="s">
        <v>24</v>
      </c>
      <c r="F523" t="s">
        <v>18</v>
      </c>
      <c r="G523">
        <v>85</v>
      </c>
      <c r="H523">
        <v>22.54</v>
      </c>
      <c r="I523">
        <v>20.68</v>
      </c>
      <c r="J523">
        <v>6</v>
      </c>
      <c r="K523" t="s">
        <v>15</v>
      </c>
    </row>
    <row r="524" spans="1:11" x14ac:dyDescent="0.25">
      <c r="A524" t="s">
        <v>549</v>
      </c>
      <c r="B524" t="s">
        <v>20</v>
      </c>
      <c r="C524" s="1">
        <v>45094</v>
      </c>
      <c r="D524" s="1">
        <v>45105</v>
      </c>
      <c r="E524" t="s">
        <v>24</v>
      </c>
      <c r="F524" t="s">
        <v>35</v>
      </c>
      <c r="G524">
        <v>734</v>
      </c>
      <c r="H524">
        <v>92.38</v>
      </c>
      <c r="I524">
        <v>78.92</v>
      </c>
      <c r="J524">
        <v>34</v>
      </c>
      <c r="K524" t="s">
        <v>27</v>
      </c>
    </row>
    <row r="525" spans="1:11" x14ac:dyDescent="0.25">
      <c r="A525" t="s">
        <v>550</v>
      </c>
      <c r="B525" t="s">
        <v>12</v>
      </c>
      <c r="C525" s="1">
        <v>45113</v>
      </c>
      <c r="D525" s="1">
        <v>45125</v>
      </c>
      <c r="E525" t="s">
        <v>13</v>
      </c>
      <c r="F525" t="s">
        <v>18</v>
      </c>
      <c r="G525">
        <v>69</v>
      </c>
      <c r="H525">
        <v>107.47</v>
      </c>
      <c r="I525">
        <v>105.53</v>
      </c>
      <c r="K525" t="s">
        <v>15</v>
      </c>
    </row>
    <row r="526" spans="1:11" x14ac:dyDescent="0.25">
      <c r="A526" t="s">
        <v>551</v>
      </c>
      <c r="B526" t="s">
        <v>17</v>
      </c>
      <c r="C526" s="1">
        <v>45265</v>
      </c>
      <c r="D526" s="1">
        <v>45271</v>
      </c>
      <c r="E526" t="s">
        <v>24</v>
      </c>
      <c r="F526" t="s">
        <v>18</v>
      </c>
      <c r="G526">
        <v>370</v>
      </c>
      <c r="H526">
        <v>63.9</v>
      </c>
      <c r="I526">
        <v>55.79</v>
      </c>
      <c r="J526">
        <v>59</v>
      </c>
      <c r="K526" t="s">
        <v>15</v>
      </c>
    </row>
    <row r="527" spans="1:11" x14ac:dyDescent="0.25">
      <c r="A527" t="s">
        <v>552</v>
      </c>
      <c r="B527" t="s">
        <v>17</v>
      </c>
      <c r="C527" s="1">
        <v>45248</v>
      </c>
      <c r="D527" s="1">
        <v>45263</v>
      </c>
      <c r="E527" t="s">
        <v>21</v>
      </c>
      <c r="F527" t="s">
        <v>18</v>
      </c>
      <c r="G527">
        <v>1849</v>
      </c>
      <c r="H527">
        <v>28.25</v>
      </c>
      <c r="I527">
        <v>27.53</v>
      </c>
      <c r="J527">
        <v>271</v>
      </c>
      <c r="K527" t="s">
        <v>15</v>
      </c>
    </row>
    <row r="528" spans="1:11" x14ac:dyDescent="0.25">
      <c r="A528" t="s">
        <v>553</v>
      </c>
      <c r="B528" t="s">
        <v>23</v>
      </c>
      <c r="C528" s="1">
        <v>44763</v>
      </c>
      <c r="E528" t="s">
        <v>24</v>
      </c>
      <c r="F528" t="s">
        <v>18</v>
      </c>
      <c r="G528">
        <v>561</v>
      </c>
      <c r="H528">
        <v>35.54</v>
      </c>
      <c r="I528">
        <v>30.99</v>
      </c>
      <c r="J528">
        <v>68</v>
      </c>
      <c r="K528" t="s">
        <v>27</v>
      </c>
    </row>
    <row r="529" spans="1:11" x14ac:dyDescent="0.25">
      <c r="A529" t="s">
        <v>554</v>
      </c>
      <c r="B529" t="s">
        <v>20</v>
      </c>
      <c r="C529" s="1">
        <v>44934</v>
      </c>
      <c r="D529" s="1">
        <v>44940</v>
      </c>
      <c r="E529" t="s">
        <v>39</v>
      </c>
      <c r="F529" t="s">
        <v>18</v>
      </c>
      <c r="G529">
        <v>449</v>
      </c>
      <c r="H529">
        <v>12.35</v>
      </c>
      <c r="I529">
        <v>10.67</v>
      </c>
      <c r="J529">
        <v>29</v>
      </c>
      <c r="K529" t="s">
        <v>15</v>
      </c>
    </row>
    <row r="530" spans="1:11" x14ac:dyDescent="0.25">
      <c r="A530" t="s">
        <v>555</v>
      </c>
      <c r="B530" t="s">
        <v>23</v>
      </c>
      <c r="C530" s="1">
        <v>45003</v>
      </c>
      <c r="D530" s="1">
        <v>45006</v>
      </c>
      <c r="E530" t="s">
        <v>13</v>
      </c>
      <c r="F530" t="s">
        <v>18</v>
      </c>
      <c r="G530">
        <v>703</v>
      </c>
      <c r="H530">
        <v>98.75</v>
      </c>
      <c r="I530">
        <v>86.78</v>
      </c>
      <c r="J530">
        <v>59</v>
      </c>
      <c r="K530" t="s">
        <v>15</v>
      </c>
    </row>
    <row r="531" spans="1:11" x14ac:dyDescent="0.25">
      <c r="A531" t="s">
        <v>556</v>
      </c>
      <c r="B531" t="s">
        <v>20</v>
      </c>
      <c r="C531" s="1">
        <v>44633</v>
      </c>
      <c r="D531" s="1">
        <v>44648</v>
      </c>
      <c r="E531" t="s">
        <v>39</v>
      </c>
      <c r="F531" t="s">
        <v>18</v>
      </c>
      <c r="G531">
        <v>1021</v>
      </c>
      <c r="H531">
        <v>20.8</v>
      </c>
      <c r="I531">
        <v>18.23</v>
      </c>
      <c r="J531">
        <v>37</v>
      </c>
      <c r="K531" t="s">
        <v>15</v>
      </c>
    </row>
    <row r="532" spans="1:11" x14ac:dyDescent="0.25">
      <c r="A532" t="s">
        <v>557</v>
      </c>
      <c r="B532" t="s">
        <v>23</v>
      </c>
      <c r="C532" s="1">
        <v>45242</v>
      </c>
      <c r="D532" s="1">
        <v>45249</v>
      </c>
      <c r="E532" t="s">
        <v>13</v>
      </c>
      <c r="F532" t="s">
        <v>18</v>
      </c>
      <c r="G532">
        <v>1956</v>
      </c>
      <c r="H532">
        <v>68.69</v>
      </c>
      <c r="I532">
        <v>65.09</v>
      </c>
      <c r="K532" t="s">
        <v>15</v>
      </c>
    </row>
    <row r="533" spans="1:11" x14ac:dyDescent="0.25">
      <c r="A533" t="s">
        <v>558</v>
      </c>
      <c r="B533" t="s">
        <v>17</v>
      </c>
      <c r="C533" s="1">
        <v>44900</v>
      </c>
      <c r="D533" s="1">
        <v>44907</v>
      </c>
      <c r="E533" t="s">
        <v>13</v>
      </c>
      <c r="F533" t="s">
        <v>33</v>
      </c>
      <c r="G533">
        <v>520</v>
      </c>
      <c r="H533">
        <v>36.57</v>
      </c>
      <c r="I533">
        <v>34.78</v>
      </c>
      <c r="J533">
        <v>67</v>
      </c>
      <c r="K533" t="s">
        <v>27</v>
      </c>
    </row>
    <row r="534" spans="1:11" x14ac:dyDescent="0.25">
      <c r="A534" t="s">
        <v>559</v>
      </c>
      <c r="B534" t="s">
        <v>17</v>
      </c>
      <c r="C534" s="1">
        <v>45200</v>
      </c>
      <c r="D534" s="1">
        <v>45211</v>
      </c>
      <c r="E534" t="s">
        <v>21</v>
      </c>
      <c r="F534" t="s">
        <v>18</v>
      </c>
      <c r="G534">
        <v>1216</v>
      </c>
      <c r="H534">
        <v>66.16</v>
      </c>
      <c r="I534">
        <v>63</v>
      </c>
      <c r="J534">
        <v>179</v>
      </c>
      <c r="K534" t="s">
        <v>27</v>
      </c>
    </row>
    <row r="535" spans="1:11" x14ac:dyDescent="0.25">
      <c r="A535" t="s">
        <v>560</v>
      </c>
      <c r="B535" t="s">
        <v>12</v>
      </c>
      <c r="C535" s="1">
        <v>44883</v>
      </c>
      <c r="E535" t="s">
        <v>26</v>
      </c>
      <c r="F535" t="s">
        <v>18</v>
      </c>
      <c r="G535">
        <v>1165</v>
      </c>
      <c r="H535">
        <v>72.06</v>
      </c>
      <c r="I535">
        <v>63.93</v>
      </c>
      <c r="K535" t="s">
        <v>15</v>
      </c>
    </row>
    <row r="536" spans="1:11" x14ac:dyDescent="0.25">
      <c r="A536" t="s">
        <v>561</v>
      </c>
      <c r="B536" t="s">
        <v>17</v>
      </c>
      <c r="C536" s="1">
        <v>45241</v>
      </c>
      <c r="D536" s="1">
        <v>45259</v>
      </c>
      <c r="E536" t="s">
        <v>24</v>
      </c>
      <c r="F536" t="s">
        <v>35</v>
      </c>
      <c r="G536">
        <v>1427</v>
      </c>
      <c r="H536">
        <v>93.99</v>
      </c>
      <c r="I536">
        <v>83.6</v>
      </c>
      <c r="J536">
        <v>213</v>
      </c>
      <c r="K536" t="s">
        <v>15</v>
      </c>
    </row>
    <row r="537" spans="1:11" x14ac:dyDescent="0.25">
      <c r="A537" t="s">
        <v>562</v>
      </c>
      <c r="B537" t="s">
        <v>29</v>
      </c>
      <c r="C537" s="1">
        <v>44689</v>
      </c>
      <c r="D537" s="1">
        <v>44691</v>
      </c>
      <c r="E537" t="s">
        <v>39</v>
      </c>
      <c r="F537" t="s">
        <v>18</v>
      </c>
      <c r="G537">
        <v>883</v>
      </c>
      <c r="H537">
        <v>29.15</v>
      </c>
      <c r="I537">
        <v>25.75</v>
      </c>
      <c r="J537">
        <v>14</v>
      </c>
      <c r="K537" t="s">
        <v>15</v>
      </c>
    </row>
    <row r="538" spans="1:11" x14ac:dyDescent="0.25">
      <c r="A538" t="s">
        <v>563</v>
      </c>
      <c r="B538" t="s">
        <v>17</v>
      </c>
      <c r="C538" s="1">
        <v>44869</v>
      </c>
      <c r="D538" s="1">
        <v>44876</v>
      </c>
      <c r="E538" t="s">
        <v>24</v>
      </c>
      <c r="F538" t="s">
        <v>33</v>
      </c>
      <c r="G538">
        <v>1873</v>
      </c>
      <c r="H538">
        <v>11.54</v>
      </c>
      <c r="I538">
        <v>9.89</v>
      </c>
      <c r="J538">
        <v>284</v>
      </c>
      <c r="K538" t="s">
        <v>27</v>
      </c>
    </row>
    <row r="539" spans="1:11" x14ac:dyDescent="0.25">
      <c r="A539" t="s">
        <v>564</v>
      </c>
      <c r="B539" t="s">
        <v>29</v>
      </c>
      <c r="C539" s="1">
        <v>45081</v>
      </c>
      <c r="D539" s="1">
        <v>45083</v>
      </c>
      <c r="E539" t="s">
        <v>13</v>
      </c>
      <c r="F539" t="s">
        <v>18</v>
      </c>
      <c r="G539">
        <v>776</v>
      </c>
      <c r="H539">
        <v>24.22</v>
      </c>
      <c r="I539">
        <v>22.53</v>
      </c>
      <c r="J539">
        <v>27</v>
      </c>
      <c r="K539" t="s">
        <v>15</v>
      </c>
    </row>
    <row r="540" spans="1:11" x14ac:dyDescent="0.25">
      <c r="A540" t="s">
        <v>565</v>
      </c>
      <c r="B540" t="s">
        <v>17</v>
      </c>
      <c r="C540" s="1">
        <v>44878</v>
      </c>
      <c r="D540" s="1">
        <v>44889</v>
      </c>
      <c r="E540" t="s">
        <v>39</v>
      </c>
      <c r="F540" t="s">
        <v>18</v>
      </c>
      <c r="G540">
        <v>903</v>
      </c>
      <c r="H540">
        <v>95.55</v>
      </c>
      <c r="I540">
        <v>92.45</v>
      </c>
      <c r="J540">
        <v>149</v>
      </c>
      <c r="K540" t="s">
        <v>27</v>
      </c>
    </row>
    <row r="541" spans="1:11" x14ac:dyDescent="0.25">
      <c r="A541" t="s">
        <v>566</v>
      </c>
      <c r="B541" t="s">
        <v>29</v>
      </c>
      <c r="C541" s="1">
        <v>45244</v>
      </c>
      <c r="D541" s="1">
        <v>45256</v>
      </c>
      <c r="E541" t="s">
        <v>39</v>
      </c>
      <c r="F541" t="s">
        <v>18</v>
      </c>
      <c r="G541">
        <v>100</v>
      </c>
      <c r="H541">
        <v>98.4</v>
      </c>
      <c r="I541">
        <v>85.76</v>
      </c>
      <c r="J541">
        <v>3</v>
      </c>
      <c r="K541" t="s">
        <v>15</v>
      </c>
    </row>
    <row r="542" spans="1:11" x14ac:dyDescent="0.25">
      <c r="A542" t="s">
        <v>567</v>
      </c>
      <c r="B542" t="s">
        <v>29</v>
      </c>
      <c r="C542" s="1">
        <v>44980</v>
      </c>
      <c r="D542" s="1">
        <v>44993</v>
      </c>
      <c r="E542" t="s">
        <v>13</v>
      </c>
      <c r="F542" t="s">
        <v>18</v>
      </c>
      <c r="G542">
        <v>1738</v>
      </c>
      <c r="H542">
        <v>67.91</v>
      </c>
      <c r="I542">
        <v>61.15</v>
      </c>
      <c r="K542" t="s">
        <v>15</v>
      </c>
    </row>
    <row r="543" spans="1:11" x14ac:dyDescent="0.25">
      <c r="A543" t="s">
        <v>568</v>
      </c>
      <c r="B543" t="s">
        <v>17</v>
      </c>
      <c r="C543" s="1">
        <v>44896</v>
      </c>
      <c r="D543" s="1">
        <v>44909</v>
      </c>
      <c r="E543" t="s">
        <v>24</v>
      </c>
      <c r="F543" t="s">
        <v>18</v>
      </c>
      <c r="G543">
        <v>1771</v>
      </c>
      <c r="H543">
        <v>67.569999999999993</v>
      </c>
      <c r="I543">
        <v>61.48</v>
      </c>
      <c r="J543">
        <v>280</v>
      </c>
      <c r="K543" t="s">
        <v>27</v>
      </c>
    </row>
    <row r="544" spans="1:11" x14ac:dyDescent="0.25">
      <c r="A544" t="s">
        <v>569</v>
      </c>
      <c r="B544" t="s">
        <v>29</v>
      </c>
      <c r="C544" s="1">
        <v>44974</v>
      </c>
      <c r="D544" s="1">
        <v>44980</v>
      </c>
      <c r="E544" t="s">
        <v>39</v>
      </c>
      <c r="F544" t="s">
        <v>18</v>
      </c>
      <c r="G544">
        <v>624</v>
      </c>
      <c r="H544">
        <v>74.39</v>
      </c>
      <c r="I544">
        <v>66.3</v>
      </c>
      <c r="J544">
        <v>18</v>
      </c>
      <c r="K544" t="s">
        <v>27</v>
      </c>
    </row>
    <row r="545" spans="1:11" x14ac:dyDescent="0.25">
      <c r="A545" t="s">
        <v>570</v>
      </c>
      <c r="B545" t="s">
        <v>12</v>
      </c>
      <c r="C545" s="1">
        <v>45275</v>
      </c>
      <c r="D545" s="1">
        <v>45291</v>
      </c>
      <c r="E545" t="s">
        <v>24</v>
      </c>
      <c r="F545" t="s">
        <v>33</v>
      </c>
      <c r="G545">
        <v>1263</v>
      </c>
      <c r="H545">
        <v>28.75</v>
      </c>
      <c r="I545">
        <v>27.1</v>
      </c>
      <c r="J545">
        <v>26</v>
      </c>
      <c r="K545" t="s">
        <v>15</v>
      </c>
    </row>
    <row r="546" spans="1:11" x14ac:dyDescent="0.25">
      <c r="A546" t="s">
        <v>571</v>
      </c>
      <c r="B546" t="s">
        <v>20</v>
      </c>
      <c r="C546" s="1">
        <v>44864</v>
      </c>
      <c r="D546" s="1">
        <v>44881</v>
      </c>
      <c r="E546" t="s">
        <v>39</v>
      </c>
      <c r="F546" t="s">
        <v>14</v>
      </c>
      <c r="G546">
        <v>1198</v>
      </c>
      <c r="H546">
        <v>96.45</v>
      </c>
      <c r="I546">
        <v>90.09</v>
      </c>
      <c r="K546" t="s">
        <v>15</v>
      </c>
    </row>
    <row r="547" spans="1:11" x14ac:dyDescent="0.25">
      <c r="A547" t="s">
        <v>572</v>
      </c>
      <c r="B547" t="s">
        <v>29</v>
      </c>
      <c r="C547" s="1">
        <v>45129</v>
      </c>
      <c r="D547" s="1">
        <v>45132</v>
      </c>
      <c r="E547" t="s">
        <v>26</v>
      </c>
      <c r="F547" t="s">
        <v>18</v>
      </c>
      <c r="G547">
        <v>199</v>
      </c>
      <c r="H547">
        <v>51.98</v>
      </c>
      <c r="I547">
        <v>45.64</v>
      </c>
      <c r="K547" t="s">
        <v>27</v>
      </c>
    </row>
    <row r="548" spans="1:11" x14ac:dyDescent="0.25">
      <c r="A548" t="s">
        <v>573</v>
      </c>
      <c r="B548" t="s">
        <v>29</v>
      </c>
      <c r="C548" s="1">
        <v>44692</v>
      </c>
      <c r="D548" s="1">
        <v>44695</v>
      </c>
      <c r="E548" t="s">
        <v>21</v>
      </c>
      <c r="F548" t="s">
        <v>35</v>
      </c>
      <c r="G548">
        <v>363</v>
      </c>
      <c r="H548">
        <v>45.37</v>
      </c>
      <c r="I548">
        <v>38.729999999999997</v>
      </c>
      <c r="K548" t="s">
        <v>15</v>
      </c>
    </row>
    <row r="549" spans="1:11" x14ac:dyDescent="0.25">
      <c r="A549" t="s">
        <v>574</v>
      </c>
      <c r="B549" t="s">
        <v>12</v>
      </c>
      <c r="C549" s="1">
        <v>44758</v>
      </c>
      <c r="D549" s="1">
        <v>44764</v>
      </c>
      <c r="E549" t="s">
        <v>13</v>
      </c>
      <c r="F549" t="s">
        <v>18</v>
      </c>
      <c r="G549">
        <v>619</v>
      </c>
      <c r="H549">
        <v>58.4</v>
      </c>
      <c r="I549">
        <v>51.04</v>
      </c>
      <c r="K549" t="s">
        <v>15</v>
      </c>
    </row>
    <row r="550" spans="1:11" x14ac:dyDescent="0.25">
      <c r="A550" t="s">
        <v>575</v>
      </c>
      <c r="B550" t="s">
        <v>12</v>
      </c>
      <c r="C550" s="1">
        <v>44992</v>
      </c>
      <c r="D550" s="1">
        <v>45003</v>
      </c>
      <c r="E550" t="s">
        <v>21</v>
      </c>
      <c r="F550" t="s">
        <v>18</v>
      </c>
      <c r="G550">
        <v>1415</v>
      </c>
      <c r="H550">
        <v>15.22</v>
      </c>
      <c r="I550">
        <v>13.56</v>
      </c>
      <c r="J550">
        <v>30</v>
      </c>
      <c r="K550" t="s">
        <v>15</v>
      </c>
    </row>
    <row r="551" spans="1:11" x14ac:dyDescent="0.25">
      <c r="A551" t="s">
        <v>576</v>
      </c>
      <c r="B551" t="s">
        <v>23</v>
      </c>
      <c r="C551" s="1">
        <v>45242</v>
      </c>
      <c r="D551" s="1">
        <v>45253</v>
      </c>
      <c r="E551" t="s">
        <v>24</v>
      </c>
      <c r="F551" t="s">
        <v>18</v>
      </c>
      <c r="G551">
        <v>354</v>
      </c>
      <c r="H551">
        <v>27.71</v>
      </c>
      <c r="I551">
        <v>23.87</v>
      </c>
      <c r="J551">
        <v>39</v>
      </c>
      <c r="K551" t="s">
        <v>27</v>
      </c>
    </row>
    <row r="552" spans="1:11" x14ac:dyDescent="0.25">
      <c r="A552" t="s">
        <v>577</v>
      </c>
      <c r="B552" t="s">
        <v>20</v>
      </c>
      <c r="C552" s="1">
        <v>44950</v>
      </c>
      <c r="D552" s="1">
        <v>44960</v>
      </c>
      <c r="E552" t="s">
        <v>21</v>
      </c>
      <c r="F552" t="s">
        <v>18</v>
      </c>
      <c r="G552">
        <v>1765</v>
      </c>
      <c r="H552">
        <v>81.010000000000005</v>
      </c>
      <c r="I552">
        <v>78.430000000000007</v>
      </c>
      <c r="J552">
        <v>78</v>
      </c>
      <c r="K552" t="s">
        <v>15</v>
      </c>
    </row>
    <row r="553" spans="1:11" x14ac:dyDescent="0.25">
      <c r="A553" t="s">
        <v>578</v>
      </c>
      <c r="B553" t="s">
        <v>23</v>
      </c>
      <c r="C553" s="1">
        <v>45255</v>
      </c>
      <c r="D553" s="1">
        <v>45269</v>
      </c>
      <c r="E553" t="s">
        <v>21</v>
      </c>
      <c r="F553" t="s">
        <v>18</v>
      </c>
      <c r="G553">
        <v>731</v>
      </c>
      <c r="H553">
        <v>19.37</v>
      </c>
      <c r="I553">
        <v>17.3</v>
      </c>
      <c r="J553">
        <v>69</v>
      </c>
      <c r="K553" t="s">
        <v>27</v>
      </c>
    </row>
    <row r="554" spans="1:11" x14ac:dyDescent="0.25">
      <c r="A554" t="s">
        <v>579</v>
      </c>
      <c r="B554" t="s">
        <v>29</v>
      </c>
      <c r="C554" s="1">
        <v>44740</v>
      </c>
      <c r="D554" s="1">
        <v>44755</v>
      </c>
      <c r="E554" t="s">
        <v>21</v>
      </c>
      <c r="F554" t="s">
        <v>18</v>
      </c>
      <c r="G554">
        <v>887</v>
      </c>
      <c r="H554">
        <v>65.89</v>
      </c>
      <c r="I554">
        <v>59.67</v>
      </c>
      <c r="J554">
        <v>29</v>
      </c>
      <c r="K554" t="s">
        <v>15</v>
      </c>
    </row>
    <row r="555" spans="1:11" x14ac:dyDescent="0.25">
      <c r="A555" t="s">
        <v>580</v>
      </c>
      <c r="B555" t="s">
        <v>12</v>
      </c>
      <c r="C555" s="1">
        <v>45192</v>
      </c>
      <c r="D555" s="1">
        <v>45194</v>
      </c>
      <c r="E555" t="s">
        <v>21</v>
      </c>
      <c r="F555" t="s">
        <v>18</v>
      </c>
      <c r="G555">
        <v>1856</v>
      </c>
      <c r="H555">
        <v>35.29</v>
      </c>
      <c r="I555">
        <v>32.409999999999997</v>
      </c>
      <c r="J555">
        <v>26</v>
      </c>
      <c r="K555" t="s">
        <v>15</v>
      </c>
    </row>
    <row r="556" spans="1:11" x14ac:dyDescent="0.25">
      <c r="A556" t="s">
        <v>581</v>
      </c>
      <c r="B556" t="s">
        <v>29</v>
      </c>
      <c r="C556" s="1">
        <v>45144</v>
      </c>
      <c r="D556" s="1">
        <v>45156</v>
      </c>
      <c r="E556" t="s">
        <v>13</v>
      </c>
      <c r="F556" t="s">
        <v>18</v>
      </c>
      <c r="G556">
        <v>1127</v>
      </c>
      <c r="H556">
        <v>49.32</v>
      </c>
      <c r="I556">
        <v>46.49</v>
      </c>
      <c r="J556">
        <v>30</v>
      </c>
      <c r="K556" t="s">
        <v>15</v>
      </c>
    </row>
    <row r="557" spans="1:11" x14ac:dyDescent="0.25">
      <c r="A557" t="s">
        <v>582</v>
      </c>
      <c r="B557" t="s">
        <v>17</v>
      </c>
      <c r="C557" s="1">
        <v>44870</v>
      </c>
      <c r="D557" s="1">
        <v>44884</v>
      </c>
      <c r="E557" t="s">
        <v>26</v>
      </c>
      <c r="F557" t="s">
        <v>18</v>
      </c>
      <c r="G557">
        <v>1052</v>
      </c>
      <c r="H557">
        <v>37.78</v>
      </c>
      <c r="I557">
        <v>32.6</v>
      </c>
      <c r="J557">
        <v>162</v>
      </c>
      <c r="K557" t="s">
        <v>15</v>
      </c>
    </row>
    <row r="558" spans="1:11" x14ac:dyDescent="0.25">
      <c r="A558" t="s">
        <v>583</v>
      </c>
      <c r="B558" t="s">
        <v>20</v>
      </c>
      <c r="C558" s="1">
        <v>44977</v>
      </c>
      <c r="D558" s="1">
        <v>44979</v>
      </c>
      <c r="E558" t="s">
        <v>26</v>
      </c>
      <c r="F558" t="s">
        <v>18</v>
      </c>
      <c r="G558">
        <v>493</v>
      </c>
      <c r="H558">
        <v>44.74</v>
      </c>
      <c r="I558">
        <v>41.44</v>
      </c>
      <c r="J558">
        <v>24</v>
      </c>
      <c r="K558" t="s">
        <v>27</v>
      </c>
    </row>
    <row r="559" spans="1:11" x14ac:dyDescent="0.25">
      <c r="A559" t="s">
        <v>584</v>
      </c>
      <c r="B559" t="s">
        <v>17</v>
      </c>
      <c r="C559" s="1">
        <v>45123</v>
      </c>
      <c r="D559" s="1">
        <v>45136</v>
      </c>
      <c r="E559" t="s">
        <v>21</v>
      </c>
      <c r="F559" t="s">
        <v>33</v>
      </c>
      <c r="G559">
        <v>662</v>
      </c>
      <c r="H559">
        <v>81.44</v>
      </c>
      <c r="I559">
        <v>71.33</v>
      </c>
      <c r="J559">
        <v>87</v>
      </c>
      <c r="K559" t="s">
        <v>15</v>
      </c>
    </row>
    <row r="560" spans="1:11" x14ac:dyDescent="0.25">
      <c r="A560" t="s">
        <v>585</v>
      </c>
      <c r="B560" t="s">
        <v>12</v>
      </c>
      <c r="C560" s="1">
        <v>44562</v>
      </c>
      <c r="D560" s="1">
        <v>44568</v>
      </c>
      <c r="E560" t="s">
        <v>26</v>
      </c>
      <c r="F560" t="s">
        <v>18</v>
      </c>
      <c r="G560">
        <v>1042</v>
      </c>
      <c r="H560">
        <v>36.74</v>
      </c>
      <c r="I560">
        <v>35.78</v>
      </c>
      <c r="J560">
        <v>33</v>
      </c>
      <c r="K560" t="s">
        <v>15</v>
      </c>
    </row>
    <row r="561" spans="1:11" x14ac:dyDescent="0.25">
      <c r="A561" t="s">
        <v>586</v>
      </c>
      <c r="B561" t="s">
        <v>12</v>
      </c>
      <c r="C561" s="1">
        <v>44873</v>
      </c>
      <c r="E561" t="s">
        <v>26</v>
      </c>
      <c r="F561" t="s">
        <v>18</v>
      </c>
      <c r="G561">
        <v>313</v>
      </c>
      <c r="H561">
        <v>64.03</v>
      </c>
      <c r="I561">
        <v>57.74</v>
      </c>
      <c r="J561">
        <v>1</v>
      </c>
      <c r="K561" t="s">
        <v>15</v>
      </c>
    </row>
    <row r="562" spans="1:11" x14ac:dyDescent="0.25">
      <c r="A562" t="s">
        <v>587</v>
      </c>
      <c r="B562" t="s">
        <v>12</v>
      </c>
      <c r="C562" s="1">
        <v>44855</v>
      </c>
      <c r="D562" s="1">
        <v>44875</v>
      </c>
      <c r="E562" t="s">
        <v>13</v>
      </c>
      <c r="F562" t="s">
        <v>18</v>
      </c>
      <c r="G562">
        <v>1126</v>
      </c>
      <c r="H562">
        <v>55.22</v>
      </c>
      <c r="I562">
        <v>50.38</v>
      </c>
      <c r="K562" t="s">
        <v>15</v>
      </c>
    </row>
    <row r="563" spans="1:11" x14ac:dyDescent="0.25">
      <c r="A563" t="s">
        <v>588</v>
      </c>
      <c r="B563" t="s">
        <v>20</v>
      </c>
      <c r="C563" s="1">
        <v>44777</v>
      </c>
      <c r="D563" s="1">
        <v>44792</v>
      </c>
      <c r="E563" t="s">
        <v>21</v>
      </c>
      <c r="F563" t="s">
        <v>18</v>
      </c>
      <c r="G563">
        <v>1645</v>
      </c>
      <c r="H563">
        <v>72.17</v>
      </c>
      <c r="I563">
        <v>64</v>
      </c>
      <c r="J563">
        <v>79</v>
      </c>
      <c r="K563" t="s">
        <v>15</v>
      </c>
    </row>
    <row r="564" spans="1:11" x14ac:dyDescent="0.25">
      <c r="A564" t="s">
        <v>589</v>
      </c>
      <c r="B564" t="s">
        <v>23</v>
      </c>
      <c r="C564" s="1">
        <v>45002</v>
      </c>
      <c r="D564" s="1">
        <v>45005</v>
      </c>
      <c r="E564" t="s">
        <v>24</v>
      </c>
      <c r="F564" t="s">
        <v>18</v>
      </c>
      <c r="G564">
        <v>1053</v>
      </c>
      <c r="H564">
        <v>100.92</v>
      </c>
      <c r="I564">
        <v>92.35</v>
      </c>
      <c r="J564">
        <v>104</v>
      </c>
      <c r="K564" t="s">
        <v>15</v>
      </c>
    </row>
    <row r="565" spans="1:11" x14ac:dyDescent="0.25">
      <c r="A565" t="s">
        <v>590</v>
      </c>
      <c r="B565" t="s">
        <v>29</v>
      </c>
      <c r="C565" s="1">
        <v>45155</v>
      </c>
      <c r="D565" s="1">
        <v>45167</v>
      </c>
      <c r="E565" t="s">
        <v>21</v>
      </c>
      <c r="F565" t="s">
        <v>18</v>
      </c>
      <c r="G565">
        <v>1693</v>
      </c>
      <c r="H565">
        <v>83.14</v>
      </c>
      <c r="I565">
        <v>73.3</v>
      </c>
      <c r="J565">
        <v>62</v>
      </c>
      <c r="K565" t="s">
        <v>15</v>
      </c>
    </row>
    <row r="566" spans="1:11" x14ac:dyDescent="0.25">
      <c r="A566" t="s">
        <v>591</v>
      </c>
      <c r="B566" t="s">
        <v>29</v>
      </c>
      <c r="C566" s="1">
        <v>45183</v>
      </c>
      <c r="D566" s="1">
        <v>45202</v>
      </c>
      <c r="E566" t="s">
        <v>26</v>
      </c>
      <c r="F566" t="s">
        <v>35</v>
      </c>
      <c r="G566">
        <v>54</v>
      </c>
      <c r="H566">
        <v>32.28</v>
      </c>
      <c r="I566">
        <v>28.65</v>
      </c>
      <c r="J566">
        <v>3</v>
      </c>
      <c r="K566" t="s">
        <v>15</v>
      </c>
    </row>
    <row r="567" spans="1:11" x14ac:dyDescent="0.25">
      <c r="A567" t="s">
        <v>592</v>
      </c>
      <c r="B567" t="s">
        <v>29</v>
      </c>
      <c r="C567" s="1">
        <v>45232</v>
      </c>
      <c r="D567" s="1">
        <v>45237</v>
      </c>
      <c r="E567" t="s">
        <v>24</v>
      </c>
      <c r="F567" t="s">
        <v>18</v>
      </c>
      <c r="G567">
        <v>1176</v>
      </c>
      <c r="H567">
        <v>14.22</v>
      </c>
      <c r="I567">
        <v>12.21</v>
      </c>
      <c r="J567">
        <v>33</v>
      </c>
      <c r="K567" t="s">
        <v>15</v>
      </c>
    </row>
    <row r="568" spans="1:11" x14ac:dyDescent="0.25">
      <c r="A568" t="s">
        <v>593</v>
      </c>
      <c r="B568" t="s">
        <v>29</v>
      </c>
      <c r="C568" s="1">
        <v>44891</v>
      </c>
      <c r="D568" s="1">
        <v>44903</v>
      </c>
      <c r="E568" t="s">
        <v>26</v>
      </c>
      <c r="F568" t="s">
        <v>18</v>
      </c>
      <c r="G568">
        <v>1269</v>
      </c>
      <c r="H568">
        <v>35.28</v>
      </c>
      <c r="I568">
        <v>33.700000000000003</v>
      </c>
      <c r="J568">
        <v>35</v>
      </c>
      <c r="K568" t="s">
        <v>15</v>
      </c>
    </row>
    <row r="569" spans="1:11" x14ac:dyDescent="0.25">
      <c r="A569" t="s">
        <v>594</v>
      </c>
      <c r="B569" t="s">
        <v>29</v>
      </c>
      <c r="C569" s="1">
        <v>45038</v>
      </c>
      <c r="D569" s="1">
        <v>45041</v>
      </c>
      <c r="E569" t="s">
        <v>26</v>
      </c>
      <c r="F569" t="s">
        <v>18</v>
      </c>
      <c r="G569">
        <v>823</v>
      </c>
      <c r="H569">
        <v>68.319999999999993</v>
      </c>
      <c r="I569">
        <v>64.459999999999994</v>
      </c>
      <c r="J569">
        <v>19</v>
      </c>
      <c r="K569" t="s">
        <v>15</v>
      </c>
    </row>
    <row r="570" spans="1:11" x14ac:dyDescent="0.25">
      <c r="A570" t="s">
        <v>595</v>
      </c>
      <c r="B570" t="s">
        <v>23</v>
      </c>
      <c r="C570" s="1">
        <v>45014</v>
      </c>
      <c r="D570" s="1">
        <v>45031</v>
      </c>
      <c r="E570" t="s">
        <v>39</v>
      </c>
      <c r="F570" t="s">
        <v>18</v>
      </c>
      <c r="G570">
        <v>926</v>
      </c>
      <c r="H570">
        <v>15.65</v>
      </c>
      <c r="I570">
        <v>13.49</v>
      </c>
      <c r="J570">
        <v>94</v>
      </c>
      <c r="K570" t="s">
        <v>27</v>
      </c>
    </row>
    <row r="571" spans="1:11" x14ac:dyDescent="0.25">
      <c r="A571" t="s">
        <v>596</v>
      </c>
      <c r="B571" t="s">
        <v>17</v>
      </c>
      <c r="C571" s="1">
        <v>45014</v>
      </c>
      <c r="D571" s="1">
        <v>45025</v>
      </c>
      <c r="E571" t="s">
        <v>39</v>
      </c>
      <c r="F571" t="s">
        <v>14</v>
      </c>
      <c r="G571">
        <v>1041</v>
      </c>
      <c r="H571">
        <v>58.5</v>
      </c>
      <c r="I571">
        <v>52.54</v>
      </c>
      <c r="J571">
        <v>170</v>
      </c>
      <c r="K571" t="s">
        <v>27</v>
      </c>
    </row>
    <row r="572" spans="1:11" x14ac:dyDescent="0.25">
      <c r="A572" t="s">
        <v>597</v>
      </c>
      <c r="B572" t="s">
        <v>20</v>
      </c>
      <c r="C572" s="1">
        <v>45253</v>
      </c>
      <c r="D572" s="1">
        <v>45261</v>
      </c>
      <c r="E572" t="s">
        <v>39</v>
      </c>
      <c r="F572" t="s">
        <v>35</v>
      </c>
      <c r="G572">
        <v>933</v>
      </c>
      <c r="H572">
        <v>70.72</v>
      </c>
      <c r="I572">
        <v>65.47</v>
      </c>
      <c r="J572">
        <v>42</v>
      </c>
      <c r="K572" t="s">
        <v>15</v>
      </c>
    </row>
    <row r="573" spans="1:11" x14ac:dyDescent="0.25">
      <c r="A573" t="s">
        <v>598</v>
      </c>
      <c r="B573" t="s">
        <v>17</v>
      </c>
      <c r="C573" s="1">
        <v>44780</v>
      </c>
      <c r="E573" t="s">
        <v>26</v>
      </c>
      <c r="F573" t="s">
        <v>18</v>
      </c>
      <c r="G573">
        <v>1423</v>
      </c>
      <c r="H573">
        <v>41.48</v>
      </c>
      <c r="I573">
        <v>40.9</v>
      </c>
      <c r="J573">
        <v>199</v>
      </c>
      <c r="K573" t="s">
        <v>15</v>
      </c>
    </row>
    <row r="574" spans="1:11" x14ac:dyDescent="0.25">
      <c r="A574" t="s">
        <v>599</v>
      </c>
      <c r="B574" t="s">
        <v>17</v>
      </c>
      <c r="C574" s="1">
        <v>45085</v>
      </c>
      <c r="D574" s="1">
        <v>45091</v>
      </c>
      <c r="E574" t="s">
        <v>21</v>
      </c>
      <c r="F574" t="s">
        <v>18</v>
      </c>
      <c r="G574">
        <v>96</v>
      </c>
      <c r="H574">
        <v>86.13</v>
      </c>
      <c r="I574">
        <v>80.319999999999993</v>
      </c>
      <c r="J574">
        <v>12</v>
      </c>
      <c r="K574" t="s">
        <v>27</v>
      </c>
    </row>
    <row r="575" spans="1:11" x14ac:dyDescent="0.25">
      <c r="A575" t="s">
        <v>600</v>
      </c>
      <c r="B575" t="s">
        <v>29</v>
      </c>
      <c r="C575" s="1">
        <v>45046</v>
      </c>
      <c r="D575" s="1">
        <v>45059</v>
      </c>
      <c r="E575" t="s">
        <v>21</v>
      </c>
      <c r="F575" t="s">
        <v>18</v>
      </c>
      <c r="G575">
        <v>916</v>
      </c>
      <c r="H575">
        <v>21.06</v>
      </c>
      <c r="I575">
        <v>19.53</v>
      </c>
      <c r="J575">
        <v>25</v>
      </c>
      <c r="K575" t="s">
        <v>15</v>
      </c>
    </row>
    <row r="576" spans="1:11" x14ac:dyDescent="0.25">
      <c r="A576" t="s">
        <v>601</v>
      </c>
      <c r="B576" t="s">
        <v>29</v>
      </c>
      <c r="C576" s="1">
        <v>44735</v>
      </c>
      <c r="E576" t="s">
        <v>26</v>
      </c>
      <c r="F576" t="s">
        <v>18</v>
      </c>
      <c r="G576">
        <v>872</v>
      </c>
      <c r="H576">
        <v>17.18</v>
      </c>
      <c r="I576">
        <v>16.63</v>
      </c>
      <c r="J576">
        <v>20</v>
      </c>
      <c r="K576" t="s">
        <v>15</v>
      </c>
    </row>
    <row r="577" spans="1:11" x14ac:dyDescent="0.25">
      <c r="A577" t="s">
        <v>602</v>
      </c>
      <c r="B577" t="s">
        <v>23</v>
      </c>
      <c r="C577" s="1">
        <v>45236</v>
      </c>
      <c r="D577" s="1">
        <v>45245</v>
      </c>
      <c r="E577" t="s">
        <v>39</v>
      </c>
      <c r="F577" t="s">
        <v>18</v>
      </c>
      <c r="G577">
        <v>985</v>
      </c>
      <c r="H577">
        <v>83.85</v>
      </c>
      <c r="I577">
        <v>80.88</v>
      </c>
      <c r="K577" t="s">
        <v>27</v>
      </c>
    </row>
    <row r="578" spans="1:11" x14ac:dyDescent="0.25">
      <c r="A578" t="s">
        <v>603</v>
      </c>
      <c r="B578" t="s">
        <v>20</v>
      </c>
      <c r="C578" s="1">
        <v>44648</v>
      </c>
      <c r="D578" s="1">
        <v>44655</v>
      </c>
      <c r="E578" t="s">
        <v>26</v>
      </c>
      <c r="F578" t="s">
        <v>18</v>
      </c>
      <c r="G578">
        <v>1893</v>
      </c>
      <c r="H578">
        <v>55.14</v>
      </c>
      <c r="I578">
        <v>50.1</v>
      </c>
      <c r="J578">
        <v>98</v>
      </c>
      <c r="K578" t="s">
        <v>15</v>
      </c>
    </row>
    <row r="579" spans="1:11" x14ac:dyDescent="0.25">
      <c r="A579" t="s">
        <v>604</v>
      </c>
      <c r="B579" t="s">
        <v>12</v>
      </c>
      <c r="C579" s="1">
        <v>44852</v>
      </c>
      <c r="E579" t="s">
        <v>21</v>
      </c>
      <c r="F579" t="s">
        <v>18</v>
      </c>
      <c r="G579">
        <v>705</v>
      </c>
      <c r="H579">
        <v>75.19</v>
      </c>
      <c r="I579">
        <v>69.55</v>
      </c>
      <c r="J579">
        <v>19</v>
      </c>
      <c r="K579" t="s">
        <v>15</v>
      </c>
    </row>
    <row r="580" spans="1:11" x14ac:dyDescent="0.25">
      <c r="A580" t="s">
        <v>605</v>
      </c>
      <c r="B580" t="s">
        <v>17</v>
      </c>
      <c r="C580" s="1">
        <v>45089</v>
      </c>
      <c r="D580" s="1">
        <v>45105</v>
      </c>
      <c r="E580" t="s">
        <v>21</v>
      </c>
      <c r="F580" t="s">
        <v>18</v>
      </c>
      <c r="G580">
        <v>318</v>
      </c>
      <c r="H580">
        <v>53.31</v>
      </c>
      <c r="I580">
        <v>51.78</v>
      </c>
      <c r="K580" t="s">
        <v>27</v>
      </c>
    </row>
    <row r="581" spans="1:11" x14ac:dyDescent="0.25">
      <c r="A581" t="s">
        <v>606</v>
      </c>
      <c r="B581" t="s">
        <v>12</v>
      </c>
      <c r="C581" s="1">
        <v>45241</v>
      </c>
      <c r="D581" s="1">
        <v>45246</v>
      </c>
      <c r="E581" t="s">
        <v>13</v>
      </c>
      <c r="F581" t="s">
        <v>35</v>
      </c>
      <c r="G581">
        <v>419</v>
      </c>
      <c r="H581">
        <v>35.72</v>
      </c>
      <c r="I581">
        <v>32.74</v>
      </c>
      <c r="J581">
        <v>7</v>
      </c>
      <c r="K581" t="s">
        <v>15</v>
      </c>
    </row>
    <row r="582" spans="1:11" x14ac:dyDescent="0.25">
      <c r="A582" t="s">
        <v>607</v>
      </c>
      <c r="B582" t="s">
        <v>20</v>
      </c>
      <c r="C582" s="1">
        <v>45210</v>
      </c>
      <c r="D582" s="1">
        <v>45225</v>
      </c>
      <c r="E582" t="s">
        <v>21</v>
      </c>
      <c r="F582" t="s">
        <v>18</v>
      </c>
      <c r="G582">
        <v>685</v>
      </c>
      <c r="H582">
        <v>92.51</v>
      </c>
      <c r="I582">
        <v>90.05</v>
      </c>
      <c r="J582">
        <v>38</v>
      </c>
      <c r="K582" t="s">
        <v>15</v>
      </c>
    </row>
    <row r="583" spans="1:11" x14ac:dyDescent="0.25">
      <c r="A583" t="s">
        <v>608</v>
      </c>
      <c r="B583" t="s">
        <v>17</v>
      </c>
      <c r="C583" s="1">
        <v>45196</v>
      </c>
      <c r="D583" s="1">
        <v>45211</v>
      </c>
      <c r="E583" t="s">
        <v>13</v>
      </c>
      <c r="F583" t="s">
        <v>33</v>
      </c>
      <c r="G583">
        <v>1179</v>
      </c>
      <c r="H583">
        <v>90.14</v>
      </c>
      <c r="I583">
        <v>82.63</v>
      </c>
      <c r="J583">
        <v>194</v>
      </c>
      <c r="K583" t="s">
        <v>15</v>
      </c>
    </row>
    <row r="584" spans="1:11" x14ac:dyDescent="0.25">
      <c r="A584" t="s">
        <v>609</v>
      </c>
      <c r="B584" t="s">
        <v>12</v>
      </c>
      <c r="C584" s="1">
        <v>44905</v>
      </c>
      <c r="E584" t="s">
        <v>26</v>
      </c>
      <c r="F584" t="s">
        <v>18</v>
      </c>
      <c r="G584">
        <v>1743</v>
      </c>
      <c r="H584">
        <v>76.510000000000005</v>
      </c>
      <c r="I584">
        <v>65.88</v>
      </c>
      <c r="J584">
        <v>40</v>
      </c>
      <c r="K584" t="s">
        <v>15</v>
      </c>
    </row>
    <row r="585" spans="1:11" x14ac:dyDescent="0.25">
      <c r="A585" t="s">
        <v>610</v>
      </c>
      <c r="B585" t="s">
        <v>12</v>
      </c>
      <c r="C585" s="1">
        <v>44657</v>
      </c>
      <c r="D585" s="1">
        <v>44668</v>
      </c>
      <c r="E585" t="s">
        <v>21</v>
      </c>
      <c r="F585" t="s">
        <v>18</v>
      </c>
      <c r="G585">
        <v>1732</v>
      </c>
      <c r="H585">
        <v>35.01</v>
      </c>
      <c r="I585">
        <v>34.18</v>
      </c>
      <c r="J585">
        <v>40</v>
      </c>
      <c r="K585" t="s">
        <v>15</v>
      </c>
    </row>
    <row r="586" spans="1:11" x14ac:dyDescent="0.25">
      <c r="A586" t="s">
        <v>611</v>
      </c>
      <c r="B586" t="s">
        <v>23</v>
      </c>
      <c r="C586" s="1">
        <v>44802</v>
      </c>
      <c r="D586" s="1">
        <v>44805</v>
      </c>
      <c r="E586" t="s">
        <v>13</v>
      </c>
      <c r="F586" t="s">
        <v>18</v>
      </c>
      <c r="G586">
        <v>706</v>
      </c>
      <c r="H586">
        <v>65.33</v>
      </c>
      <c r="I586">
        <v>62.06</v>
      </c>
      <c r="J586">
        <v>60</v>
      </c>
      <c r="K586" t="s">
        <v>27</v>
      </c>
    </row>
    <row r="587" spans="1:11" x14ac:dyDescent="0.25">
      <c r="A587" t="s">
        <v>612</v>
      </c>
      <c r="B587" t="s">
        <v>20</v>
      </c>
      <c r="C587" s="1">
        <v>45250</v>
      </c>
      <c r="D587" s="1">
        <v>45260</v>
      </c>
      <c r="E587" t="s">
        <v>21</v>
      </c>
      <c r="F587" t="s">
        <v>14</v>
      </c>
      <c r="G587">
        <v>169</v>
      </c>
      <c r="H587">
        <v>47.16</v>
      </c>
      <c r="I587">
        <v>43.4</v>
      </c>
      <c r="K587" t="s">
        <v>15</v>
      </c>
    </row>
    <row r="588" spans="1:11" x14ac:dyDescent="0.25">
      <c r="A588" t="s">
        <v>613</v>
      </c>
      <c r="B588" t="s">
        <v>20</v>
      </c>
      <c r="C588" s="1">
        <v>44879</v>
      </c>
      <c r="D588" s="1">
        <v>44885</v>
      </c>
      <c r="E588" t="s">
        <v>13</v>
      </c>
      <c r="F588" t="s">
        <v>35</v>
      </c>
      <c r="G588">
        <v>880</v>
      </c>
      <c r="H588">
        <v>19.149999999999999</v>
      </c>
      <c r="I588">
        <v>18.690000000000001</v>
      </c>
      <c r="K588" t="s">
        <v>27</v>
      </c>
    </row>
    <row r="589" spans="1:11" x14ac:dyDescent="0.25">
      <c r="A589" t="s">
        <v>614</v>
      </c>
      <c r="B589" t="s">
        <v>20</v>
      </c>
      <c r="C589" s="1">
        <v>44792</v>
      </c>
      <c r="D589" s="1">
        <v>44798</v>
      </c>
      <c r="E589" t="s">
        <v>21</v>
      </c>
      <c r="F589" t="s">
        <v>18</v>
      </c>
      <c r="G589">
        <v>1860</v>
      </c>
      <c r="H589">
        <v>95.8</v>
      </c>
      <c r="I589">
        <v>92.17</v>
      </c>
      <c r="J589">
        <v>105</v>
      </c>
      <c r="K589" t="s">
        <v>27</v>
      </c>
    </row>
    <row r="590" spans="1:11" x14ac:dyDescent="0.25">
      <c r="A590" t="s">
        <v>615</v>
      </c>
      <c r="B590" t="s">
        <v>17</v>
      </c>
      <c r="C590" s="1">
        <v>44765</v>
      </c>
      <c r="D590" s="1">
        <v>44782</v>
      </c>
      <c r="E590" t="s">
        <v>21</v>
      </c>
      <c r="F590" t="s">
        <v>18</v>
      </c>
      <c r="G590">
        <v>1677</v>
      </c>
      <c r="H590">
        <v>22.98</v>
      </c>
      <c r="I590">
        <v>21.71</v>
      </c>
      <c r="J590">
        <v>246</v>
      </c>
      <c r="K590" t="s">
        <v>15</v>
      </c>
    </row>
    <row r="591" spans="1:11" x14ac:dyDescent="0.25">
      <c r="A591" t="s">
        <v>616</v>
      </c>
      <c r="B591" t="s">
        <v>23</v>
      </c>
      <c r="C591" s="1">
        <v>44712</v>
      </c>
      <c r="D591" s="1">
        <v>44719</v>
      </c>
      <c r="E591" t="s">
        <v>24</v>
      </c>
      <c r="F591" t="s">
        <v>33</v>
      </c>
      <c r="G591">
        <v>1131</v>
      </c>
      <c r="H591">
        <v>97.43</v>
      </c>
      <c r="I591">
        <v>91.28</v>
      </c>
      <c r="J591">
        <v>103</v>
      </c>
      <c r="K591" t="s">
        <v>15</v>
      </c>
    </row>
    <row r="592" spans="1:11" x14ac:dyDescent="0.25">
      <c r="A592" t="s">
        <v>617</v>
      </c>
      <c r="B592" t="s">
        <v>29</v>
      </c>
      <c r="C592" s="1">
        <v>44587</v>
      </c>
      <c r="D592" s="1">
        <v>44595</v>
      </c>
      <c r="E592" t="s">
        <v>26</v>
      </c>
      <c r="F592" t="s">
        <v>14</v>
      </c>
      <c r="G592">
        <v>1419</v>
      </c>
      <c r="H592">
        <v>50.14</v>
      </c>
      <c r="I592">
        <v>43.46</v>
      </c>
      <c r="K592" t="s">
        <v>15</v>
      </c>
    </row>
    <row r="593" spans="1:11" x14ac:dyDescent="0.25">
      <c r="A593" t="s">
        <v>618</v>
      </c>
      <c r="B593" t="s">
        <v>17</v>
      </c>
      <c r="C593" s="1">
        <v>44609</v>
      </c>
      <c r="D593" s="1">
        <v>44610</v>
      </c>
      <c r="E593" t="s">
        <v>26</v>
      </c>
      <c r="F593" t="s">
        <v>35</v>
      </c>
      <c r="G593">
        <v>790</v>
      </c>
      <c r="H593">
        <v>26.8</v>
      </c>
      <c r="I593">
        <v>25.62</v>
      </c>
      <c r="J593">
        <v>115</v>
      </c>
      <c r="K593" t="s">
        <v>15</v>
      </c>
    </row>
    <row r="594" spans="1:11" x14ac:dyDescent="0.25">
      <c r="A594" t="s">
        <v>619</v>
      </c>
      <c r="B594" t="s">
        <v>20</v>
      </c>
      <c r="C594" s="1">
        <v>44812</v>
      </c>
      <c r="D594" s="1">
        <v>44831</v>
      </c>
      <c r="E594" t="s">
        <v>21</v>
      </c>
      <c r="F594" t="s">
        <v>35</v>
      </c>
      <c r="G594">
        <v>1547</v>
      </c>
      <c r="H594">
        <v>61.12</v>
      </c>
      <c r="I594">
        <v>53.43</v>
      </c>
      <c r="J594">
        <v>77</v>
      </c>
      <c r="K594" t="s">
        <v>15</v>
      </c>
    </row>
    <row r="595" spans="1:11" x14ac:dyDescent="0.25">
      <c r="A595" t="s">
        <v>620</v>
      </c>
      <c r="B595" t="s">
        <v>17</v>
      </c>
      <c r="C595" s="1">
        <v>45048</v>
      </c>
      <c r="D595" s="1">
        <v>45066</v>
      </c>
      <c r="E595" t="s">
        <v>13</v>
      </c>
      <c r="F595" t="s">
        <v>14</v>
      </c>
      <c r="G595">
        <v>166</v>
      </c>
      <c r="H595">
        <v>95.65</v>
      </c>
      <c r="I595">
        <v>94.48</v>
      </c>
      <c r="J595">
        <v>23</v>
      </c>
      <c r="K595" t="s">
        <v>15</v>
      </c>
    </row>
    <row r="596" spans="1:11" x14ac:dyDescent="0.25">
      <c r="A596" t="s">
        <v>621</v>
      </c>
      <c r="B596" t="s">
        <v>12</v>
      </c>
      <c r="C596" s="1">
        <v>45187</v>
      </c>
      <c r="D596" s="1">
        <v>45190</v>
      </c>
      <c r="E596" t="s">
        <v>39</v>
      </c>
      <c r="F596" t="s">
        <v>18</v>
      </c>
      <c r="G596">
        <v>1903</v>
      </c>
      <c r="H596">
        <v>83.49</v>
      </c>
      <c r="I596">
        <v>82.33</v>
      </c>
      <c r="J596">
        <v>43</v>
      </c>
      <c r="K596" t="s">
        <v>15</v>
      </c>
    </row>
    <row r="597" spans="1:11" x14ac:dyDescent="0.25">
      <c r="A597" t="s">
        <v>622</v>
      </c>
      <c r="B597" t="s">
        <v>17</v>
      </c>
      <c r="C597" s="1">
        <v>44636</v>
      </c>
      <c r="D597" s="1">
        <v>44649</v>
      </c>
      <c r="E597" t="s">
        <v>13</v>
      </c>
      <c r="F597" t="s">
        <v>33</v>
      </c>
      <c r="G597">
        <v>840</v>
      </c>
      <c r="H597">
        <v>83.42</v>
      </c>
      <c r="I597">
        <v>80.349999999999994</v>
      </c>
      <c r="J597">
        <v>153</v>
      </c>
      <c r="K597" t="s">
        <v>15</v>
      </c>
    </row>
    <row r="598" spans="1:11" x14ac:dyDescent="0.25">
      <c r="A598" t="s">
        <v>623</v>
      </c>
      <c r="B598" t="s">
        <v>17</v>
      </c>
      <c r="C598" s="1">
        <v>45028</v>
      </c>
      <c r="E598" t="s">
        <v>21</v>
      </c>
      <c r="F598" t="s">
        <v>18</v>
      </c>
      <c r="G598">
        <v>1200</v>
      </c>
      <c r="H598">
        <v>74.489999999999995</v>
      </c>
      <c r="I598">
        <v>64.63</v>
      </c>
      <c r="J598">
        <v>161</v>
      </c>
      <c r="K598" t="s">
        <v>15</v>
      </c>
    </row>
    <row r="599" spans="1:11" x14ac:dyDescent="0.25">
      <c r="A599" t="s">
        <v>624</v>
      </c>
      <c r="B599" t="s">
        <v>20</v>
      </c>
      <c r="C599" s="1">
        <v>44986</v>
      </c>
      <c r="D599" s="1">
        <v>45003</v>
      </c>
      <c r="E599" t="s">
        <v>26</v>
      </c>
      <c r="F599" t="s">
        <v>18</v>
      </c>
      <c r="G599">
        <v>1466</v>
      </c>
      <c r="H599">
        <v>77.37</v>
      </c>
      <c r="I599">
        <v>70.349999999999994</v>
      </c>
      <c r="J599">
        <v>72</v>
      </c>
      <c r="K599" t="s">
        <v>15</v>
      </c>
    </row>
    <row r="600" spans="1:11" x14ac:dyDescent="0.25">
      <c r="A600" t="s">
        <v>625</v>
      </c>
      <c r="B600" t="s">
        <v>12</v>
      </c>
      <c r="C600" s="1">
        <v>45206</v>
      </c>
      <c r="D600" s="1">
        <v>45220</v>
      </c>
      <c r="E600" t="s">
        <v>13</v>
      </c>
      <c r="F600" t="s">
        <v>18</v>
      </c>
      <c r="G600">
        <v>1981</v>
      </c>
      <c r="H600">
        <v>95.5</v>
      </c>
      <c r="I600">
        <v>94.39</v>
      </c>
      <c r="J600">
        <v>49</v>
      </c>
      <c r="K600" t="s">
        <v>15</v>
      </c>
    </row>
    <row r="601" spans="1:11" x14ac:dyDescent="0.25">
      <c r="A601" t="s">
        <v>626</v>
      </c>
      <c r="B601" t="s">
        <v>20</v>
      </c>
      <c r="C601" s="1">
        <v>45151</v>
      </c>
      <c r="D601" s="1">
        <v>45154</v>
      </c>
      <c r="E601" t="s">
        <v>24</v>
      </c>
      <c r="F601" t="s">
        <v>18</v>
      </c>
      <c r="G601">
        <v>1062</v>
      </c>
      <c r="H601">
        <v>35.549999999999997</v>
      </c>
      <c r="I601">
        <v>32.380000000000003</v>
      </c>
      <c r="K601" t="s">
        <v>15</v>
      </c>
    </row>
    <row r="602" spans="1:11" x14ac:dyDescent="0.25">
      <c r="A602" t="s">
        <v>627</v>
      </c>
      <c r="B602" t="s">
        <v>12</v>
      </c>
      <c r="C602" s="1">
        <v>44761</v>
      </c>
      <c r="D602" s="1">
        <v>44772</v>
      </c>
      <c r="E602" t="s">
        <v>21</v>
      </c>
      <c r="F602" t="s">
        <v>18</v>
      </c>
      <c r="G602">
        <v>1714</v>
      </c>
      <c r="H602">
        <v>55.67</v>
      </c>
      <c r="I602">
        <v>55.09</v>
      </c>
      <c r="J602">
        <v>42</v>
      </c>
      <c r="K602" t="s">
        <v>15</v>
      </c>
    </row>
    <row r="603" spans="1:11" x14ac:dyDescent="0.25">
      <c r="A603" t="s">
        <v>628</v>
      </c>
      <c r="B603" t="s">
        <v>12</v>
      </c>
      <c r="C603" s="1">
        <v>45275</v>
      </c>
      <c r="D603" s="1">
        <v>45290</v>
      </c>
      <c r="E603" t="s">
        <v>13</v>
      </c>
      <c r="F603" t="s">
        <v>18</v>
      </c>
      <c r="G603">
        <v>1131</v>
      </c>
      <c r="H603">
        <v>33.35</v>
      </c>
      <c r="I603">
        <v>31.28</v>
      </c>
      <c r="J603">
        <v>23</v>
      </c>
      <c r="K603" t="s">
        <v>15</v>
      </c>
    </row>
    <row r="604" spans="1:11" x14ac:dyDescent="0.25">
      <c r="A604" t="s">
        <v>629</v>
      </c>
      <c r="B604" t="s">
        <v>12</v>
      </c>
      <c r="C604" s="1">
        <v>44955</v>
      </c>
      <c r="D604" s="1">
        <v>44972</v>
      </c>
      <c r="E604" t="s">
        <v>13</v>
      </c>
      <c r="F604" t="s">
        <v>18</v>
      </c>
      <c r="G604">
        <v>683</v>
      </c>
      <c r="H604">
        <v>104.82</v>
      </c>
      <c r="I604">
        <v>101.34</v>
      </c>
      <c r="K604" t="s">
        <v>15</v>
      </c>
    </row>
    <row r="605" spans="1:11" x14ac:dyDescent="0.25">
      <c r="A605" t="s">
        <v>630</v>
      </c>
      <c r="B605" t="s">
        <v>20</v>
      </c>
      <c r="C605" s="1">
        <v>45068</v>
      </c>
      <c r="D605" s="1">
        <v>45086</v>
      </c>
      <c r="E605" t="s">
        <v>24</v>
      </c>
      <c r="F605" t="s">
        <v>33</v>
      </c>
      <c r="G605">
        <v>562</v>
      </c>
      <c r="H605">
        <v>102.56</v>
      </c>
      <c r="I605">
        <v>90.88</v>
      </c>
      <c r="J605">
        <v>38</v>
      </c>
      <c r="K605" t="s">
        <v>15</v>
      </c>
    </row>
    <row r="606" spans="1:11" x14ac:dyDescent="0.25">
      <c r="A606" t="s">
        <v>631</v>
      </c>
      <c r="B606" t="s">
        <v>12</v>
      </c>
      <c r="C606" s="1">
        <v>44971</v>
      </c>
      <c r="D606" s="1">
        <v>44977</v>
      </c>
      <c r="E606" t="s">
        <v>39</v>
      </c>
      <c r="F606" t="s">
        <v>18</v>
      </c>
      <c r="G606">
        <v>1824</v>
      </c>
      <c r="H606">
        <v>14.43</v>
      </c>
      <c r="I606">
        <v>14.11</v>
      </c>
      <c r="J606">
        <v>36</v>
      </c>
      <c r="K606" t="s">
        <v>15</v>
      </c>
    </row>
    <row r="607" spans="1:11" x14ac:dyDescent="0.25">
      <c r="A607" t="s">
        <v>632</v>
      </c>
      <c r="B607" t="s">
        <v>23</v>
      </c>
      <c r="C607" s="1">
        <v>44811</v>
      </c>
      <c r="D607" s="1">
        <v>44816</v>
      </c>
      <c r="E607" t="s">
        <v>39</v>
      </c>
      <c r="F607" t="s">
        <v>33</v>
      </c>
      <c r="G607">
        <v>851</v>
      </c>
      <c r="H607">
        <v>76.44</v>
      </c>
      <c r="I607">
        <v>74.760000000000005</v>
      </c>
      <c r="J607">
        <v>91</v>
      </c>
      <c r="K607" t="s">
        <v>15</v>
      </c>
    </row>
    <row r="608" spans="1:11" x14ac:dyDescent="0.25">
      <c r="A608" t="s">
        <v>633</v>
      </c>
      <c r="B608" t="s">
        <v>23</v>
      </c>
      <c r="C608" s="1">
        <v>44713</v>
      </c>
      <c r="D608" s="1">
        <v>44715</v>
      </c>
      <c r="E608" t="s">
        <v>13</v>
      </c>
      <c r="F608" t="s">
        <v>18</v>
      </c>
      <c r="G608">
        <v>1169</v>
      </c>
      <c r="H608">
        <v>95.6</v>
      </c>
      <c r="I608">
        <v>82.16</v>
      </c>
      <c r="J608">
        <v>103</v>
      </c>
      <c r="K608" t="s">
        <v>15</v>
      </c>
    </row>
    <row r="609" spans="1:11" x14ac:dyDescent="0.25">
      <c r="A609" t="s">
        <v>634</v>
      </c>
      <c r="B609" t="s">
        <v>29</v>
      </c>
      <c r="C609" s="1">
        <v>45233</v>
      </c>
      <c r="D609" s="1">
        <v>45250</v>
      </c>
      <c r="E609" t="s">
        <v>21</v>
      </c>
      <c r="F609" t="s">
        <v>18</v>
      </c>
      <c r="G609">
        <v>1711</v>
      </c>
      <c r="H609">
        <v>29.14</v>
      </c>
      <c r="I609">
        <v>26.35</v>
      </c>
      <c r="J609">
        <v>48</v>
      </c>
      <c r="K609" t="s">
        <v>15</v>
      </c>
    </row>
    <row r="610" spans="1:11" x14ac:dyDescent="0.25">
      <c r="A610" t="s">
        <v>635</v>
      </c>
      <c r="B610" t="s">
        <v>23</v>
      </c>
      <c r="C610" s="1">
        <v>45266</v>
      </c>
      <c r="D610" s="1">
        <v>45272</v>
      </c>
      <c r="E610" t="s">
        <v>24</v>
      </c>
      <c r="F610" t="s">
        <v>35</v>
      </c>
      <c r="G610">
        <v>1191</v>
      </c>
      <c r="H610">
        <v>68.14</v>
      </c>
      <c r="I610">
        <v>61.71</v>
      </c>
      <c r="J610">
        <v>112</v>
      </c>
      <c r="K610" t="s">
        <v>15</v>
      </c>
    </row>
    <row r="611" spans="1:11" x14ac:dyDescent="0.25">
      <c r="A611" t="s">
        <v>636</v>
      </c>
      <c r="B611" t="s">
        <v>29</v>
      </c>
      <c r="C611" s="1">
        <v>44567</v>
      </c>
      <c r="D611" s="1">
        <v>44575</v>
      </c>
      <c r="E611" t="s">
        <v>39</v>
      </c>
      <c r="F611" t="s">
        <v>18</v>
      </c>
      <c r="G611">
        <v>609</v>
      </c>
      <c r="H611">
        <v>92.39</v>
      </c>
      <c r="I611">
        <v>82.75</v>
      </c>
      <c r="J611">
        <v>29</v>
      </c>
      <c r="K611" t="s">
        <v>15</v>
      </c>
    </row>
    <row r="612" spans="1:11" x14ac:dyDescent="0.25">
      <c r="A612" t="s">
        <v>637</v>
      </c>
      <c r="B612" t="s">
        <v>23</v>
      </c>
      <c r="C612" s="1">
        <v>44671</v>
      </c>
      <c r="D612" s="1">
        <v>44688</v>
      </c>
      <c r="E612" t="s">
        <v>13</v>
      </c>
      <c r="F612" t="s">
        <v>18</v>
      </c>
      <c r="G612">
        <v>1674</v>
      </c>
      <c r="H612">
        <v>13.25</v>
      </c>
      <c r="I612">
        <v>11.77</v>
      </c>
      <c r="J612">
        <v>181</v>
      </c>
      <c r="K612" t="s">
        <v>15</v>
      </c>
    </row>
    <row r="613" spans="1:11" x14ac:dyDescent="0.25">
      <c r="A613" t="s">
        <v>638</v>
      </c>
      <c r="B613" t="s">
        <v>20</v>
      </c>
      <c r="C613" s="1">
        <v>44997</v>
      </c>
      <c r="D613" s="1">
        <v>45000</v>
      </c>
      <c r="E613" t="s">
        <v>21</v>
      </c>
      <c r="F613" t="s">
        <v>18</v>
      </c>
      <c r="G613">
        <v>537</v>
      </c>
      <c r="H613">
        <v>77.86</v>
      </c>
      <c r="I613">
        <v>71.180000000000007</v>
      </c>
      <c r="J613">
        <v>20</v>
      </c>
      <c r="K613" t="s">
        <v>15</v>
      </c>
    </row>
    <row r="614" spans="1:11" x14ac:dyDescent="0.25">
      <c r="A614" t="s">
        <v>639</v>
      </c>
      <c r="B614" t="s">
        <v>29</v>
      </c>
      <c r="C614" s="1">
        <v>44786</v>
      </c>
      <c r="D614" s="1">
        <v>44804</v>
      </c>
      <c r="E614" t="s">
        <v>39</v>
      </c>
      <c r="F614" t="s">
        <v>18</v>
      </c>
      <c r="G614">
        <v>1310</v>
      </c>
      <c r="H614">
        <v>38.049999999999997</v>
      </c>
      <c r="I614">
        <v>37</v>
      </c>
      <c r="J614">
        <v>45</v>
      </c>
      <c r="K614" t="s">
        <v>15</v>
      </c>
    </row>
    <row r="615" spans="1:11" x14ac:dyDescent="0.25">
      <c r="A615" t="s">
        <v>640</v>
      </c>
      <c r="B615" t="s">
        <v>17</v>
      </c>
      <c r="C615" s="1">
        <v>44742</v>
      </c>
      <c r="D615" s="1">
        <v>44752</v>
      </c>
      <c r="E615" t="s">
        <v>26</v>
      </c>
      <c r="F615" t="s">
        <v>18</v>
      </c>
      <c r="G615">
        <v>1958</v>
      </c>
      <c r="H615">
        <v>95.53</v>
      </c>
      <c r="I615">
        <v>91.72</v>
      </c>
      <c r="J615">
        <v>308</v>
      </c>
      <c r="K615" t="s">
        <v>15</v>
      </c>
    </row>
    <row r="616" spans="1:11" x14ac:dyDescent="0.25">
      <c r="A616" t="s">
        <v>641</v>
      </c>
      <c r="B616" t="s">
        <v>17</v>
      </c>
      <c r="C616" s="1">
        <v>45274</v>
      </c>
      <c r="D616" s="1">
        <v>45277</v>
      </c>
      <c r="E616" t="s">
        <v>13</v>
      </c>
      <c r="F616" t="s">
        <v>18</v>
      </c>
      <c r="G616">
        <v>946</v>
      </c>
      <c r="H616">
        <v>108.6</v>
      </c>
      <c r="I616">
        <v>101.78</v>
      </c>
      <c r="J616">
        <v>146</v>
      </c>
      <c r="K616" t="s">
        <v>15</v>
      </c>
    </row>
    <row r="617" spans="1:11" x14ac:dyDescent="0.25">
      <c r="A617" t="s">
        <v>642</v>
      </c>
      <c r="B617" t="s">
        <v>23</v>
      </c>
      <c r="C617" s="1">
        <v>45092</v>
      </c>
      <c r="D617" s="1">
        <v>45098</v>
      </c>
      <c r="E617" t="s">
        <v>24</v>
      </c>
      <c r="F617" t="s">
        <v>33</v>
      </c>
      <c r="G617">
        <v>1345</v>
      </c>
      <c r="H617">
        <v>103.06</v>
      </c>
      <c r="I617">
        <v>95.14</v>
      </c>
      <c r="K617" t="s">
        <v>15</v>
      </c>
    </row>
    <row r="618" spans="1:11" x14ac:dyDescent="0.25">
      <c r="A618" t="s">
        <v>643</v>
      </c>
      <c r="B618" t="s">
        <v>17</v>
      </c>
      <c r="C618" s="1">
        <v>45037</v>
      </c>
      <c r="D618" s="1">
        <v>45056</v>
      </c>
      <c r="E618" t="s">
        <v>21</v>
      </c>
      <c r="F618" t="s">
        <v>18</v>
      </c>
      <c r="G618">
        <v>1262</v>
      </c>
      <c r="H618">
        <v>56.63</v>
      </c>
      <c r="I618">
        <v>51.46</v>
      </c>
      <c r="K618" t="s">
        <v>27</v>
      </c>
    </row>
    <row r="619" spans="1:11" x14ac:dyDescent="0.25">
      <c r="A619" t="s">
        <v>644</v>
      </c>
      <c r="B619" t="s">
        <v>23</v>
      </c>
      <c r="C619" s="1">
        <v>44613</v>
      </c>
      <c r="D619" s="1">
        <v>44633</v>
      </c>
      <c r="E619" t="s">
        <v>13</v>
      </c>
      <c r="F619" t="s">
        <v>35</v>
      </c>
      <c r="G619">
        <v>753</v>
      </c>
      <c r="H619">
        <v>88.02</v>
      </c>
      <c r="I619">
        <v>79.92</v>
      </c>
      <c r="J619">
        <v>75</v>
      </c>
      <c r="K619" t="s">
        <v>15</v>
      </c>
    </row>
    <row r="620" spans="1:11" x14ac:dyDescent="0.25">
      <c r="A620" t="s">
        <v>645</v>
      </c>
      <c r="B620" t="s">
        <v>23</v>
      </c>
      <c r="C620" s="1">
        <v>45132</v>
      </c>
      <c r="D620" s="1">
        <v>45152</v>
      </c>
      <c r="E620" t="s">
        <v>39</v>
      </c>
      <c r="F620" t="s">
        <v>18</v>
      </c>
      <c r="G620">
        <v>1520</v>
      </c>
      <c r="H620">
        <v>93.75</v>
      </c>
      <c r="I620">
        <v>81.63</v>
      </c>
      <c r="J620">
        <v>149</v>
      </c>
      <c r="K620" t="s">
        <v>15</v>
      </c>
    </row>
    <row r="621" spans="1:11" x14ac:dyDescent="0.25">
      <c r="A621" t="s">
        <v>646</v>
      </c>
      <c r="B621" t="s">
        <v>17</v>
      </c>
      <c r="C621" s="1">
        <v>44817</v>
      </c>
      <c r="D621" s="1">
        <v>44836</v>
      </c>
      <c r="E621" t="s">
        <v>13</v>
      </c>
      <c r="F621" t="s">
        <v>18</v>
      </c>
      <c r="G621">
        <v>630</v>
      </c>
      <c r="H621">
        <v>40.270000000000003</v>
      </c>
      <c r="I621">
        <v>37.54</v>
      </c>
      <c r="J621">
        <v>76</v>
      </c>
      <c r="K621" t="s">
        <v>15</v>
      </c>
    </row>
    <row r="622" spans="1:11" x14ac:dyDescent="0.25">
      <c r="A622" t="s">
        <v>647</v>
      </c>
      <c r="B622" t="s">
        <v>17</v>
      </c>
      <c r="C622" s="1">
        <v>44686</v>
      </c>
      <c r="D622" s="1">
        <v>44687</v>
      </c>
      <c r="E622" t="s">
        <v>13</v>
      </c>
      <c r="F622" t="s">
        <v>18</v>
      </c>
      <c r="G622">
        <v>839</v>
      </c>
      <c r="H622">
        <v>86.29</v>
      </c>
      <c r="I622">
        <v>82.51</v>
      </c>
      <c r="J622">
        <v>110</v>
      </c>
      <c r="K622" t="s">
        <v>15</v>
      </c>
    </row>
    <row r="623" spans="1:11" x14ac:dyDescent="0.25">
      <c r="A623" t="s">
        <v>648</v>
      </c>
      <c r="B623" t="s">
        <v>12</v>
      </c>
      <c r="C623" s="1">
        <v>45029</v>
      </c>
      <c r="D623" s="1">
        <v>45048</v>
      </c>
      <c r="E623" t="s">
        <v>39</v>
      </c>
      <c r="F623" t="s">
        <v>18</v>
      </c>
      <c r="G623">
        <v>910</v>
      </c>
      <c r="H623">
        <v>14.33</v>
      </c>
      <c r="I623">
        <v>14.07</v>
      </c>
      <c r="J623">
        <v>27</v>
      </c>
      <c r="K623" t="s">
        <v>15</v>
      </c>
    </row>
    <row r="624" spans="1:11" x14ac:dyDescent="0.25">
      <c r="A624" t="s">
        <v>649</v>
      </c>
      <c r="B624" t="s">
        <v>29</v>
      </c>
      <c r="C624" s="1">
        <v>44698</v>
      </c>
      <c r="D624" s="1">
        <v>44705</v>
      </c>
      <c r="E624" t="s">
        <v>26</v>
      </c>
      <c r="F624" t="s">
        <v>18</v>
      </c>
      <c r="G624">
        <v>296</v>
      </c>
      <c r="H624">
        <v>64.94</v>
      </c>
      <c r="I624">
        <v>63.61</v>
      </c>
      <c r="K624" t="s">
        <v>15</v>
      </c>
    </row>
    <row r="625" spans="1:11" x14ac:dyDescent="0.25">
      <c r="A625" t="s">
        <v>650</v>
      </c>
      <c r="B625" t="s">
        <v>23</v>
      </c>
      <c r="C625" s="1">
        <v>45037</v>
      </c>
      <c r="D625" s="1">
        <v>45051</v>
      </c>
      <c r="E625" t="s">
        <v>21</v>
      </c>
      <c r="F625" t="s">
        <v>18</v>
      </c>
      <c r="G625">
        <v>1149</v>
      </c>
      <c r="H625">
        <v>33</v>
      </c>
      <c r="I625">
        <v>30.65</v>
      </c>
      <c r="J625">
        <v>141</v>
      </c>
      <c r="K625" t="s">
        <v>15</v>
      </c>
    </row>
    <row r="626" spans="1:11" x14ac:dyDescent="0.25">
      <c r="A626" t="s">
        <v>651</v>
      </c>
      <c r="B626" t="s">
        <v>17</v>
      </c>
      <c r="C626" s="1">
        <v>45245</v>
      </c>
      <c r="D626" s="1">
        <v>45246</v>
      </c>
      <c r="E626" t="s">
        <v>39</v>
      </c>
      <c r="F626" t="s">
        <v>18</v>
      </c>
      <c r="G626">
        <v>203</v>
      </c>
      <c r="H626">
        <v>23.14</v>
      </c>
      <c r="I626">
        <v>20</v>
      </c>
      <c r="K626" t="s">
        <v>27</v>
      </c>
    </row>
    <row r="627" spans="1:11" x14ac:dyDescent="0.25">
      <c r="A627" t="s">
        <v>652</v>
      </c>
      <c r="B627" t="s">
        <v>29</v>
      </c>
      <c r="C627" s="1">
        <v>45105</v>
      </c>
      <c r="D627" s="1">
        <v>45123</v>
      </c>
      <c r="E627" t="s">
        <v>13</v>
      </c>
      <c r="F627" t="s">
        <v>18</v>
      </c>
      <c r="G627">
        <v>1729</v>
      </c>
      <c r="H627">
        <v>18.36</v>
      </c>
      <c r="I627">
        <v>16.34</v>
      </c>
      <c r="J627">
        <v>47</v>
      </c>
      <c r="K627" t="s">
        <v>15</v>
      </c>
    </row>
    <row r="628" spans="1:11" x14ac:dyDescent="0.25">
      <c r="A628" t="s">
        <v>653</v>
      </c>
      <c r="B628" t="s">
        <v>17</v>
      </c>
      <c r="C628" s="1">
        <v>45134</v>
      </c>
      <c r="D628" s="1">
        <v>45144</v>
      </c>
      <c r="E628" t="s">
        <v>13</v>
      </c>
      <c r="F628" t="s">
        <v>18</v>
      </c>
      <c r="G628">
        <v>1508</v>
      </c>
      <c r="H628">
        <v>79.209999999999994</v>
      </c>
      <c r="I628">
        <v>73.27</v>
      </c>
      <c r="J628">
        <v>226</v>
      </c>
      <c r="K628" t="s">
        <v>15</v>
      </c>
    </row>
    <row r="629" spans="1:11" x14ac:dyDescent="0.25">
      <c r="A629" t="s">
        <v>654</v>
      </c>
      <c r="B629" t="s">
        <v>17</v>
      </c>
      <c r="C629" s="1">
        <v>45171</v>
      </c>
      <c r="D629" s="1">
        <v>45184</v>
      </c>
      <c r="E629" t="s">
        <v>24</v>
      </c>
      <c r="F629" t="s">
        <v>33</v>
      </c>
      <c r="G629">
        <v>1046</v>
      </c>
      <c r="H629">
        <v>44.65</v>
      </c>
      <c r="I629">
        <v>40.1</v>
      </c>
      <c r="J629">
        <v>165</v>
      </c>
      <c r="K629" t="s">
        <v>27</v>
      </c>
    </row>
    <row r="630" spans="1:11" x14ac:dyDescent="0.25">
      <c r="A630" t="s">
        <v>655</v>
      </c>
      <c r="B630" t="s">
        <v>12</v>
      </c>
      <c r="C630" s="1">
        <v>44886</v>
      </c>
      <c r="D630" s="1">
        <v>44889</v>
      </c>
      <c r="E630" t="s">
        <v>13</v>
      </c>
      <c r="F630" t="s">
        <v>18</v>
      </c>
      <c r="G630">
        <v>1159</v>
      </c>
      <c r="H630">
        <v>78.989999999999995</v>
      </c>
      <c r="I630">
        <v>71.69</v>
      </c>
      <c r="J630">
        <v>14</v>
      </c>
      <c r="K630" t="s">
        <v>15</v>
      </c>
    </row>
    <row r="631" spans="1:11" x14ac:dyDescent="0.25">
      <c r="A631" t="s">
        <v>656</v>
      </c>
      <c r="B631" t="s">
        <v>23</v>
      </c>
      <c r="C631" s="1">
        <v>45015</v>
      </c>
      <c r="D631" s="1">
        <v>45021</v>
      </c>
      <c r="E631" t="s">
        <v>39</v>
      </c>
      <c r="F631" t="s">
        <v>18</v>
      </c>
      <c r="G631">
        <v>746</v>
      </c>
      <c r="H631">
        <v>16.989999999999998</v>
      </c>
      <c r="I631">
        <v>15.35</v>
      </c>
      <c r="J631">
        <v>69</v>
      </c>
      <c r="K631" t="s">
        <v>27</v>
      </c>
    </row>
    <row r="632" spans="1:11" x14ac:dyDescent="0.25">
      <c r="A632" t="s">
        <v>657</v>
      </c>
      <c r="B632" t="s">
        <v>23</v>
      </c>
      <c r="C632" s="1">
        <v>45189</v>
      </c>
      <c r="D632" s="1">
        <v>45205</v>
      </c>
      <c r="E632" t="s">
        <v>24</v>
      </c>
      <c r="F632" t="s">
        <v>18</v>
      </c>
      <c r="G632">
        <v>1358</v>
      </c>
      <c r="H632">
        <v>42.21</v>
      </c>
      <c r="I632">
        <v>38.75</v>
      </c>
      <c r="J632">
        <v>128</v>
      </c>
      <c r="K632" t="s">
        <v>15</v>
      </c>
    </row>
    <row r="633" spans="1:11" x14ac:dyDescent="0.25">
      <c r="A633" t="s">
        <v>658</v>
      </c>
      <c r="B633" t="s">
        <v>20</v>
      </c>
      <c r="C633" s="1">
        <v>45078</v>
      </c>
      <c r="D633" s="1">
        <v>45089</v>
      </c>
      <c r="E633" t="s">
        <v>13</v>
      </c>
      <c r="F633" t="s">
        <v>18</v>
      </c>
      <c r="G633">
        <v>1293</v>
      </c>
      <c r="H633">
        <v>63.53</v>
      </c>
      <c r="I633">
        <v>59.42</v>
      </c>
      <c r="J633">
        <v>79</v>
      </c>
      <c r="K633" t="s">
        <v>15</v>
      </c>
    </row>
    <row r="634" spans="1:11" x14ac:dyDescent="0.25">
      <c r="A634" t="s">
        <v>659</v>
      </c>
      <c r="B634" t="s">
        <v>12</v>
      </c>
      <c r="C634" s="1">
        <v>44998</v>
      </c>
      <c r="D634" s="1">
        <v>45009</v>
      </c>
      <c r="E634" t="s">
        <v>39</v>
      </c>
      <c r="F634" t="s">
        <v>18</v>
      </c>
      <c r="G634">
        <v>1142</v>
      </c>
      <c r="H634">
        <v>86.85</v>
      </c>
      <c r="I634">
        <v>74.28</v>
      </c>
      <c r="J634">
        <v>30</v>
      </c>
      <c r="K634" t="s">
        <v>15</v>
      </c>
    </row>
    <row r="635" spans="1:11" x14ac:dyDescent="0.25">
      <c r="A635" t="s">
        <v>660</v>
      </c>
      <c r="B635" t="s">
        <v>29</v>
      </c>
      <c r="C635" s="1">
        <v>45123</v>
      </c>
      <c r="D635" s="1">
        <v>45134</v>
      </c>
      <c r="E635" t="s">
        <v>21</v>
      </c>
      <c r="F635" t="s">
        <v>18</v>
      </c>
      <c r="G635">
        <v>1120</v>
      </c>
      <c r="H635">
        <v>42.17</v>
      </c>
      <c r="I635">
        <v>37.47</v>
      </c>
      <c r="J635">
        <v>33</v>
      </c>
      <c r="K635" t="s">
        <v>15</v>
      </c>
    </row>
    <row r="636" spans="1:11" x14ac:dyDescent="0.25">
      <c r="A636" t="s">
        <v>661</v>
      </c>
      <c r="B636" t="s">
        <v>12</v>
      </c>
      <c r="C636" s="1">
        <v>45018</v>
      </c>
      <c r="D636" s="1">
        <v>45030</v>
      </c>
      <c r="E636" t="s">
        <v>21</v>
      </c>
      <c r="F636" t="s">
        <v>18</v>
      </c>
      <c r="G636">
        <v>1058</v>
      </c>
      <c r="H636">
        <v>71.3</v>
      </c>
      <c r="I636">
        <v>62.04</v>
      </c>
      <c r="K636" t="s">
        <v>15</v>
      </c>
    </row>
    <row r="637" spans="1:11" x14ac:dyDescent="0.25">
      <c r="A637" t="s">
        <v>662</v>
      </c>
      <c r="B637" t="s">
        <v>29</v>
      </c>
      <c r="C637" s="1">
        <v>44724</v>
      </c>
      <c r="E637" t="s">
        <v>13</v>
      </c>
      <c r="F637" t="s">
        <v>18</v>
      </c>
      <c r="G637">
        <v>143</v>
      </c>
      <c r="H637">
        <v>91.98</v>
      </c>
      <c r="I637">
        <v>86.02</v>
      </c>
      <c r="J637">
        <v>5</v>
      </c>
      <c r="K637" t="s">
        <v>15</v>
      </c>
    </row>
    <row r="638" spans="1:11" x14ac:dyDescent="0.25">
      <c r="A638" t="s">
        <v>663</v>
      </c>
      <c r="B638" t="s">
        <v>23</v>
      </c>
      <c r="C638" s="1">
        <v>45048</v>
      </c>
      <c r="D638" s="1">
        <v>45060</v>
      </c>
      <c r="E638" t="s">
        <v>21</v>
      </c>
      <c r="F638" t="s">
        <v>18</v>
      </c>
      <c r="G638">
        <v>1823</v>
      </c>
      <c r="H638">
        <v>70.66</v>
      </c>
      <c r="I638">
        <v>66.92</v>
      </c>
      <c r="J638">
        <v>202</v>
      </c>
      <c r="K638" t="s">
        <v>15</v>
      </c>
    </row>
    <row r="639" spans="1:11" x14ac:dyDescent="0.25">
      <c r="A639" t="s">
        <v>664</v>
      </c>
      <c r="B639" t="s">
        <v>20</v>
      </c>
      <c r="C639" s="1">
        <v>45022</v>
      </c>
      <c r="D639" s="1">
        <v>45026</v>
      </c>
      <c r="E639" t="s">
        <v>13</v>
      </c>
      <c r="F639" t="s">
        <v>18</v>
      </c>
      <c r="G639">
        <v>1007</v>
      </c>
      <c r="H639">
        <v>33.29</v>
      </c>
      <c r="I639">
        <v>28.48</v>
      </c>
      <c r="J639">
        <v>49</v>
      </c>
      <c r="K639" t="s">
        <v>15</v>
      </c>
    </row>
    <row r="640" spans="1:11" x14ac:dyDescent="0.25">
      <c r="A640" t="s">
        <v>665</v>
      </c>
      <c r="B640" t="s">
        <v>20</v>
      </c>
      <c r="C640" s="1">
        <v>44827</v>
      </c>
      <c r="D640" s="1">
        <v>44842</v>
      </c>
      <c r="E640" t="s">
        <v>24</v>
      </c>
      <c r="F640" t="s">
        <v>18</v>
      </c>
      <c r="G640">
        <v>1061</v>
      </c>
      <c r="H640">
        <v>12.68</v>
      </c>
      <c r="I640">
        <v>12.36</v>
      </c>
      <c r="J640">
        <v>56</v>
      </c>
      <c r="K640" t="s">
        <v>27</v>
      </c>
    </row>
    <row r="641" spans="1:11" x14ac:dyDescent="0.25">
      <c r="A641" t="s">
        <v>666</v>
      </c>
      <c r="B641" t="s">
        <v>23</v>
      </c>
      <c r="C641" s="1">
        <v>44815</v>
      </c>
      <c r="D641" s="1">
        <v>44830</v>
      </c>
      <c r="E641" t="s">
        <v>21</v>
      </c>
      <c r="F641" t="s">
        <v>35</v>
      </c>
      <c r="G641">
        <v>502</v>
      </c>
      <c r="H641">
        <v>91.84</v>
      </c>
      <c r="I641">
        <v>82.33</v>
      </c>
      <c r="K641" t="s">
        <v>15</v>
      </c>
    </row>
    <row r="642" spans="1:11" x14ac:dyDescent="0.25">
      <c r="A642" t="s">
        <v>667</v>
      </c>
      <c r="B642" t="s">
        <v>17</v>
      </c>
      <c r="C642" s="1">
        <v>45214</v>
      </c>
      <c r="D642" s="1">
        <v>45218</v>
      </c>
      <c r="E642" t="s">
        <v>24</v>
      </c>
      <c r="F642" t="s">
        <v>18</v>
      </c>
      <c r="G642">
        <v>1277</v>
      </c>
      <c r="H642">
        <v>13.17</v>
      </c>
      <c r="I642">
        <v>11.63</v>
      </c>
      <c r="J642">
        <v>199</v>
      </c>
      <c r="K642" t="s">
        <v>27</v>
      </c>
    </row>
    <row r="643" spans="1:11" x14ac:dyDescent="0.25">
      <c r="A643" t="s">
        <v>668</v>
      </c>
      <c r="B643" t="s">
        <v>12</v>
      </c>
      <c r="C643" s="1">
        <v>44845</v>
      </c>
      <c r="D643" s="1">
        <v>44858</v>
      </c>
      <c r="E643" t="s">
        <v>24</v>
      </c>
      <c r="F643" t="s">
        <v>18</v>
      </c>
      <c r="G643">
        <v>961</v>
      </c>
      <c r="H643">
        <v>92.72</v>
      </c>
      <c r="I643">
        <v>88.49</v>
      </c>
      <c r="J643">
        <v>22</v>
      </c>
      <c r="K643" t="s">
        <v>15</v>
      </c>
    </row>
    <row r="644" spans="1:11" x14ac:dyDescent="0.25">
      <c r="A644" t="s">
        <v>669</v>
      </c>
      <c r="B644" t="s">
        <v>20</v>
      </c>
      <c r="C644" s="1">
        <v>45095</v>
      </c>
      <c r="D644" s="1">
        <v>45109</v>
      </c>
      <c r="E644" t="s">
        <v>24</v>
      </c>
      <c r="F644" t="s">
        <v>18</v>
      </c>
      <c r="G644">
        <v>267</v>
      </c>
      <c r="H644">
        <v>62.5</v>
      </c>
      <c r="I644">
        <v>61.18</v>
      </c>
      <c r="J644">
        <v>17</v>
      </c>
      <c r="K644" t="s">
        <v>15</v>
      </c>
    </row>
    <row r="645" spans="1:11" x14ac:dyDescent="0.25">
      <c r="A645" t="s">
        <v>670</v>
      </c>
      <c r="B645" t="s">
        <v>17</v>
      </c>
      <c r="C645" s="1">
        <v>45058</v>
      </c>
      <c r="D645" s="1">
        <v>45064</v>
      </c>
      <c r="E645" t="s">
        <v>26</v>
      </c>
      <c r="F645" t="s">
        <v>14</v>
      </c>
      <c r="G645">
        <v>523</v>
      </c>
      <c r="H645">
        <v>102.08</v>
      </c>
      <c r="I645">
        <v>99.59</v>
      </c>
      <c r="K645" t="s">
        <v>15</v>
      </c>
    </row>
    <row r="646" spans="1:11" x14ac:dyDescent="0.25">
      <c r="A646" t="s">
        <v>671</v>
      </c>
      <c r="B646" t="s">
        <v>29</v>
      </c>
      <c r="C646" s="1">
        <v>45203</v>
      </c>
      <c r="D646" s="1">
        <v>45222</v>
      </c>
      <c r="E646" t="s">
        <v>39</v>
      </c>
      <c r="F646" t="s">
        <v>35</v>
      </c>
      <c r="G646">
        <v>481</v>
      </c>
      <c r="H646">
        <v>90.49</v>
      </c>
      <c r="I646">
        <v>77.17</v>
      </c>
      <c r="K646" t="s">
        <v>15</v>
      </c>
    </row>
    <row r="647" spans="1:11" x14ac:dyDescent="0.25">
      <c r="A647" t="s">
        <v>672</v>
      </c>
      <c r="B647" t="s">
        <v>20</v>
      </c>
      <c r="C647" s="1">
        <v>44806</v>
      </c>
      <c r="D647" s="1">
        <v>44813</v>
      </c>
      <c r="E647" t="s">
        <v>13</v>
      </c>
      <c r="F647" t="s">
        <v>18</v>
      </c>
      <c r="G647">
        <v>390</v>
      </c>
      <c r="H647">
        <v>103.81</v>
      </c>
      <c r="I647">
        <v>100.12</v>
      </c>
      <c r="J647">
        <v>20</v>
      </c>
      <c r="K647" t="s">
        <v>15</v>
      </c>
    </row>
    <row r="648" spans="1:11" x14ac:dyDescent="0.25">
      <c r="A648" t="s">
        <v>673</v>
      </c>
      <c r="B648" t="s">
        <v>29</v>
      </c>
      <c r="C648" s="1">
        <v>44843</v>
      </c>
      <c r="D648" s="1">
        <v>44859</v>
      </c>
      <c r="E648" t="s">
        <v>24</v>
      </c>
      <c r="F648" t="s">
        <v>18</v>
      </c>
      <c r="G648">
        <v>600</v>
      </c>
      <c r="H648">
        <v>43.43</v>
      </c>
      <c r="I648">
        <v>38.76</v>
      </c>
      <c r="J648">
        <v>22</v>
      </c>
      <c r="K648" t="s">
        <v>15</v>
      </c>
    </row>
    <row r="649" spans="1:11" x14ac:dyDescent="0.25">
      <c r="A649" t="s">
        <v>674</v>
      </c>
      <c r="B649" t="s">
        <v>17</v>
      </c>
      <c r="C649" s="1">
        <v>45012</v>
      </c>
      <c r="E649" t="s">
        <v>13</v>
      </c>
      <c r="F649" t="s">
        <v>18</v>
      </c>
      <c r="G649">
        <v>1685</v>
      </c>
      <c r="H649">
        <v>84.58</v>
      </c>
      <c r="I649">
        <v>75.209999999999994</v>
      </c>
      <c r="J649">
        <v>253</v>
      </c>
      <c r="K649" t="s">
        <v>27</v>
      </c>
    </row>
    <row r="650" spans="1:11" x14ac:dyDescent="0.25">
      <c r="A650" t="s">
        <v>675</v>
      </c>
      <c r="B650" t="s">
        <v>29</v>
      </c>
      <c r="C650" s="1">
        <v>44641</v>
      </c>
      <c r="D650" s="1">
        <v>44651</v>
      </c>
      <c r="E650" t="s">
        <v>24</v>
      </c>
      <c r="F650" t="s">
        <v>14</v>
      </c>
      <c r="G650">
        <v>1362</v>
      </c>
      <c r="H650">
        <v>46.64</v>
      </c>
      <c r="I650">
        <v>42.85</v>
      </c>
      <c r="J650">
        <v>33</v>
      </c>
      <c r="K650" t="s">
        <v>15</v>
      </c>
    </row>
    <row r="651" spans="1:11" x14ac:dyDescent="0.25">
      <c r="A651" t="s">
        <v>676</v>
      </c>
      <c r="B651" t="s">
        <v>17</v>
      </c>
      <c r="C651" s="1">
        <v>45292</v>
      </c>
      <c r="D651" s="1">
        <v>45295</v>
      </c>
      <c r="E651" t="s">
        <v>39</v>
      </c>
      <c r="F651" t="s">
        <v>35</v>
      </c>
      <c r="G651">
        <v>1327</v>
      </c>
      <c r="H651">
        <v>59.57</v>
      </c>
      <c r="I651">
        <v>56.44</v>
      </c>
      <c r="J651">
        <v>169</v>
      </c>
      <c r="K651" t="s">
        <v>15</v>
      </c>
    </row>
    <row r="652" spans="1:11" x14ac:dyDescent="0.25">
      <c r="A652" t="s">
        <v>677</v>
      </c>
      <c r="B652" t="s">
        <v>29</v>
      </c>
      <c r="C652" s="1">
        <v>44854</v>
      </c>
      <c r="E652" t="s">
        <v>21</v>
      </c>
      <c r="F652" t="s">
        <v>18</v>
      </c>
      <c r="G652">
        <v>1807</v>
      </c>
      <c r="H652">
        <v>69.47</v>
      </c>
      <c r="I652">
        <v>60</v>
      </c>
      <c r="J652">
        <v>50</v>
      </c>
      <c r="K652" t="s">
        <v>15</v>
      </c>
    </row>
    <row r="653" spans="1:11" x14ac:dyDescent="0.25">
      <c r="A653" t="s">
        <v>678</v>
      </c>
      <c r="B653" t="s">
        <v>12</v>
      </c>
      <c r="C653" s="1">
        <v>44802</v>
      </c>
      <c r="D653" s="1">
        <v>44810</v>
      </c>
      <c r="E653" t="s">
        <v>13</v>
      </c>
      <c r="F653" t="s">
        <v>35</v>
      </c>
      <c r="G653">
        <v>406</v>
      </c>
      <c r="H653">
        <v>91.73</v>
      </c>
      <c r="I653">
        <v>89.13</v>
      </c>
      <c r="K653" t="s">
        <v>15</v>
      </c>
    </row>
    <row r="654" spans="1:11" x14ac:dyDescent="0.25">
      <c r="A654" t="s">
        <v>679</v>
      </c>
      <c r="B654" t="s">
        <v>20</v>
      </c>
      <c r="C654" s="1">
        <v>44840</v>
      </c>
      <c r="D654" s="1">
        <v>44852</v>
      </c>
      <c r="E654" t="s">
        <v>26</v>
      </c>
      <c r="F654" t="s">
        <v>33</v>
      </c>
      <c r="G654">
        <v>72</v>
      </c>
      <c r="H654">
        <v>103</v>
      </c>
      <c r="I654">
        <v>89.49</v>
      </c>
      <c r="J654">
        <v>1</v>
      </c>
      <c r="K654" t="s">
        <v>27</v>
      </c>
    </row>
    <row r="655" spans="1:11" x14ac:dyDescent="0.25">
      <c r="A655" t="s">
        <v>680</v>
      </c>
      <c r="B655" t="s">
        <v>20</v>
      </c>
      <c r="C655" s="1">
        <v>44905</v>
      </c>
      <c r="D655" s="1">
        <v>44915</v>
      </c>
      <c r="E655" t="s">
        <v>13</v>
      </c>
      <c r="F655" t="s">
        <v>18</v>
      </c>
      <c r="G655">
        <v>1835</v>
      </c>
      <c r="H655">
        <v>83.5</v>
      </c>
      <c r="I655">
        <v>82.36</v>
      </c>
      <c r="J655">
        <v>85</v>
      </c>
      <c r="K655" t="s">
        <v>27</v>
      </c>
    </row>
    <row r="656" spans="1:11" x14ac:dyDescent="0.25">
      <c r="A656" t="s">
        <v>681</v>
      </c>
      <c r="B656" t="s">
        <v>17</v>
      </c>
      <c r="C656" s="1">
        <v>44889</v>
      </c>
      <c r="D656" s="1">
        <v>44905</v>
      </c>
      <c r="E656" t="s">
        <v>39</v>
      </c>
      <c r="F656" t="s">
        <v>35</v>
      </c>
      <c r="G656">
        <v>571</v>
      </c>
      <c r="H656">
        <v>49.98</v>
      </c>
      <c r="I656">
        <v>45.58</v>
      </c>
      <c r="K656" t="s">
        <v>27</v>
      </c>
    </row>
    <row r="657" spans="1:11" x14ac:dyDescent="0.25">
      <c r="A657" t="s">
        <v>682</v>
      </c>
      <c r="B657" t="s">
        <v>29</v>
      </c>
      <c r="C657" s="1">
        <v>45115</v>
      </c>
      <c r="D657" s="1">
        <v>45116</v>
      </c>
      <c r="E657" t="s">
        <v>24</v>
      </c>
      <c r="F657" t="s">
        <v>18</v>
      </c>
      <c r="G657">
        <v>1831</v>
      </c>
      <c r="H657">
        <v>52.24</v>
      </c>
      <c r="I657">
        <v>50.44</v>
      </c>
      <c r="J657">
        <v>60</v>
      </c>
      <c r="K657" t="s">
        <v>15</v>
      </c>
    </row>
    <row r="658" spans="1:11" x14ac:dyDescent="0.25">
      <c r="A658" t="s">
        <v>683</v>
      </c>
      <c r="B658" t="s">
        <v>23</v>
      </c>
      <c r="C658" s="1">
        <v>44644</v>
      </c>
      <c r="D658" s="1">
        <v>44658</v>
      </c>
      <c r="E658" t="s">
        <v>13</v>
      </c>
      <c r="F658" t="s">
        <v>35</v>
      </c>
      <c r="G658">
        <v>1910</v>
      </c>
      <c r="H658">
        <v>77.150000000000006</v>
      </c>
      <c r="I658">
        <v>68.489999999999995</v>
      </c>
      <c r="J658">
        <v>170</v>
      </c>
      <c r="K658" t="s">
        <v>15</v>
      </c>
    </row>
    <row r="659" spans="1:11" x14ac:dyDescent="0.25">
      <c r="A659" t="s">
        <v>684</v>
      </c>
      <c r="B659" t="s">
        <v>20</v>
      </c>
      <c r="C659" s="1">
        <v>44703</v>
      </c>
      <c r="D659" s="1">
        <v>44712</v>
      </c>
      <c r="E659" t="s">
        <v>39</v>
      </c>
      <c r="F659" t="s">
        <v>33</v>
      </c>
      <c r="G659">
        <v>1173</v>
      </c>
      <c r="H659">
        <v>32.119999999999997</v>
      </c>
      <c r="I659">
        <v>29.18</v>
      </c>
      <c r="K659" t="s">
        <v>15</v>
      </c>
    </row>
    <row r="660" spans="1:11" x14ac:dyDescent="0.25">
      <c r="A660" t="s">
        <v>685</v>
      </c>
      <c r="B660" t="s">
        <v>29</v>
      </c>
      <c r="C660" s="1">
        <v>44716</v>
      </c>
      <c r="D660" s="1">
        <v>44729</v>
      </c>
      <c r="E660" t="s">
        <v>24</v>
      </c>
      <c r="F660" t="s">
        <v>33</v>
      </c>
      <c r="G660">
        <v>851</v>
      </c>
      <c r="H660">
        <v>20.440000000000001</v>
      </c>
      <c r="I660">
        <v>19.22</v>
      </c>
      <c r="J660">
        <v>22</v>
      </c>
      <c r="K660" t="s">
        <v>15</v>
      </c>
    </row>
    <row r="661" spans="1:11" x14ac:dyDescent="0.25">
      <c r="A661" t="s">
        <v>686</v>
      </c>
      <c r="B661" t="s">
        <v>29</v>
      </c>
      <c r="C661" s="1">
        <v>44798</v>
      </c>
      <c r="D661" s="1">
        <v>44811</v>
      </c>
      <c r="E661" t="s">
        <v>21</v>
      </c>
      <c r="F661" t="s">
        <v>14</v>
      </c>
      <c r="G661">
        <v>1253</v>
      </c>
      <c r="H661">
        <v>43.38</v>
      </c>
      <c r="I661">
        <v>38.01</v>
      </c>
      <c r="J661">
        <v>34</v>
      </c>
      <c r="K661" t="s">
        <v>15</v>
      </c>
    </row>
    <row r="662" spans="1:11" x14ac:dyDescent="0.25">
      <c r="A662" t="s">
        <v>687</v>
      </c>
      <c r="B662" t="s">
        <v>12</v>
      </c>
      <c r="C662" s="1">
        <v>44954</v>
      </c>
      <c r="D662" s="1">
        <v>44972</v>
      </c>
      <c r="E662" t="s">
        <v>39</v>
      </c>
      <c r="F662" t="s">
        <v>18</v>
      </c>
      <c r="G662">
        <v>1296</v>
      </c>
      <c r="H662">
        <v>38</v>
      </c>
      <c r="I662">
        <v>33.42</v>
      </c>
      <c r="J662">
        <v>33</v>
      </c>
      <c r="K662" t="s">
        <v>15</v>
      </c>
    </row>
    <row r="663" spans="1:11" x14ac:dyDescent="0.25">
      <c r="A663" t="s">
        <v>688</v>
      </c>
      <c r="B663" t="s">
        <v>23</v>
      </c>
      <c r="C663" s="1">
        <v>45272</v>
      </c>
      <c r="D663" s="1">
        <v>45290</v>
      </c>
      <c r="E663" t="s">
        <v>26</v>
      </c>
      <c r="F663" t="s">
        <v>18</v>
      </c>
      <c r="G663">
        <v>1979</v>
      </c>
      <c r="H663">
        <v>40.880000000000003</v>
      </c>
      <c r="I663">
        <v>39.46</v>
      </c>
      <c r="J663">
        <v>221</v>
      </c>
      <c r="K663" t="s">
        <v>15</v>
      </c>
    </row>
    <row r="664" spans="1:11" x14ac:dyDescent="0.25">
      <c r="A664" t="s">
        <v>689</v>
      </c>
      <c r="B664" t="s">
        <v>20</v>
      </c>
      <c r="C664" s="1">
        <v>44718</v>
      </c>
      <c r="D664" s="1">
        <v>44731</v>
      </c>
      <c r="E664" t="s">
        <v>13</v>
      </c>
      <c r="F664" t="s">
        <v>18</v>
      </c>
      <c r="G664">
        <v>811</v>
      </c>
      <c r="H664">
        <v>31.8</v>
      </c>
      <c r="I664">
        <v>30.33</v>
      </c>
      <c r="J664">
        <v>58</v>
      </c>
      <c r="K664" t="s">
        <v>15</v>
      </c>
    </row>
    <row r="665" spans="1:11" x14ac:dyDescent="0.25">
      <c r="A665" t="s">
        <v>690</v>
      </c>
      <c r="B665" t="s">
        <v>12</v>
      </c>
      <c r="C665" s="1">
        <v>45285</v>
      </c>
      <c r="D665" s="1">
        <v>45303</v>
      </c>
      <c r="E665" t="s">
        <v>39</v>
      </c>
      <c r="F665" t="s">
        <v>18</v>
      </c>
      <c r="G665">
        <v>1732</v>
      </c>
      <c r="H665">
        <v>15.37</v>
      </c>
      <c r="I665">
        <v>14.7</v>
      </c>
      <c r="J665">
        <v>38</v>
      </c>
      <c r="K665" t="s">
        <v>15</v>
      </c>
    </row>
    <row r="666" spans="1:11" x14ac:dyDescent="0.25">
      <c r="A666" t="s">
        <v>691</v>
      </c>
      <c r="B666" t="s">
        <v>23</v>
      </c>
      <c r="C666" s="1">
        <v>44781</v>
      </c>
      <c r="D666" s="1">
        <v>44801</v>
      </c>
      <c r="E666" t="s">
        <v>24</v>
      </c>
      <c r="F666" t="s">
        <v>18</v>
      </c>
      <c r="G666">
        <v>491</v>
      </c>
      <c r="H666">
        <v>12.01</v>
      </c>
      <c r="I666">
        <v>11.67</v>
      </c>
      <c r="J666">
        <v>47</v>
      </c>
      <c r="K666" t="s">
        <v>15</v>
      </c>
    </row>
    <row r="667" spans="1:11" x14ac:dyDescent="0.25">
      <c r="A667" t="s">
        <v>692</v>
      </c>
      <c r="B667" t="s">
        <v>20</v>
      </c>
      <c r="C667" s="1">
        <v>44627</v>
      </c>
      <c r="D667" s="1">
        <v>44631</v>
      </c>
      <c r="E667" t="s">
        <v>24</v>
      </c>
      <c r="F667" t="s">
        <v>14</v>
      </c>
      <c r="G667">
        <v>1681</v>
      </c>
      <c r="H667">
        <v>99.88</v>
      </c>
      <c r="I667">
        <v>96.38</v>
      </c>
      <c r="J667">
        <v>90</v>
      </c>
      <c r="K667" t="s">
        <v>15</v>
      </c>
    </row>
    <row r="668" spans="1:11" x14ac:dyDescent="0.25">
      <c r="A668" t="s">
        <v>693</v>
      </c>
      <c r="B668" t="s">
        <v>12</v>
      </c>
      <c r="C668" s="1">
        <v>44986</v>
      </c>
      <c r="D668" s="1">
        <v>44990</v>
      </c>
      <c r="E668" t="s">
        <v>26</v>
      </c>
      <c r="F668" t="s">
        <v>33</v>
      </c>
      <c r="G668">
        <v>818</v>
      </c>
      <c r="H668">
        <v>51.89</v>
      </c>
      <c r="I668">
        <v>47.85</v>
      </c>
      <c r="J668">
        <v>12</v>
      </c>
      <c r="K668" t="s">
        <v>15</v>
      </c>
    </row>
    <row r="669" spans="1:11" x14ac:dyDescent="0.25">
      <c r="A669" t="s">
        <v>694</v>
      </c>
      <c r="B669" t="s">
        <v>23</v>
      </c>
      <c r="C669" s="1">
        <v>44979</v>
      </c>
      <c r="D669" s="1">
        <v>44990</v>
      </c>
      <c r="E669" t="s">
        <v>13</v>
      </c>
      <c r="F669" t="s">
        <v>18</v>
      </c>
      <c r="G669">
        <v>1065</v>
      </c>
      <c r="H669">
        <v>47.49</v>
      </c>
      <c r="I669">
        <v>41.42</v>
      </c>
      <c r="J669">
        <v>113</v>
      </c>
      <c r="K669" t="s">
        <v>15</v>
      </c>
    </row>
    <row r="670" spans="1:11" x14ac:dyDescent="0.25">
      <c r="A670" t="s">
        <v>695</v>
      </c>
      <c r="B670" t="s">
        <v>20</v>
      </c>
      <c r="C670" s="1">
        <v>44900</v>
      </c>
      <c r="D670" s="1">
        <v>44912</v>
      </c>
      <c r="E670" t="s">
        <v>24</v>
      </c>
      <c r="F670" t="s">
        <v>18</v>
      </c>
      <c r="G670">
        <v>1398</v>
      </c>
      <c r="H670">
        <v>75.08</v>
      </c>
      <c r="I670">
        <v>67.09</v>
      </c>
      <c r="J670">
        <v>57</v>
      </c>
      <c r="K670" t="s">
        <v>15</v>
      </c>
    </row>
    <row r="671" spans="1:11" x14ac:dyDescent="0.25">
      <c r="A671" t="s">
        <v>696</v>
      </c>
      <c r="B671" t="s">
        <v>23</v>
      </c>
      <c r="C671" s="1">
        <v>45117</v>
      </c>
      <c r="D671" s="1">
        <v>45124</v>
      </c>
      <c r="E671" t="s">
        <v>24</v>
      </c>
      <c r="F671" t="s">
        <v>18</v>
      </c>
      <c r="G671">
        <v>565</v>
      </c>
      <c r="H671">
        <v>32.31</v>
      </c>
      <c r="I671">
        <v>29.76</v>
      </c>
      <c r="J671">
        <v>60</v>
      </c>
      <c r="K671" t="s">
        <v>15</v>
      </c>
    </row>
    <row r="672" spans="1:11" x14ac:dyDescent="0.25">
      <c r="A672" t="s">
        <v>697</v>
      </c>
      <c r="B672" t="s">
        <v>29</v>
      </c>
      <c r="C672" s="1">
        <v>45039</v>
      </c>
      <c r="D672" s="1">
        <v>45052</v>
      </c>
      <c r="E672" t="s">
        <v>24</v>
      </c>
      <c r="F672" t="s">
        <v>35</v>
      </c>
      <c r="G672">
        <v>1089</v>
      </c>
      <c r="H672">
        <v>102.66</v>
      </c>
      <c r="I672">
        <v>89.21</v>
      </c>
      <c r="J672">
        <v>33</v>
      </c>
      <c r="K672" t="s">
        <v>15</v>
      </c>
    </row>
    <row r="673" spans="1:11" x14ac:dyDescent="0.25">
      <c r="A673" t="s">
        <v>698</v>
      </c>
      <c r="B673" t="s">
        <v>17</v>
      </c>
      <c r="C673" s="1">
        <v>44987</v>
      </c>
      <c r="D673" s="1">
        <v>44989</v>
      </c>
      <c r="E673" t="s">
        <v>39</v>
      </c>
      <c r="F673" t="s">
        <v>18</v>
      </c>
      <c r="G673">
        <v>841</v>
      </c>
      <c r="H673">
        <v>86.43</v>
      </c>
      <c r="I673">
        <v>83.77</v>
      </c>
      <c r="J673">
        <v>125</v>
      </c>
      <c r="K673" t="s">
        <v>27</v>
      </c>
    </row>
    <row r="674" spans="1:11" x14ac:dyDescent="0.25">
      <c r="A674" t="s">
        <v>699</v>
      </c>
      <c r="B674" t="s">
        <v>17</v>
      </c>
      <c r="C674" s="1">
        <v>44625</v>
      </c>
      <c r="D674" s="1">
        <v>44636</v>
      </c>
      <c r="E674" t="s">
        <v>39</v>
      </c>
      <c r="F674" t="s">
        <v>18</v>
      </c>
      <c r="G674">
        <v>385</v>
      </c>
      <c r="H674">
        <v>18.23</v>
      </c>
      <c r="I674">
        <v>17.739999999999998</v>
      </c>
      <c r="K674" t="s">
        <v>15</v>
      </c>
    </row>
    <row r="675" spans="1:11" x14ac:dyDescent="0.25">
      <c r="A675" t="s">
        <v>700</v>
      </c>
      <c r="B675" t="s">
        <v>29</v>
      </c>
      <c r="C675" s="1">
        <v>44773</v>
      </c>
      <c r="D675" s="1">
        <v>44790</v>
      </c>
      <c r="E675" t="s">
        <v>13</v>
      </c>
      <c r="F675" t="s">
        <v>18</v>
      </c>
      <c r="G675">
        <v>1832</v>
      </c>
      <c r="H675">
        <v>49.01</v>
      </c>
      <c r="I675">
        <v>41.86</v>
      </c>
      <c r="J675">
        <v>52</v>
      </c>
      <c r="K675" t="s">
        <v>15</v>
      </c>
    </row>
    <row r="676" spans="1:11" x14ac:dyDescent="0.25">
      <c r="A676" t="s">
        <v>701</v>
      </c>
      <c r="B676" t="s">
        <v>23</v>
      </c>
      <c r="C676" s="1">
        <v>44992</v>
      </c>
      <c r="D676" s="1">
        <v>45012</v>
      </c>
      <c r="E676" t="s">
        <v>26</v>
      </c>
      <c r="F676" t="s">
        <v>18</v>
      </c>
      <c r="G676">
        <v>307</v>
      </c>
      <c r="H676">
        <v>95.36</v>
      </c>
      <c r="I676">
        <v>83.63</v>
      </c>
      <c r="J676">
        <v>29</v>
      </c>
      <c r="K676" t="s">
        <v>15</v>
      </c>
    </row>
    <row r="677" spans="1:11" x14ac:dyDescent="0.25">
      <c r="A677" t="s">
        <v>702</v>
      </c>
      <c r="B677" t="s">
        <v>29</v>
      </c>
      <c r="C677" s="1">
        <v>44960</v>
      </c>
      <c r="D677" s="1">
        <v>44965</v>
      </c>
      <c r="E677" t="s">
        <v>13</v>
      </c>
      <c r="F677" t="s">
        <v>18</v>
      </c>
      <c r="G677">
        <v>546</v>
      </c>
      <c r="H677">
        <v>101.2</v>
      </c>
      <c r="I677">
        <v>97.82</v>
      </c>
      <c r="J677">
        <v>21</v>
      </c>
      <c r="K677" t="s">
        <v>15</v>
      </c>
    </row>
    <row r="678" spans="1:11" x14ac:dyDescent="0.25">
      <c r="A678" t="s">
        <v>703</v>
      </c>
      <c r="B678" t="s">
        <v>17</v>
      </c>
      <c r="C678" s="1">
        <v>45160</v>
      </c>
      <c r="D678" s="1">
        <v>45180</v>
      </c>
      <c r="E678" t="s">
        <v>26</v>
      </c>
      <c r="F678" t="s">
        <v>18</v>
      </c>
      <c r="G678">
        <v>945</v>
      </c>
      <c r="H678">
        <v>57.01</v>
      </c>
      <c r="I678">
        <v>55.14</v>
      </c>
      <c r="J678">
        <v>147</v>
      </c>
      <c r="K678" t="s">
        <v>27</v>
      </c>
    </row>
    <row r="679" spans="1:11" x14ac:dyDescent="0.25">
      <c r="A679" t="s">
        <v>704</v>
      </c>
      <c r="B679" t="s">
        <v>17</v>
      </c>
      <c r="C679" s="1">
        <v>45274</v>
      </c>
      <c r="D679" s="1">
        <v>45287</v>
      </c>
      <c r="E679" t="s">
        <v>21</v>
      </c>
      <c r="F679" t="s">
        <v>35</v>
      </c>
      <c r="G679">
        <v>209</v>
      </c>
      <c r="H679">
        <v>72.709999999999994</v>
      </c>
      <c r="I679">
        <v>64.34</v>
      </c>
      <c r="J679">
        <v>39</v>
      </c>
      <c r="K679" t="s">
        <v>15</v>
      </c>
    </row>
    <row r="680" spans="1:11" x14ac:dyDescent="0.25">
      <c r="A680" t="s">
        <v>705</v>
      </c>
      <c r="B680" t="s">
        <v>23</v>
      </c>
      <c r="C680" s="1">
        <v>44582</v>
      </c>
      <c r="E680" t="s">
        <v>24</v>
      </c>
      <c r="F680" t="s">
        <v>18</v>
      </c>
      <c r="G680">
        <v>1548</v>
      </c>
      <c r="H680">
        <v>25.03</v>
      </c>
      <c r="I680">
        <v>22.87</v>
      </c>
      <c r="K680" t="s">
        <v>15</v>
      </c>
    </row>
    <row r="681" spans="1:11" x14ac:dyDescent="0.25">
      <c r="A681" t="s">
        <v>706</v>
      </c>
      <c r="B681" t="s">
        <v>17</v>
      </c>
      <c r="C681" s="1">
        <v>45151</v>
      </c>
      <c r="D681" s="1">
        <v>45161</v>
      </c>
      <c r="E681" t="s">
        <v>26</v>
      </c>
      <c r="F681" t="s">
        <v>18</v>
      </c>
      <c r="G681">
        <v>901</v>
      </c>
      <c r="H681">
        <v>108.63</v>
      </c>
      <c r="I681">
        <v>106.3</v>
      </c>
      <c r="J681">
        <v>141</v>
      </c>
      <c r="K681" t="s">
        <v>15</v>
      </c>
    </row>
    <row r="682" spans="1:11" x14ac:dyDescent="0.25">
      <c r="A682" t="s">
        <v>707</v>
      </c>
      <c r="B682" t="s">
        <v>29</v>
      </c>
      <c r="C682" s="1">
        <v>44951</v>
      </c>
      <c r="D682" s="1">
        <v>44968</v>
      </c>
      <c r="E682" t="s">
        <v>24</v>
      </c>
      <c r="F682" t="s">
        <v>18</v>
      </c>
      <c r="G682">
        <v>1737</v>
      </c>
      <c r="H682">
        <v>32.700000000000003</v>
      </c>
      <c r="I682">
        <v>31.02</v>
      </c>
      <c r="J682">
        <v>48</v>
      </c>
      <c r="K682" t="s">
        <v>15</v>
      </c>
    </row>
    <row r="683" spans="1:11" x14ac:dyDescent="0.25">
      <c r="A683" t="s">
        <v>708</v>
      </c>
      <c r="B683" t="s">
        <v>23</v>
      </c>
      <c r="C683" s="1">
        <v>45050</v>
      </c>
      <c r="D683" s="1">
        <v>45068</v>
      </c>
      <c r="E683" t="s">
        <v>26</v>
      </c>
      <c r="F683" t="s">
        <v>18</v>
      </c>
      <c r="G683">
        <v>1981</v>
      </c>
      <c r="H683">
        <v>102.43</v>
      </c>
      <c r="I683">
        <v>90.99</v>
      </c>
      <c r="J683">
        <v>204</v>
      </c>
      <c r="K683" t="s">
        <v>15</v>
      </c>
    </row>
    <row r="684" spans="1:11" x14ac:dyDescent="0.25">
      <c r="A684" t="s">
        <v>709</v>
      </c>
      <c r="B684" t="s">
        <v>29</v>
      </c>
      <c r="C684" s="1">
        <v>44568</v>
      </c>
      <c r="D684" s="1">
        <v>44587</v>
      </c>
      <c r="E684" t="s">
        <v>21</v>
      </c>
      <c r="F684" t="s">
        <v>35</v>
      </c>
      <c r="G684">
        <v>739</v>
      </c>
      <c r="H684">
        <v>68.47</v>
      </c>
      <c r="I684">
        <v>66.09</v>
      </c>
      <c r="J684">
        <v>19</v>
      </c>
      <c r="K684" t="s">
        <v>15</v>
      </c>
    </row>
    <row r="685" spans="1:11" x14ac:dyDescent="0.25">
      <c r="A685" t="s">
        <v>710</v>
      </c>
      <c r="B685" t="s">
        <v>23</v>
      </c>
      <c r="C685" s="1">
        <v>44922</v>
      </c>
      <c r="D685" s="1">
        <v>44923</v>
      </c>
      <c r="E685" t="s">
        <v>26</v>
      </c>
      <c r="F685" t="s">
        <v>18</v>
      </c>
      <c r="G685">
        <v>1748</v>
      </c>
      <c r="H685">
        <v>68.25</v>
      </c>
      <c r="I685">
        <v>62.84</v>
      </c>
      <c r="J685">
        <v>171</v>
      </c>
      <c r="K685" t="s">
        <v>15</v>
      </c>
    </row>
    <row r="686" spans="1:11" x14ac:dyDescent="0.25">
      <c r="A686" t="s">
        <v>711</v>
      </c>
      <c r="B686" t="s">
        <v>17</v>
      </c>
      <c r="C686" s="1">
        <v>44867</v>
      </c>
      <c r="D686" s="1">
        <v>44871</v>
      </c>
      <c r="E686" t="s">
        <v>13</v>
      </c>
      <c r="F686" t="s">
        <v>14</v>
      </c>
      <c r="G686">
        <v>429</v>
      </c>
      <c r="H686">
        <v>58.95</v>
      </c>
      <c r="I686">
        <v>55.35</v>
      </c>
      <c r="J686">
        <v>59</v>
      </c>
      <c r="K686" t="s">
        <v>27</v>
      </c>
    </row>
    <row r="687" spans="1:11" x14ac:dyDescent="0.25">
      <c r="A687" t="s">
        <v>712</v>
      </c>
      <c r="B687" t="s">
        <v>20</v>
      </c>
      <c r="C687" s="1">
        <v>44961</v>
      </c>
      <c r="E687" t="s">
        <v>39</v>
      </c>
      <c r="F687" t="s">
        <v>18</v>
      </c>
      <c r="G687">
        <v>1618</v>
      </c>
      <c r="H687">
        <v>32.76</v>
      </c>
      <c r="I687">
        <v>28.41</v>
      </c>
      <c r="J687">
        <v>62</v>
      </c>
      <c r="K687" t="s">
        <v>15</v>
      </c>
    </row>
    <row r="688" spans="1:11" x14ac:dyDescent="0.25">
      <c r="A688" t="s">
        <v>713</v>
      </c>
      <c r="B688" t="s">
        <v>23</v>
      </c>
      <c r="C688" s="1">
        <v>44991</v>
      </c>
      <c r="D688" s="1">
        <v>44992</v>
      </c>
      <c r="E688" t="s">
        <v>24</v>
      </c>
      <c r="F688" t="s">
        <v>18</v>
      </c>
      <c r="G688">
        <v>1006</v>
      </c>
      <c r="H688">
        <v>27.7</v>
      </c>
      <c r="I688">
        <v>23.66</v>
      </c>
      <c r="J688">
        <v>101</v>
      </c>
      <c r="K688" t="s">
        <v>27</v>
      </c>
    </row>
    <row r="689" spans="1:11" x14ac:dyDescent="0.25">
      <c r="A689" t="s">
        <v>714</v>
      </c>
      <c r="B689" t="s">
        <v>23</v>
      </c>
      <c r="C689" s="1">
        <v>45113</v>
      </c>
      <c r="D689" s="1">
        <v>45122</v>
      </c>
      <c r="E689" t="s">
        <v>39</v>
      </c>
      <c r="F689" t="s">
        <v>33</v>
      </c>
      <c r="G689">
        <v>740</v>
      </c>
      <c r="H689">
        <v>32.53</v>
      </c>
      <c r="I689">
        <v>29.35</v>
      </c>
      <c r="J689">
        <v>84</v>
      </c>
      <c r="K689" t="s">
        <v>15</v>
      </c>
    </row>
    <row r="690" spans="1:11" x14ac:dyDescent="0.25">
      <c r="A690" t="s">
        <v>715</v>
      </c>
      <c r="B690" t="s">
        <v>20</v>
      </c>
      <c r="C690" s="1">
        <v>45121</v>
      </c>
      <c r="E690" t="s">
        <v>26</v>
      </c>
      <c r="F690" t="s">
        <v>18</v>
      </c>
      <c r="G690">
        <v>1500</v>
      </c>
      <c r="H690">
        <v>29.19</v>
      </c>
      <c r="I690">
        <v>27.24</v>
      </c>
      <c r="J690">
        <v>72</v>
      </c>
      <c r="K690" t="s">
        <v>15</v>
      </c>
    </row>
    <row r="691" spans="1:11" x14ac:dyDescent="0.25">
      <c r="A691" t="s">
        <v>716</v>
      </c>
      <c r="B691" t="s">
        <v>17</v>
      </c>
      <c r="C691" s="1">
        <v>45179</v>
      </c>
      <c r="D691" s="1">
        <v>45198</v>
      </c>
      <c r="E691" t="s">
        <v>13</v>
      </c>
      <c r="F691" t="s">
        <v>14</v>
      </c>
      <c r="G691">
        <v>1686</v>
      </c>
      <c r="H691">
        <v>88.18</v>
      </c>
      <c r="I691">
        <v>77.150000000000006</v>
      </c>
      <c r="K691" t="s">
        <v>15</v>
      </c>
    </row>
    <row r="692" spans="1:11" x14ac:dyDescent="0.25">
      <c r="A692" t="s">
        <v>717</v>
      </c>
      <c r="B692" t="s">
        <v>29</v>
      </c>
      <c r="C692" s="1">
        <v>44787</v>
      </c>
      <c r="D692" s="1">
        <v>44789</v>
      </c>
      <c r="E692" t="s">
        <v>26</v>
      </c>
      <c r="F692" t="s">
        <v>14</v>
      </c>
      <c r="G692">
        <v>1341</v>
      </c>
      <c r="H692">
        <v>42.96</v>
      </c>
      <c r="I692">
        <v>41.75</v>
      </c>
      <c r="J692">
        <v>39</v>
      </c>
      <c r="K692" t="s">
        <v>15</v>
      </c>
    </row>
    <row r="693" spans="1:11" x14ac:dyDescent="0.25">
      <c r="A693" t="s">
        <v>718</v>
      </c>
      <c r="B693" t="s">
        <v>12</v>
      </c>
      <c r="C693" s="1">
        <v>45061</v>
      </c>
      <c r="D693" s="1">
        <v>45067</v>
      </c>
      <c r="E693" t="s">
        <v>21</v>
      </c>
      <c r="F693" t="s">
        <v>14</v>
      </c>
      <c r="G693">
        <v>1908</v>
      </c>
      <c r="H693">
        <v>16.420000000000002</v>
      </c>
      <c r="I693">
        <v>15.31</v>
      </c>
      <c r="J693">
        <v>36</v>
      </c>
      <c r="K693" t="s">
        <v>15</v>
      </c>
    </row>
    <row r="694" spans="1:11" x14ac:dyDescent="0.25">
      <c r="A694" t="s">
        <v>719</v>
      </c>
      <c r="B694" t="s">
        <v>20</v>
      </c>
      <c r="C694" s="1">
        <v>44786</v>
      </c>
      <c r="D694" s="1">
        <v>44806</v>
      </c>
      <c r="E694" t="s">
        <v>21</v>
      </c>
      <c r="F694" t="s">
        <v>33</v>
      </c>
      <c r="G694">
        <v>1650</v>
      </c>
      <c r="H694">
        <v>100.62</v>
      </c>
      <c r="I694">
        <v>90.45</v>
      </c>
      <c r="J694">
        <v>85</v>
      </c>
      <c r="K694" t="s">
        <v>15</v>
      </c>
    </row>
    <row r="695" spans="1:11" x14ac:dyDescent="0.25">
      <c r="A695" t="s">
        <v>720</v>
      </c>
      <c r="B695" t="s">
        <v>12</v>
      </c>
      <c r="C695" s="1">
        <v>44841</v>
      </c>
      <c r="D695" s="1">
        <v>44854</v>
      </c>
      <c r="E695" t="s">
        <v>21</v>
      </c>
      <c r="F695" t="s">
        <v>18</v>
      </c>
      <c r="G695">
        <v>1490</v>
      </c>
      <c r="H695">
        <v>93.57</v>
      </c>
      <c r="I695">
        <v>81.680000000000007</v>
      </c>
      <c r="J695">
        <v>29</v>
      </c>
      <c r="K695" t="s">
        <v>15</v>
      </c>
    </row>
    <row r="696" spans="1:11" x14ac:dyDescent="0.25">
      <c r="A696" t="s">
        <v>721</v>
      </c>
      <c r="B696" t="s">
        <v>17</v>
      </c>
      <c r="C696" s="1">
        <v>45008</v>
      </c>
      <c r="D696" s="1">
        <v>45016</v>
      </c>
      <c r="E696" t="s">
        <v>26</v>
      </c>
      <c r="F696" t="s">
        <v>18</v>
      </c>
      <c r="G696">
        <v>1241</v>
      </c>
      <c r="H696">
        <v>100.04</v>
      </c>
      <c r="I696">
        <v>97.56</v>
      </c>
      <c r="J696">
        <v>187</v>
      </c>
      <c r="K696" t="s">
        <v>15</v>
      </c>
    </row>
    <row r="697" spans="1:11" x14ac:dyDescent="0.25">
      <c r="A697" t="s">
        <v>722</v>
      </c>
      <c r="B697" t="s">
        <v>23</v>
      </c>
      <c r="C697" s="1">
        <v>45059</v>
      </c>
      <c r="D697" s="1">
        <v>45063</v>
      </c>
      <c r="E697" t="s">
        <v>21</v>
      </c>
      <c r="F697" t="s">
        <v>18</v>
      </c>
      <c r="G697">
        <v>1915</v>
      </c>
      <c r="H697">
        <v>107.51</v>
      </c>
      <c r="I697">
        <v>102.66</v>
      </c>
      <c r="J697">
        <v>184</v>
      </c>
      <c r="K697" t="s">
        <v>15</v>
      </c>
    </row>
    <row r="698" spans="1:11" x14ac:dyDescent="0.25">
      <c r="A698" t="s">
        <v>723</v>
      </c>
      <c r="B698" t="s">
        <v>23</v>
      </c>
      <c r="C698" s="1">
        <v>44591</v>
      </c>
      <c r="D698" s="1">
        <v>44606</v>
      </c>
      <c r="E698" t="s">
        <v>26</v>
      </c>
      <c r="F698" t="s">
        <v>18</v>
      </c>
      <c r="G698">
        <v>1116</v>
      </c>
      <c r="H698">
        <v>25.65</v>
      </c>
      <c r="I698">
        <v>24.28</v>
      </c>
      <c r="J698">
        <v>121</v>
      </c>
      <c r="K698" t="s">
        <v>15</v>
      </c>
    </row>
    <row r="699" spans="1:11" x14ac:dyDescent="0.25">
      <c r="A699" t="s">
        <v>724</v>
      </c>
      <c r="B699" t="s">
        <v>17</v>
      </c>
      <c r="C699" s="1">
        <v>44960</v>
      </c>
      <c r="D699" s="1">
        <v>44965</v>
      </c>
      <c r="E699" t="s">
        <v>26</v>
      </c>
      <c r="F699" t="s">
        <v>18</v>
      </c>
      <c r="G699">
        <v>1629</v>
      </c>
      <c r="H699">
        <v>48.63</v>
      </c>
      <c r="I699">
        <v>43.28</v>
      </c>
      <c r="J699">
        <v>260</v>
      </c>
      <c r="K699" t="s">
        <v>15</v>
      </c>
    </row>
    <row r="700" spans="1:11" x14ac:dyDescent="0.25">
      <c r="A700" t="s">
        <v>725</v>
      </c>
      <c r="B700" t="s">
        <v>29</v>
      </c>
      <c r="C700" s="1">
        <v>44906</v>
      </c>
      <c r="D700" s="1">
        <v>44913</v>
      </c>
      <c r="E700" t="s">
        <v>13</v>
      </c>
      <c r="F700" t="s">
        <v>18</v>
      </c>
      <c r="G700">
        <v>334</v>
      </c>
      <c r="H700">
        <v>82.54</v>
      </c>
      <c r="I700">
        <v>74.63</v>
      </c>
      <c r="K700" t="s">
        <v>15</v>
      </c>
    </row>
    <row r="701" spans="1:11" x14ac:dyDescent="0.25">
      <c r="A701" t="s">
        <v>726</v>
      </c>
      <c r="B701" t="s">
        <v>29</v>
      </c>
      <c r="C701" s="1">
        <v>45246</v>
      </c>
      <c r="D701" s="1">
        <v>45266</v>
      </c>
      <c r="E701" t="s">
        <v>24</v>
      </c>
      <c r="F701" t="s">
        <v>18</v>
      </c>
      <c r="G701">
        <v>446</v>
      </c>
      <c r="H701">
        <v>80.63</v>
      </c>
      <c r="I701">
        <v>70.37</v>
      </c>
      <c r="K701" t="s">
        <v>15</v>
      </c>
    </row>
    <row r="702" spans="1:11" x14ac:dyDescent="0.25">
      <c r="A702" t="s">
        <v>727</v>
      </c>
      <c r="B702" t="s">
        <v>17</v>
      </c>
      <c r="C702" s="1">
        <v>45257</v>
      </c>
      <c r="E702" t="s">
        <v>39</v>
      </c>
      <c r="F702" t="s">
        <v>18</v>
      </c>
      <c r="G702">
        <v>61</v>
      </c>
      <c r="H702">
        <v>26.47</v>
      </c>
      <c r="I702">
        <v>24.62</v>
      </c>
      <c r="J702">
        <v>6</v>
      </c>
      <c r="K702" t="s">
        <v>15</v>
      </c>
    </row>
    <row r="703" spans="1:11" x14ac:dyDescent="0.25">
      <c r="A703" t="s">
        <v>728</v>
      </c>
      <c r="B703" t="s">
        <v>17</v>
      </c>
      <c r="C703" s="1">
        <v>44976</v>
      </c>
      <c r="D703" s="1">
        <v>44978</v>
      </c>
      <c r="E703" t="s">
        <v>24</v>
      </c>
      <c r="F703" t="s">
        <v>18</v>
      </c>
      <c r="G703">
        <v>1680</v>
      </c>
      <c r="H703">
        <v>88.85</v>
      </c>
      <c r="I703">
        <v>87.53</v>
      </c>
      <c r="K703" t="s">
        <v>15</v>
      </c>
    </row>
    <row r="704" spans="1:11" x14ac:dyDescent="0.25">
      <c r="A704" t="s">
        <v>729</v>
      </c>
      <c r="B704" t="s">
        <v>17</v>
      </c>
      <c r="C704" s="1">
        <v>44731</v>
      </c>
      <c r="D704" s="1">
        <v>44748</v>
      </c>
      <c r="E704" t="s">
        <v>39</v>
      </c>
      <c r="F704" t="s">
        <v>18</v>
      </c>
      <c r="G704">
        <v>1375</v>
      </c>
      <c r="H704">
        <v>30.95</v>
      </c>
      <c r="I704">
        <v>30.02</v>
      </c>
      <c r="J704">
        <v>223</v>
      </c>
      <c r="K704" t="s">
        <v>15</v>
      </c>
    </row>
    <row r="705" spans="1:11" x14ac:dyDescent="0.25">
      <c r="A705" t="s">
        <v>730</v>
      </c>
      <c r="B705" t="s">
        <v>17</v>
      </c>
      <c r="C705" s="1">
        <v>45040</v>
      </c>
      <c r="D705" s="1">
        <v>45051</v>
      </c>
      <c r="E705" t="s">
        <v>39</v>
      </c>
      <c r="F705" t="s">
        <v>33</v>
      </c>
      <c r="G705">
        <v>1971</v>
      </c>
      <c r="H705">
        <v>32.4</v>
      </c>
      <c r="I705">
        <v>30.48</v>
      </c>
      <c r="J705">
        <v>321</v>
      </c>
      <c r="K705" t="s">
        <v>15</v>
      </c>
    </row>
    <row r="706" spans="1:11" x14ac:dyDescent="0.25">
      <c r="A706" t="s">
        <v>731</v>
      </c>
      <c r="B706" t="s">
        <v>17</v>
      </c>
      <c r="C706" s="1">
        <v>44692</v>
      </c>
      <c r="E706" t="s">
        <v>26</v>
      </c>
      <c r="F706" t="s">
        <v>35</v>
      </c>
      <c r="G706">
        <v>1326</v>
      </c>
      <c r="H706">
        <v>59.49</v>
      </c>
      <c r="I706">
        <v>56.21</v>
      </c>
      <c r="K706" t="s">
        <v>15</v>
      </c>
    </row>
    <row r="707" spans="1:11" x14ac:dyDescent="0.25">
      <c r="A707" t="s">
        <v>732</v>
      </c>
      <c r="B707" t="s">
        <v>17</v>
      </c>
      <c r="C707" s="1">
        <v>45199</v>
      </c>
      <c r="D707" s="1">
        <v>45212</v>
      </c>
      <c r="E707" t="s">
        <v>21</v>
      </c>
      <c r="F707" t="s">
        <v>14</v>
      </c>
      <c r="G707">
        <v>548</v>
      </c>
      <c r="H707">
        <v>69.7</v>
      </c>
      <c r="I707">
        <v>61.87</v>
      </c>
      <c r="J707">
        <v>90</v>
      </c>
      <c r="K707" t="s">
        <v>15</v>
      </c>
    </row>
    <row r="708" spans="1:11" x14ac:dyDescent="0.25">
      <c r="A708" t="s">
        <v>733</v>
      </c>
      <c r="B708" t="s">
        <v>23</v>
      </c>
      <c r="C708" s="1">
        <v>45108</v>
      </c>
      <c r="D708" s="1">
        <v>45114</v>
      </c>
      <c r="E708" t="s">
        <v>21</v>
      </c>
      <c r="F708" t="s">
        <v>18</v>
      </c>
      <c r="G708">
        <v>803</v>
      </c>
      <c r="H708">
        <v>67.81</v>
      </c>
      <c r="I708">
        <v>61.53</v>
      </c>
      <c r="J708">
        <v>78</v>
      </c>
      <c r="K708" t="s">
        <v>15</v>
      </c>
    </row>
    <row r="709" spans="1:11" x14ac:dyDescent="0.25">
      <c r="A709" t="s">
        <v>734</v>
      </c>
      <c r="B709" t="s">
        <v>12</v>
      </c>
      <c r="C709" s="1">
        <v>44589</v>
      </c>
      <c r="D709" s="1">
        <v>44607</v>
      </c>
      <c r="E709" t="s">
        <v>21</v>
      </c>
      <c r="F709" t="s">
        <v>18</v>
      </c>
      <c r="G709">
        <v>84</v>
      </c>
      <c r="H709">
        <v>18.23</v>
      </c>
      <c r="I709">
        <v>15.55</v>
      </c>
      <c r="J709">
        <v>0</v>
      </c>
      <c r="K709" t="s">
        <v>15</v>
      </c>
    </row>
    <row r="710" spans="1:11" x14ac:dyDescent="0.25">
      <c r="A710" t="s">
        <v>735</v>
      </c>
      <c r="B710" t="s">
        <v>29</v>
      </c>
      <c r="C710" s="1">
        <v>44965</v>
      </c>
      <c r="D710" s="1">
        <v>44977</v>
      </c>
      <c r="E710" t="s">
        <v>24</v>
      </c>
      <c r="F710" t="s">
        <v>18</v>
      </c>
      <c r="G710">
        <v>776</v>
      </c>
      <c r="H710">
        <v>94.75</v>
      </c>
      <c r="I710">
        <v>90.89</v>
      </c>
      <c r="J710">
        <v>19</v>
      </c>
      <c r="K710" t="s">
        <v>15</v>
      </c>
    </row>
    <row r="711" spans="1:11" x14ac:dyDescent="0.25">
      <c r="A711" t="s">
        <v>736</v>
      </c>
      <c r="B711" t="s">
        <v>12</v>
      </c>
      <c r="C711" s="1">
        <v>45168</v>
      </c>
      <c r="D711" s="1">
        <v>45177</v>
      </c>
      <c r="E711" t="s">
        <v>21</v>
      </c>
      <c r="F711" t="s">
        <v>18</v>
      </c>
      <c r="G711">
        <v>898</v>
      </c>
      <c r="H711">
        <v>37.119999999999997</v>
      </c>
      <c r="I711">
        <v>35.54</v>
      </c>
      <c r="J711">
        <v>18</v>
      </c>
      <c r="K711" t="s">
        <v>27</v>
      </c>
    </row>
    <row r="712" spans="1:11" x14ac:dyDescent="0.25">
      <c r="A712" t="s">
        <v>737</v>
      </c>
      <c r="B712" t="s">
        <v>23</v>
      </c>
      <c r="C712" s="1">
        <v>45139</v>
      </c>
      <c r="D712" s="1">
        <v>45146</v>
      </c>
      <c r="E712" t="s">
        <v>13</v>
      </c>
      <c r="F712" t="s">
        <v>14</v>
      </c>
      <c r="G712">
        <v>139</v>
      </c>
      <c r="H712">
        <v>23.71</v>
      </c>
      <c r="I712">
        <v>20.18</v>
      </c>
      <c r="J712">
        <v>14</v>
      </c>
      <c r="K712" t="s">
        <v>15</v>
      </c>
    </row>
    <row r="713" spans="1:11" x14ac:dyDescent="0.25">
      <c r="A713" t="s">
        <v>738</v>
      </c>
      <c r="B713" t="s">
        <v>20</v>
      </c>
      <c r="C713" s="1">
        <v>45240</v>
      </c>
      <c r="E713" t="s">
        <v>26</v>
      </c>
      <c r="F713" t="s">
        <v>18</v>
      </c>
      <c r="G713">
        <v>825</v>
      </c>
      <c r="H713">
        <v>99.89</v>
      </c>
      <c r="I713">
        <v>97.65</v>
      </c>
      <c r="J713">
        <v>30</v>
      </c>
      <c r="K713" t="s">
        <v>15</v>
      </c>
    </row>
    <row r="714" spans="1:11" x14ac:dyDescent="0.25">
      <c r="A714" t="s">
        <v>739</v>
      </c>
      <c r="B714" t="s">
        <v>12</v>
      </c>
      <c r="C714" s="1">
        <v>44589</v>
      </c>
      <c r="D714" s="1">
        <v>44599</v>
      </c>
      <c r="E714" t="s">
        <v>21</v>
      </c>
      <c r="F714" t="s">
        <v>18</v>
      </c>
      <c r="G714">
        <v>654</v>
      </c>
      <c r="H714">
        <v>96.01</v>
      </c>
      <c r="I714">
        <v>90.31</v>
      </c>
      <c r="J714">
        <v>10</v>
      </c>
      <c r="K714" t="s">
        <v>15</v>
      </c>
    </row>
    <row r="715" spans="1:11" x14ac:dyDescent="0.25">
      <c r="A715" t="s">
        <v>740</v>
      </c>
      <c r="B715" t="s">
        <v>20</v>
      </c>
      <c r="C715" s="1">
        <v>44647</v>
      </c>
      <c r="D715" s="1">
        <v>44657</v>
      </c>
      <c r="E715" t="s">
        <v>21</v>
      </c>
      <c r="F715" t="s">
        <v>18</v>
      </c>
      <c r="G715">
        <v>1995</v>
      </c>
      <c r="H715">
        <v>88.47</v>
      </c>
      <c r="I715">
        <v>82.65</v>
      </c>
      <c r="J715">
        <v>87</v>
      </c>
      <c r="K715" t="s">
        <v>27</v>
      </c>
    </row>
    <row r="716" spans="1:11" x14ac:dyDescent="0.25">
      <c r="A716" t="s">
        <v>741</v>
      </c>
      <c r="B716" t="s">
        <v>23</v>
      </c>
      <c r="C716" s="1">
        <v>45220</v>
      </c>
      <c r="D716" s="1">
        <v>45227</v>
      </c>
      <c r="E716" t="s">
        <v>21</v>
      </c>
      <c r="F716" t="s">
        <v>18</v>
      </c>
      <c r="G716">
        <v>1019</v>
      </c>
      <c r="H716">
        <v>91.56</v>
      </c>
      <c r="I716">
        <v>77.930000000000007</v>
      </c>
      <c r="J716">
        <v>111</v>
      </c>
      <c r="K716" t="s">
        <v>27</v>
      </c>
    </row>
    <row r="717" spans="1:11" x14ac:dyDescent="0.25">
      <c r="A717" t="s">
        <v>742</v>
      </c>
      <c r="B717" t="s">
        <v>29</v>
      </c>
      <c r="C717" s="1">
        <v>45000</v>
      </c>
      <c r="D717" s="1">
        <v>45016</v>
      </c>
      <c r="E717" t="s">
        <v>24</v>
      </c>
      <c r="F717" t="s">
        <v>35</v>
      </c>
      <c r="G717">
        <v>1675</v>
      </c>
      <c r="H717">
        <v>73.8</v>
      </c>
      <c r="I717">
        <v>65.34</v>
      </c>
      <c r="J717">
        <v>42</v>
      </c>
      <c r="K717" t="s">
        <v>15</v>
      </c>
    </row>
    <row r="718" spans="1:11" x14ac:dyDescent="0.25">
      <c r="A718" t="s">
        <v>743</v>
      </c>
      <c r="B718" t="s">
        <v>20</v>
      </c>
      <c r="C718" s="1">
        <v>44700</v>
      </c>
      <c r="D718" s="1">
        <v>44712</v>
      </c>
      <c r="E718" t="s">
        <v>26</v>
      </c>
      <c r="F718" t="s">
        <v>35</v>
      </c>
      <c r="G718">
        <v>1071</v>
      </c>
      <c r="H718">
        <v>60.77</v>
      </c>
      <c r="I718">
        <v>58.5</v>
      </c>
      <c r="K718" t="s">
        <v>15</v>
      </c>
    </row>
    <row r="719" spans="1:11" x14ac:dyDescent="0.25">
      <c r="A719" t="s">
        <v>744</v>
      </c>
      <c r="B719" t="s">
        <v>23</v>
      </c>
      <c r="C719" s="1">
        <v>45034</v>
      </c>
      <c r="D719" s="1">
        <v>45043</v>
      </c>
      <c r="E719" t="s">
        <v>13</v>
      </c>
      <c r="F719" t="s">
        <v>18</v>
      </c>
      <c r="G719">
        <v>467</v>
      </c>
      <c r="H719">
        <v>19.170000000000002</v>
      </c>
      <c r="I719">
        <v>17.11</v>
      </c>
      <c r="J719">
        <v>49</v>
      </c>
      <c r="K719" t="s">
        <v>15</v>
      </c>
    </row>
    <row r="720" spans="1:11" x14ac:dyDescent="0.25">
      <c r="A720" t="s">
        <v>745</v>
      </c>
      <c r="B720" t="s">
        <v>17</v>
      </c>
      <c r="C720" s="1">
        <v>44748</v>
      </c>
      <c r="D720" s="1">
        <v>44767</v>
      </c>
      <c r="E720" t="s">
        <v>21</v>
      </c>
      <c r="F720" t="s">
        <v>35</v>
      </c>
      <c r="G720">
        <v>164</v>
      </c>
      <c r="H720">
        <v>48.16</v>
      </c>
      <c r="I720">
        <v>47.46</v>
      </c>
      <c r="J720">
        <v>27</v>
      </c>
      <c r="K720" t="s">
        <v>15</v>
      </c>
    </row>
    <row r="721" spans="1:11" x14ac:dyDescent="0.25">
      <c r="A721" t="s">
        <v>746</v>
      </c>
      <c r="B721" t="s">
        <v>29</v>
      </c>
      <c r="C721" s="1">
        <v>44613</v>
      </c>
      <c r="D721" s="1">
        <v>44626</v>
      </c>
      <c r="E721" t="s">
        <v>39</v>
      </c>
      <c r="F721" t="s">
        <v>14</v>
      </c>
      <c r="G721">
        <v>666</v>
      </c>
      <c r="H721">
        <v>43.76</v>
      </c>
      <c r="I721">
        <v>41.13</v>
      </c>
      <c r="J721">
        <v>18</v>
      </c>
      <c r="K721" t="s">
        <v>15</v>
      </c>
    </row>
    <row r="722" spans="1:11" x14ac:dyDescent="0.25">
      <c r="A722" t="s">
        <v>747</v>
      </c>
      <c r="B722" t="s">
        <v>17</v>
      </c>
      <c r="C722" s="1">
        <v>44828</v>
      </c>
      <c r="D722" s="1">
        <v>44841</v>
      </c>
      <c r="E722" t="s">
        <v>24</v>
      </c>
      <c r="F722" t="s">
        <v>33</v>
      </c>
      <c r="G722">
        <v>1976</v>
      </c>
      <c r="H722">
        <v>34.71</v>
      </c>
      <c r="I722">
        <v>31.56</v>
      </c>
      <c r="J722">
        <v>286</v>
      </c>
      <c r="K722" t="s">
        <v>27</v>
      </c>
    </row>
    <row r="723" spans="1:11" x14ac:dyDescent="0.25">
      <c r="A723" t="s">
        <v>748</v>
      </c>
      <c r="B723" t="s">
        <v>29</v>
      </c>
      <c r="C723" s="1">
        <v>44950</v>
      </c>
      <c r="D723" s="1">
        <v>44955</v>
      </c>
      <c r="E723" t="s">
        <v>21</v>
      </c>
      <c r="F723" t="s">
        <v>18</v>
      </c>
      <c r="G723">
        <v>1269</v>
      </c>
      <c r="H723">
        <v>79.61</v>
      </c>
      <c r="I723">
        <v>71.86</v>
      </c>
      <c r="J723">
        <v>47</v>
      </c>
      <c r="K723" t="s">
        <v>15</v>
      </c>
    </row>
    <row r="724" spans="1:11" x14ac:dyDescent="0.25">
      <c r="A724" t="s">
        <v>749</v>
      </c>
      <c r="B724" t="s">
        <v>29</v>
      </c>
      <c r="C724" s="1">
        <v>44897</v>
      </c>
      <c r="D724" s="1">
        <v>44907</v>
      </c>
      <c r="E724" t="s">
        <v>21</v>
      </c>
      <c r="F724" t="s">
        <v>18</v>
      </c>
      <c r="G724">
        <v>875</v>
      </c>
      <c r="H724">
        <v>57.63</v>
      </c>
      <c r="I724">
        <v>51.8</v>
      </c>
      <c r="J724">
        <v>16</v>
      </c>
      <c r="K724" t="s">
        <v>15</v>
      </c>
    </row>
    <row r="725" spans="1:11" x14ac:dyDescent="0.25">
      <c r="A725" t="s">
        <v>750</v>
      </c>
      <c r="B725" t="s">
        <v>12</v>
      </c>
      <c r="C725" s="1">
        <v>44778</v>
      </c>
      <c r="E725" t="s">
        <v>24</v>
      </c>
      <c r="F725" t="s">
        <v>33</v>
      </c>
      <c r="G725">
        <v>1574</v>
      </c>
      <c r="H725">
        <v>17.899999999999999</v>
      </c>
      <c r="I725">
        <v>15.85</v>
      </c>
      <c r="J725">
        <v>31</v>
      </c>
      <c r="K725" t="s">
        <v>15</v>
      </c>
    </row>
    <row r="726" spans="1:11" x14ac:dyDescent="0.25">
      <c r="A726" t="s">
        <v>751</v>
      </c>
      <c r="B726" t="s">
        <v>29</v>
      </c>
      <c r="C726" s="1">
        <v>45027</v>
      </c>
      <c r="D726" s="1">
        <v>45042</v>
      </c>
      <c r="E726" t="s">
        <v>13</v>
      </c>
      <c r="F726" t="s">
        <v>33</v>
      </c>
      <c r="G726">
        <v>1699</v>
      </c>
      <c r="H726">
        <v>32.049999999999997</v>
      </c>
      <c r="I726">
        <v>29.34</v>
      </c>
      <c r="J726">
        <v>69</v>
      </c>
      <c r="K726" t="s">
        <v>15</v>
      </c>
    </row>
    <row r="727" spans="1:11" x14ac:dyDescent="0.25">
      <c r="A727" t="s">
        <v>752</v>
      </c>
      <c r="B727" t="s">
        <v>12</v>
      </c>
      <c r="C727" s="1">
        <v>44896</v>
      </c>
      <c r="D727" s="1">
        <v>44912</v>
      </c>
      <c r="E727" t="s">
        <v>39</v>
      </c>
      <c r="F727" t="s">
        <v>18</v>
      </c>
      <c r="G727">
        <v>1566</v>
      </c>
      <c r="H727">
        <v>75.430000000000007</v>
      </c>
      <c r="I727">
        <v>71.27</v>
      </c>
      <c r="J727">
        <v>27</v>
      </c>
      <c r="K727" t="s">
        <v>15</v>
      </c>
    </row>
    <row r="728" spans="1:11" x14ac:dyDescent="0.25">
      <c r="A728" t="s">
        <v>753</v>
      </c>
      <c r="B728" t="s">
        <v>20</v>
      </c>
      <c r="C728" s="1">
        <v>44907</v>
      </c>
      <c r="D728" s="1">
        <v>44925</v>
      </c>
      <c r="E728" t="s">
        <v>39</v>
      </c>
      <c r="F728" t="s">
        <v>18</v>
      </c>
      <c r="G728">
        <v>1148</v>
      </c>
      <c r="H728">
        <v>17.78</v>
      </c>
      <c r="I728">
        <v>17.16</v>
      </c>
      <c r="J728">
        <v>61</v>
      </c>
      <c r="K728" t="s">
        <v>15</v>
      </c>
    </row>
    <row r="729" spans="1:11" x14ac:dyDescent="0.25">
      <c r="A729" t="s">
        <v>754</v>
      </c>
      <c r="B729" t="s">
        <v>29</v>
      </c>
      <c r="C729" s="1">
        <v>44950</v>
      </c>
      <c r="D729" s="1">
        <v>44968</v>
      </c>
      <c r="E729" t="s">
        <v>13</v>
      </c>
      <c r="F729" t="s">
        <v>18</v>
      </c>
      <c r="G729">
        <v>462</v>
      </c>
      <c r="H729">
        <v>91.81</v>
      </c>
      <c r="I729">
        <v>83.14</v>
      </c>
      <c r="J729">
        <v>11</v>
      </c>
      <c r="K729" t="s">
        <v>15</v>
      </c>
    </row>
    <row r="730" spans="1:11" x14ac:dyDescent="0.25">
      <c r="A730" t="s">
        <v>755</v>
      </c>
      <c r="B730" t="s">
        <v>20</v>
      </c>
      <c r="C730" s="1">
        <v>44846</v>
      </c>
      <c r="D730" s="1">
        <v>44851</v>
      </c>
      <c r="E730" t="s">
        <v>24</v>
      </c>
      <c r="F730" t="s">
        <v>18</v>
      </c>
      <c r="G730">
        <v>1449</v>
      </c>
      <c r="H730">
        <v>57.02</v>
      </c>
      <c r="I730">
        <v>49.28</v>
      </c>
      <c r="J730">
        <v>71</v>
      </c>
      <c r="K730" t="s">
        <v>15</v>
      </c>
    </row>
    <row r="731" spans="1:11" x14ac:dyDescent="0.25">
      <c r="A731" t="s">
        <v>756</v>
      </c>
      <c r="B731" t="s">
        <v>29</v>
      </c>
      <c r="C731" s="1">
        <v>44993</v>
      </c>
      <c r="D731" s="1">
        <v>45012</v>
      </c>
      <c r="E731" t="s">
        <v>21</v>
      </c>
      <c r="F731" t="s">
        <v>18</v>
      </c>
      <c r="G731">
        <v>1493</v>
      </c>
      <c r="H731">
        <v>56.98</v>
      </c>
      <c r="I731">
        <v>52.51</v>
      </c>
      <c r="J731">
        <v>43</v>
      </c>
      <c r="K731" t="s">
        <v>15</v>
      </c>
    </row>
    <row r="732" spans="1:11" x14ac:dyDescent="0.25">
      <c r="A732" t="s">
        <v>757</v>
      </c>
      <c r="B732" t="s">
        <v>12</v>
      </c>
      <c r="C732" s="1">
        <v>44820</v>
      </c>
      <c r="D732" s="1">
        <v>44822</v>
      </c>
      <c r="E732" t="s">
        <v>13</v>
      </c>
      <c r="F732" t="s">
        <v>18</v>
      </c>
      <c r="G732">
        <v>778</v>
      </c>
      <c r="H732">
        <v>65.849999999999994</v>
      </c>
      <c r="I732">
        <v>62.08</v>
      </c>
      <c r="K732" t="s">
        <v>27</v>
      </c>
    </row>
    <row r="733" spans="1:11" x14ac:dyDescent="0.25">
      <c r="A733" t="s">
        <v>758</v>
      </c>
      <c r="B733" t="s">
        <v>17</v>
      </c>
      <c r="C733" s="1">
        <v>44645</v>
      </c>
      <c r="D733" s="1">
        <v>44662</v>
      </c>
      <c r="E733" t="s">
        <v>24</v>
      </c>
      <c r="F733" t="s">
        <v>33</v>
      </c>
      <c r="G733">
        <v>1350</v>
      </c>
      <c r="H733">
        <v>85.06</v>
      </c>
      <c r="I733">
        <v>82.34</v>
      </c>
      <c r="K733" t="s">
        <v>27</v>
      </c>
    </row>
    <row r="734" spans="1:11" x14ac:dyDescent="0.25">
      <c r="A734" t="s">
        <v>759</v>
      </c>
      <c r="B734" t="s">
        <v>29</v>
      </c>
      <c r="C734" s="1">
        <v>45043</v>
      </c>
      <c r="D734" s="1">
        <v>45051</v>
      </c>
      <c r="E734" t="s">
        <v>24</v>
      </c>
      <c r="F734" t="s">
        <v>18</v>
      </c>
      <c r="G734">
        <v>1070</v>
      </c>
      <c r="H734">
        <v>44.4</v>
      </c>
      <c r="I734">
        <v>40.07</v>
      </c>
      <c r="J734">
        <v>26</v>
      </c>
      <c r="K734" t="s">
        <v>15</v>
      </c>
    </row>
    <row r="735" spans="1:11" x14ac:dyDescent="0.25">
      <c r="A735" t="s">
        <v>760</v>
      </c>
      <c r="B735" t="s">
        <v>23</v>
      </c>
      <c r="C735" s="1">
        <v>44581</v>
      </c>
      <c r="D735" s="1">
        <v>44595</v>
      </c>
      <c r="E735" t="s">
        <v>24</v>
      </c>
      <c r="F735" t="s">
        <v>35</v>
      </c>
      <c r="G735">
        <v>810</v>
      </c>
      <c r="H735">
        <v>71.02</v>
      </c>
      <c r="I735">
        <v>66.8</v>
      </c>
      <c r="J735">
        <v>73</v>
      </c>
      <c r="K735" t="s">
        <v>15</v>
      </c>
    </row>
    <row r="736" spans="1:11" x14ac:dyDescent="0.25">
      <c r="A736" t="s">
        <v>761</v>
      </c>
      <c r="B736" t="s">
        <v>17</v>
      </c>
      <c r="C736" s="1">
        <v>45114</v>
      </c>
      <c r="D736" s="1">
        <v>45130</v>
      </c>
      <c r="E736" t="s">
        <v>24</v>
      </c>
      <c r="F736" t="s">
        <v>14</v>
      </c>
      <c r="G736">
        <v>725</v>
      </c>
      <c r="H736">
        <v>66.400000000000006</v>
      </c>
      <c r="I736">
        <v>62.1</v>
      </c>
      <c r="J736">
        <v>118</v>
      </c>
      <c r="K736" t="s">
        <v>15</v>
      </c>
    </row>
    <row r="737" spans="1:11" x14ac:dyDescent="0.25">
      <c r="A737" t="s">
        <v>762</v>
      </c>
      <c r="B737" t="s">
        <v>12</v>
      </c>
      <c r="C737" s="1">
        <v>44615</v>
      </c>
      <c r="D737" s="1">
        <v>44620</v>
      </c>
      <c r="E737" t="s">
        <v>39</v>
      </c>
      <c r="F737" t="s">
        <v>18</v>
      </c>
      <c r="G737">
        <v>1467</v>
      </c>
      <c r="H737">
        <v>34.200000000000003</v>
      </c>
      <c r="I737">
        <v>30.5</v>
      </c>
      <c r="J737">
        <v>25</v>
      </c>
      <c r="K737" t="s">
        <v>15</v>
      </c>
    </row>
    <row r="738" spans="1:11" x14ac:dyDescent="0.25">
      <c r="A738" t="s">
        <v>763</v>
      </c>
      <c r="B738" t="s">
        <v>23</v>
      </c>
      <c r="C738" s="1">
        <v>44920</v>
      </c>
      <c r="D738" s="1">
        <v>44938</v>
      </c>
      <c r="E738" t="s">
        <v>24</v>
      </c>
      <c r="F738" t="s">
        <v>18</v>
      </c>
      <c r="G738">
        <v>1942</v>
      </c>
      <c r="H738">
        <v>93.98</v>
      </c>
      <c r="I738">
        <v>81.31</v>
      </c>
      <c r="J738">
        <v>198</v>
      </c>
      <c r="K738" t="s">
        <v>15</v>
      </c>
    </row>
    <row r="739" spans="1:11" x14ac:dyDescent="0.25">
      <c r="A739" t="s">
        <v>764</v>
      </c>
      <c r="B739" t="s">
        <v>20</v>
      </c>
      <c r="C739" s="1">
        <v>44791</v>
      </c>
      <c r="E739" t="s">
        <v>13</v>
      </c>
      <c r="F739" t="s">
        <v>18</v>
      </c>
      <c r="G739">
        <v>506</v>
      </c>
      <c r="H739">
        <v>84.63</v>
      </c>
      <c r="I739">
        <v>72.69</v>
      </c>
      <c r="J739">
        <v>20</v>
      </c>
      <c r="K739" t="s">
        <v>15</v>
      </c>
    </row>
    <row r="740" spans="1:11" x14ac:dyDescent="0.25">
      <c r="A740" t="s">
        <v>765</v>
      </c>
      <c r="B740" t="s">
        <v>12</v>
      </c>
      <c r="C740" s="1">
        <v>45227</v>
      </c>
      <c r="D740" s="1">
        <v>45243</v>
      </c>
      <c r="E740" t="s">
        <v>21</v>
      </c>
      <c r="F740" t="s">
        <v>18</v>
      </c>
      <c r="G740">
        <v>969</v>
      </c>
      <c r="H740">
        <v>76.53</v>
      </c>
      <c r="I740">
        <v>75.64</v>
      </c>
      <c r="J740">
        <v>30</v>
      </c>
      <c r="K740" t="s">
        <v>15</v>
      </c>
    </row>
    <row r="741" spans="1:11" x14ac:dyDescent="0.25">
      <c r="A741" t="s">
        <v>766</v>
      </c>
      <c r="B741" t="s">
        <v>17</v>
      </c>
      <c r="C741" s="1">
        <v>44632</v>
      </c>
      <c r="D741" s="1">
        <v>44639</v>
      </c>
      <c r="E741" t="s">
        <v>21</v>
      </c>
      <c r="F741" t="s">
        <v>18</v>
      </c>
      <c r="G741">
        <v>241</v>
      </c>
      <c r="H741">
        <v>87.42</v>
      </c>
      <c r="I741">
        <v>82.15</v>
      </c>
      <c r="K741" t="s">
        <v>15</v>
      </c>
    </row>
    <row r="742" spans="1:11" x14ac:dyDescent="0.25">
      <c r="A742" t="s">
        <v>767</v>
      </c>
      <c r="B742" t="s">
        <v>20</v>
      </c>
      <c r="C742" s="1">
        <v>45229</v>
      </c>
      <c r="D742" s="1">
        <v>45239</v>
      </c>
      <c r="E742" t="s">
        <v>26</v>
      </c>
      <c r="F742" t="s">
        <v>18</v>
      </c>
      <c r="G742">
        <v>788</v>
      </c>
      <c r="H742">
        <v>97.3</v>
      </c>
      <c r="I742">
        <v>94.44</v>
      </c>
      <c r="J742">
        <v>32</v>
      </c>
      <c r="K742" t="s">
        <v>15</v>
      </c>
    </row>
    <row r="743" spans="1:11" x14ac:dyDescent="0.25">
      <c r="A743" t="s">
        <v>768</v>
      </c>
      <c r="B743" t="s">
        <v>20</v>
      </c>
      <c r="C743" s="1">
        <v>44603</v>
      </c>
      <c r="D743" s="1">
        <v>44605</v>
      </c>
      <c r="E743" t="s">
        <v>13</v>
      </c>
      <c r="F743" t="s">
        <v>18</v>
      </c>
      <c r="G743">
        <v>1762</v>
      </c>
      <c r="H743">
        <v>74.12</v>
      </c>
      <c r="I743">
        <v>65.709999999999994</v>
      </c>
      <c r="J743">
        <v>94</v>
      </c>
      <c r="K743" t="s">
        <v>15</v>
      </c>
    </row>
    <row r="744" spans="1:11" x14ac:dyDescent="0.25">
      <c r="A744" t="s">
        <v>769</v>
      </c>
      <c r="B744" t="s">
        <v>12</v>
      </c>
      <c r="C744" s="1">
        <v>44593</v>
      </c>
      <c r="E744" t="s">
        <v>26</v>
      </c>
      <c r="F744" t="s">
        <v>35</v>
      </c>
      <c r="G744">
        <v>1172</v>
      </c>
      <c r="H744">
        <v>85.76</v>
      </c>
      <c r="I744">
        <v>81.430000000000007</v>
      </c>
      <c r="J744">
        <v>25</v>
      </c>
      <c r="K744" t="s">
        <v>15</v>
      </c>
    </row>
    <row r="745" spans="1:11" x14ac:dyDescent="0.25">
      <c r="A745" t="s">
        <v>770</v>
      </c>
      <c r="B745" t="s">
        <v>17</v>
      </c>
      <c r="C745" s="1">
        <v>44815</v>
      </c>
      <c r="D745" s="1">
        <v>44834</v>
      </c>
      <c r="E745" t="s">
        <v>13</v>
      </c>
      <c r="F745" t="s">
        <v>18</v>
      </c>
      <c r="G745">
        <v>1621</v>
      </c>
      <c r="H745">
        <v>75.680000000000007</v>
      </c>
      <c r="I745">
        <v>73.78</v>
      </c>
      <c r="J745">
        <v>226</v>
      </c>
      <c r="K745" t="s">
        <v>27</v>
      </c>
    </row>
    <row r="746" spans="1:11" x14ac:dyDescent="0.25">
      <c r="A746" t="s">
        <v>771</v>
      </c>
      <c r="B746" t="s">
        <v>12</v>
      </c>
      <c r="C746" s="1">
        <v>44766</v>
      </c>
      <c r="D746" s="1">
        <v>44768</v>
      </c>
      <c r="E746" t="s">
        <v>24</v>
      </c>
      <c r="F746" t="s">
        <v>18</v>
      </c>
      <c r="G746">
        <v>1027</v>
      </c>
      <c r="H746">
        <v>73.349999999999994</v>
      </c>
      <c r="I746">
        <v>65.42</v>
      </c>
      <c r="J746">
        <v>24</v>
      </c>
      <c r="K746" t="s">
        <v>27</v>
      </c>
    </row>
    <row r="747" spans="1:11" x14ac:dyDescent="0.25">
      <c r="A747" t="s">
        <v>772</v>
      </c>
      <c r="B747" t="s">
        <v>23</v>
      </c>
      <c r="C747" s="1">
        <v>44582</v>
      </c>
      <c r="E747" t="s">
        <v>26</v>
      </c>
      <c r="F747" t="s">
        <v>18</v>
      </c>
      <c r="G747">
        <v>1058</v>
      </c>
      <c r="H747">
        <v>65.680000000000007</v>
      </c>
      <c r="I747">
        <v>57.21</v>
      </c>
      <c r="J747">
        <v>101</v>
      </c>
      <c r="K747" t="s">
        <v>15</v>
      </c>
    </row>
    <row r="748" spans="1:11" x14ac:dyDescent="0.25">
      <c r="A748" t="s">
        <v>773</v>
      </c>
      <c r="B748" t="s">
        <v>23</v>
      </c>
      <c r="C748" s="1">
        <v>45198</v>
      </c>
      <c r="D748" s="1">
        <v>45204</v>
      </c>
      <c r="E748" t="s">
        <v>24</v>
      </c>
      <c r="F748" t="s">
        <v>18</v>
      </c>
      <c r="G748">
        <v>145</v>
      </c>
      <c r="H748">
        <v>85.52</v>
      </c>
      <c r="I748">
        <v>81.86</v>
      </c>
      <c r="J748">
        <v>11</v>
      </c>
      <c r="K748" t="s">
        <v>27</v>
      </c>
    </row>
    <row r="749" spans="1:11" x14ac:dyDescent="0.25">
      <c r="A749" t="s">
        <v>774</v>
      </c>
      <c r="B749" t="s">
        <v>29</v>
      </c>
      <c r="C749" s="1">
        <v>44718</v>
      </c>
      <c r="E749" t="s">
        <v>13</v>
      </c>
      <c r="F749" t="s">
        <v>18</v>
      </c>
      <c r="G749">
        <v>1737</v>
      </c>
      <c r="H749">
        <v>24.88</v>
      </c>
      <c r="I749">
        <v>24.28</v>
      </c>
      <c r="J749">
        <v>46</v>
      </c>
      <c r="K749" t="s">
        <v>15</v>
      </c>
    </row>
    <row r="750" spans="1:11" x14ac:dyDescent="0.25">
      <c r="A750" t="s">
        <v>775</v>
      </c>
      <c r="B750" t="s">
        <v>20</v>
      </c>
      <c r="C750" s="1">
        <v>44806</v>
      </c>
      <c r="D750" s="1">
        <v>44819</v>
      </c>
      <c r="E750" t="s">
        <v>39</v>
      </c>
      <c r="F750" t="s">
        <v>18</v>
      </c>
      <c r="G750">
        <v>712</v>
      </c>
      <c r="H750">
        <v>92.85</v>
      </c>
      <c r="I750">
        <v>89.39</v>
      </c>
      <c r="J750">
        <v>43</v>
      </c>
      <c r="K750" t="s">
        <v>15</v>
      </c>
    </row>
    <row r="751" spans="1:11" x14ac:dyDescent="0.25">
      <c r="A751" t="s">
        <v>776</v>
      </c>
      <c r="B751" t="s">
        <v>29</v>
      </c>
      <c r="C751" s="1">
        <v>44691</v>
      </c>
      <c r="D751" s="1">
        <v>44697</v>
      </c>
      <c r="E751" t="s">
        <v>39</v>
      </c>
      <c r="F751" t="s">
        <v>18</v>
      </c>
      <c r="G751">
        <v>1263</v>
      </c>
      <c r="H751">
        <v>90.24</v>
      </c>
      <c r="I751">
        <v>86.84</v>
      </c>
      <c r="J751">
        <v>28</v>
      </c>
      <c r="K751" t="s">
        <v>15</v>
      </c>
    </row>
    <row r="752" spans="1:11" x14ac:dyDescent="0.25">
      <c r="A752" t="s">
        <v>777</v>
      </c>
      <c r="B752" t="s">
        <v>17</v>
      </c>
      <c r="C752" s="1">
        <v>45046</v>
      </c>
      <c r="E752" t="s">
        <v>39</v>
      </c>
      <c r="F752" t="s">
        <v>18</v>
      </c>
      <c r="G752">
        <v>1809</v>
      </c>
      <c r="H752">
        <v>13.58</v>
      </c>
      <c r="I752">
        <v>12.68</v>
      </c>
      <c r="K752" t="s">
        <v>27</v>
      </c>
    </row>
    <row r="753" spans="1:11" x14ac:dyDescent="0.25">
      <c r="A753" t="s">
        <v>778</v>
      </c>
      <c r="B753" t="s">
        <v>23</v>
      </c>
      <c r="C753" s="1">
        <v>45247</v>
      </c>
      <c r="E753" t="s">
        <v>39</v>
      </c>
      <c r="F753" t="s">
        <v>14</v>
      </c>
      <c r="G753">
        <v>86</v>
      </c>
      <c r="H753">
        <v>93.6</v>
      </c>
      <c r="I753">
        <v>88.22</v>
      </c>
      <c r="J753">
        <v>5</v>
      </c>
      <c r="K753" t="s">
        <v>15</v>
      </c>
    </row>
    <row r="754" spans="1:11" x14ac:dyDescent="0.25">
      <c r="A754" t="s">
        <v>779</v>
      </c>
      <c r="B754" t="s">
        <v>29</v>
      </c>
      <c r="C754" s="1">
        <v>44679</v>
      </c>
      <c r="E754" t="s">
        <v>21</v>
      </c>
      <c r="F754" t="s">
        <v>18</v>
      </c>
      <c r="G754">
        <v>1853</v>
      </c>
      <c r="H754">
        <v>21.92</v>
      </c>
      <c r="I754">
        <v>20.72</v>
      </c>
      <c r="K754" t="s">
        <v>15</v>
      </c>
    </row>
    <row r="755" spans="1:11" x14ac:dyDescent="0.25">
      <c r="A755" t="s">
        <v>780</v>
      </c>
      <c r="B755" t="s">
        <v>23</v>
      </c>
      <c r="C755" s="1">
        <v>45139</v>
      </c>
      <c r="D755" s="1">
        <v>45140</v>
      </c>
      <c r="E755" t="s">
        <v>39</v>
      </c>
      <c r="F755" t="s">
        <v>18</v>
      </c>
      <c r="G755">
        <v>1442</v>
      </c>
      <c r="H755">
        <v>43.98</v>
      </c>
      <c r="I755">
        <v>41.82</v>
      </c>
      <c r="J755">
        <v>140</v>
      </c>
      <c r="K755" t="s">
        <v>27</v>
      </c>
    </row>
    <row r="756" spans="1:11" x14ac:dyDescent="0.25">
      <c r="A756" t="s">
        <v>781</v>
      </c>
      <c r="B756" t="s">
        <v>23</v>
      </c>
      <c r="C756" s="1">
        <v>44785</v>
      </c>
      <c r="D756" s="1">
        <v>44805</v>
      </c>
      <c r="E756" t="s">
        <v>13</v>
      </c>
      <c r="F756" t="s">
        <v>35</v>
      </c>
      <c r="G756">
        <v>1768</v>
      </c>
      <c r="H756">
        <v>79.61</v>
      </c>
      <c r="I756">
        <v>74.97</v>
      </c>
      <c r="J756">
        <v>207</v>
      </c>
      <c r="K756" t="s">
        <v>27</v>
      </c>
    </row>
    <row r="757" spans="1:11" x14ac:dyDescent="0.25">
      <c r="A757" t="s">
        <v>782</v>
      </c>
      <c r="B757" t="s">
        <v>23</v>
      </c>
      <c r="C757" s="1">
        <v>45038</v>
      </c>
      <c r="D757" s="1">
        <v>45049</v>
      </c>
      <c r="E757" t="s">
        <v>39</v>
      </c>
      <c r="F757" t="s">
        <v>33</v>
      </c>
      <c r="G757">
        <v>1598</v>
      </c>
      <c r="H757">
        <v>26.3</v>
      </c>
      <c r="I757">
        <v>26.03</v>
      </c>
      <c r="J757">
        <v>154</v>
      </c>
      <c r="K757" t="s">
        <v>27</v>
      </c>
    </row>
    <row r="758" spans="1:11" x14ac:dyDescent="0.25">
      <c r="A758" t="s">
        <v>783</v>
      </c>
      <c r="B758" t="s">
        <v>12</v>
      </c>
      <c r="C758" s="1">
        <v>45278</v>
      </c>
      <c r="D758" s="1">
        <v>45296</v>
      </c>
      <c r="E758" t="s">
        <v>21</v>
      </c>
      <c r="F758" t="s">
        <v>14</v>
      </c>
      <c r="G758">
        <v>328</v>
      </c>
      <c r="H758">
        <v>93.23</v>
      </c>
      <c r="I758">
        <v>82.63</v>
      </c>
      <c r="J758">
        <v>6</v>
      </c>
      <c r="K758" t="s">
        <v>15</v>
      </c>
    </row>
    <row r="759" spans="1:11" x14ac:dyDescent="0.25">
      <c r="A759" t="s">
        <v>784</v>
      </c>
      <c r="B759" t="s">
        <v>29</v>
      </c>
      <c r="C759" s="1">
        <v>44824</v>
      </c>
      <c r="D759" s="1">
        <v>44829</v>
      </c>
      <c r="E759" t="s">
        <v>24</v>
      </c>
      <c r="F759" t="s">
        <v>18</v>
      </c>
      <c r="G759">
        <v>266</v>
      </c>
      <c r="H759">
        <v>88.29</v>
      </c>
      <c r="I759">
        <v>80.22</v>
      </c>
      <c r="J759">
        <v>4</v>
      </c>
      <c r="K759" t="s">
        <v>15</v>
      </c>
    </row>
    <row r="760" spans="1:11" x14ac:dyDescent="0.25">
      <c r="A760" t="s">
        <v>785</v>
      </c>
      <c r="B760" t="s">
        <v>20</v>
      </c>
      <c r="C760" s="1">
        <v>44939</v>
      </c>
      <c r="D760" s="1">
        <v>44954</v>
      </c>
      <c r="E760" t="s">
        <v>26</v>
      </c>
      <c r="F760" t="s">
        <v>18</v>
      </c>
      <c r="G760">
        <v>916</v>
      </c>
      <c r="H760">
        <v>59.01</v>
      </c>
      <c r="I760">
        <v>53.37</v>
      </c>
      <c r="J760">
        <v>47</v>
      </c>
      <c r="K760" t="s">
        <v>15</v>
      </c>
    </row>
    <row r="761" spans="1:11" x14ac:dyDescent="0.25">
      <c r="A761" t="s">
        <v>786</v>
      </c>
      <c r="B761" t="s">
        <v>29</v>
      </c>
      <c r="C761" s="1">
        <v>44733</v>
      </c>
      <c r="D761" s="1">
        <v>44737</v>
      </c>
      <c r="E761" t="s">
        <v>24</v>
      </c>
      <c r="F761" t="s">
        <v>14</v>
      </c>
      <c r="G761">
        <v>922</v>
      </c>
      <c r="H761">
        <v>10.84</v>
      </c>
      <c r="I761">
        <v>9.27</v>
      </c>
      <c r="J761">
        <v>29</v>
      </c>
      <c r="K761" t="s">
        <v>15</v>
      </c>
    </row>
    <row r="762" spans="1:11" x14ac:dyDescent="0.25">
      <c r="A762" t="s">
        <v>787</v>
      </c>
      <c r="B762" t="s">
        <v>20</v>
      </c>
      <c r="C762" s="1">
        <v>45182</v>
      </c>
      <c r="D762" s="1">
        <v>45197</v>
      </c>
      <c r="E762" t="s">
        <v>24</v>
      </c>
      <c r="F762" t="s">
        <v>18</v>
      </c>
      <c r="G762">
        <v>1871</v>
      </c>
      <c r="H762">
        <v>39.42</v>
      </c>
      <c r="I762">
        <v>37.409999999999997</v>
      </c>
      <c r="J762">
        <v>101</v>
      </c>
      <c r="K762" t="s">
        <v>27</v>
      </c>
    </row>
    <row r="763" spans="1:11" x14ac:dyDescent="0.25">
      <c r="A763" t="s">
        <v>788</v>
      </c>
      <c r="B763" t="s">
        <v>29</v>
      </c>
      <c r="C763" s="1">
        <v>45183</v>
      </c>
      <c r="D763" s="1">
        <v>45189</v>
      </c>
      <c r="E763" t="s">
        <v>26</v>
      </c>
      <c r="F763" t="s">
        <v>18</v>
      </c>
      <c r="G763">
        <v>1346</v>
      </c>
      <c r="H763">
        <v>72.08</v>
      </c>
      <c r="I763">
        <v>67.040000000000006</v>
      </c>
      <c r="J763">
        <v>38</v>
      </c>
      <c r="K763" t="s">
        <v>15</v>
      </c>
    </row>
    <row r="764" spans="1:11" x14ac:dyDescent="0.25">
      <c r="A764" t="s">
        <v>789</v>
      </c>
      <c r="B764" t="s">
        <v>29</v>
      </c>
      <c r="C764" s="1">
        <v>44679</v>
      </c>
      <c r="D764" s="1">
        <v>44690</v>
      </c>
      <c r="E764" t="s">
        <v>39</v>
      </c>
      <c r="F764" t="s">
        <v>18</v>
      </c>
      <c r="G764">
        <v>1954</v>
      </c>
      <c r="H764">
        <v>99.78</v>
      </c>
      <c r="I764">
        <v>87.47</v>
      </c>
      <c r="J764">
        <v>57</v>
      </c>
      <c r="K764" t="s">
        <v>15</v>
      </c>
    </row>
    <row r="765" spans="1:11" x14ac:dyDescent="0.25">
      <c r="A765" t="s">
        <v>790</v>
      </c>
      <c r="B765" t="s">
        <v>23</v>
      </c>
      <c r="C765" s="1">
        <v>44729</v>
      </c>
      <c r="D765" s="1">
        <v>44748</v>
      </c>
      <c r="E765" t="s">
        <v>39</v>
      </c>
      <c r="F765" t="s">
        <v>18</v>
      </c>
      <c r="G765">
        <v>111</v>
      </c>
      <c r="H765">
        <v>68.53</v>
      </c>
      <c r="I765">
        <v>65.22</v>
      </c>
      <c r="J765">
        <v>11</v>
      </c>
      <c r="K765" t="s">
        <v>15</v>
      </c>
    </row>
    <row r="766" spans="1:11" x14ac:dyDescent="0.25">
      <c r="A766" t="s">
        <v>791</v>
      </c>
      <c r="B766" t="s">
        <v>20</v>
      </c>
      <c r="C766" s="1">
        <v>44880</v>
      </c>
      <c r="D766" s="1">
        <v>44887</v>
      </c>
      <c r="E766" t="s">
        <v>13</v>
      </c>
      <c r="F766" t="s">
        <v>35</v>
      </c>
      <c r="G766">
        <v>645</v>
      </c>
      <c r="H766">
        <v>35.049999999999997</v>
      </c>
      <c r="I766">
        <v>30.88</v>
      </c>
      <c r="J766">
        <v>27</v>
      </c>
      <c r="K766" t="s">
        <v>15</v>
      </c>
    </row>
    <row r="767" spans="1:11" x14ac:dyDescent="0.25">
      <c r="A767" t="s">
        <v>792</v>
      </c>
      <c r="B767" t="s">
        <v>20</v>
      </c>
      <c r="C767" s="1">
        <v>44672</v>
      </c>
      <c r="D767" s="1">
        <v>44685</v>
      </c>
      <c r="E767" t="s">
        <v>39</v>
      </c>
      <c r="F767" t="s">
        <v>14</v>
      </c>
      <c r="G767">
        <v>1953</v>
      </c>
      <c r="H767">
        <v>68.069999999999993</v>
      </c>
      <c r="I767">
        <v>62.95</v>
      </c>
      <c r="J767">
        <v>87</v>
      </c>
      <c r="K767" t="s">
        <v>15</v>
      </c>
    </row>
    <row r="768" spans="1:11" x14ac:dyDescent="0.25">
      <c r="A768" t="s">
        <v>793</v>
      </c>
      <c r="B768" t="s">
        <v>20</v>
      </c>
      <c r="C768" s="1">
        <v>45154</v>
      </c>
      <c r="D768" s="1">
        <v>45171</v>
      </c>
      <c r="E768" t="s">
        <v>39</v>
      </c>
      <c r="F768" t="s">
        <v>18</v>
      </c>
      <c r="G768">
        <v>778</v>
      </c>
      <c r="H768">
        <v>64.17</v>
      </c>
      <c r="I768">
        <v>61.6</v>
      </c>
      <c r="J768">
        <v>47</v>
      </c>
      <c r="K768" t="s">
        <v>15</v>
      </c>
    </row>
    <row r="769" spans="1:11" x14ac:dyDescent="0.25">
      <c r="A769" t="s">
        <v>794</v>
      </c>
      <c r="B769" t="s">
        <v>29</v>
      </c>
      <c r="C769" s="1">
        <v>44588</v>
      </c>
      <c r="D769" s="1">
        <v>44601</v>
      </c>
      <c r="E769" t="s">
        <v>13</v>
      </c>
      <c r="F769" t="s">
        <v>18</v>
      </c>
      <c r="G769">
        <v>1415</v>
      </c>
      <c r="H769">
        <v>80.19</v>
      </c>
      <c r="I769">
        <v>78.34</v>
      </c>
      <c r="K769" t="s">
        <v>15</v>
      </c>
    </row>
    <row r="770" spans="1:11" x14ac:dyDescent="0.25">
      <c r="A770" t="s">
        <v>795</v>
      </c>
      <c r="B770" t="s">
        <v>20</v>
      </c>
      <c r="C770" s="1">
        <v>44881</v>
      </c>
      <c r="D770" s="1">
        <v>44887</v>
      </c>
      <c r="E770" t="s">
        <v>26</v>
      </c>
      <c r="F770" t="s">
        <v>18</v>
      </c>
      <c r="G770">
        <v>446</v>
      </c>
      <c r="H770">
        <v>20.61</v>
      </c>
      <c r="I770">
        <v>19.46</v>
      </c>
      <c r="J770">
        <v>14</v>
      </c>
      <c r="K770" t="s">
        <v>15</v>
      </c>
    </row>
    <row r="771" spans="1:11" x14ac:dyDescent="0.25">
      <c r="A771" t="s">
        <v>796</v>
      </c>
      <c r="B771" t="s">
        <v>29</v>
      </c>
      <c r="C771" s="1">
        <v>45151</v>
      </c>
      <c r="E771" t="s">
        <v>13</v>
      </c>
      <c r="F771" t="s">
        <v>18</v>
      </c>
      <c r="G771">
        <v>748</v>
      </c>
      <c r="H771">
        <v>85.95</v>
      </c>
      <c r="I771">
        <v>79.16</v>
      </c>
      <c r="J771">
        <v>32</v>
      </c>
      <c r="K771" t="s">
        <v>15</v>
      </c>
    </row>
    <row r="772" spans="1:11" x14ac:dyDescent="0.25">
      <c r="A772" t="s">
        <v>797</v>
      </c>
      <c r="B772" t="s">
        <v>12</v>
      </c>
      <c r="C772" s="1">
        <v>45255</v>
      </c>
      <c r="D772" s="1">
        <v>45263</v>
      </c>
      <c r="E772" t="s">
        <v>39</v>
      </c>
      <c r="F772" t="s">
        <v>35</v>
      </c>
      <c r="G772">
        <v>1092</v>
      </c>
      <c r="H772">
        <v>65.17</v>
      </c>
      <c r="I772">
        <v>63.11</v>
      </c>
      <c r="J772">
        <v>21</v>
      </c>
      <c r="K772" t="s">
        <v>15</v>
      </c>
    </row>
    <row r="773" spans="1:11" x14ac:dyDescent="0.25">
      <c r="A773" t="s">
        <v>798</v>
      </c>
      <c r="B773" t="s">
        <v>23</v>
      </c>
      <c r="C773" s="1">
        <v>44946</v>
      </c>
      <c r="D773" s="1">
        <v>44959</v>
      </c>
      <c r="E773" t="s">
        <v>39</v>
      </c>
      <c r="F773" t="s">
        <v>18</v>
      </c>
      <c r="G773">
        <v>226</v>
      </c>
      <c r="H773">
        <v>102.47</v>
      </c>
      <c r="I773">
        <v>99.16</v>
      </c>
      <c r="J773">
        <v>28</v>
      </c>
      <c r="K773" t="s">
        <v>15</v>
      </c>
    </row>
    <row r="774" spans="1:11" x14ac:dyDescent="0.25">
      <c r="A774" t="s">
        <v>799</v>
      </c>
      <c r="B774" t="s">
        <v>17</v>
      </c>
      <c r="C774" s="1">
        <v>44968</v>
      </c>
      <c r="D774" s="1">
        <v>44977</v>
      </c>
      <c r="E774" t="s">
        <v>39</v>
      </c>
      <c r="F774" t="s">
        <v>18</v>
      </c>
      <c r="G774">
        <v>1685</v>
      </c>
      <c r="H774">
        <v>43.42</v>
      </c>
      <c r="I774">
        <v>42.24</v>
      </c>
      <c r="J774">
        <v>262</v>
      </c>
      <c r="K774" t="s">
        <v>15</v>
      </c>
    </row>
    <row r="775" spans="1:11" x14ac:dyDescent="0.25">
      <c r="A775" t="s">
        <v>800</v>
      </c>
      <c r="B775" t="s">
        <v>12</v>
      </c>
      <c r="C775" s="1">
        <v>44765</v>
      </c>
      <c r="E775" t="s">
        <v>13</v>
      </c>
      <c r="F775" t="s">
        <v>18</v>
      </c>
      <c r="G775">
        <v>445</v>
      </c>
      <c r="H775">
        <v>68.94</v>
      </c>
      <c r="I775">
        <v>60.35</v>
      </c>
      <c r="J775">
        <v>7</v>
      </c>
      <c r="K775" t="s">
        <v>15</v>
      </c>
    </row>
    <row r="776" spans="1:11" x14ac:dyDescent="0.25">
      <c r="A776" t="s">
        <v>801</v>
      </c>
      <c r="B776" t="s">
        <v>20</v>
      </c>
      <c r="C776" s="1">
        <v>44639</v>
      </c>
      <c r="D776" s="1">
        <v>44658</v>
      </c>
      <c r="E776" t="s">
        <v>26</v>
      </c>
      <c r="F776" t="s">
        <v>18</v>
      </c>
      <c r="G776">
        <v>494</v>
      </c>
      <c r="H776">
        <v>94.82</v>
      </c>
      <c r="I776">
        <v>81.89</v>
      </c>
      <c r="J776">
        <v>29</v>
      </c>
      <c r="K776" t="s">
        <v>15</v>
      </c>
    </row>
    <row r="777" spans="1:11" x14ac:dyDescent="0.25">
      <c r="A777" t="s">
        <v>802</v>
      </c>
      <c r="B777" t="s">
        <v>23</v>
      </c>
      <c r="C777" s="1">
        <v>45168</v>
      </c>
      <c r="D777" s="1">
        <v>45180</v>
      </c>
      <c r="E777" t="s">
        <v>21</v>
      </c>
      <c r="F777" t="s">
        <v>18</v>
      </c>
      <c r="G777">
        <v>1306</v>
      </c>
      <c r="H777">
        <v>21.05</v>
      </c>
      <c r="I777">
        <v>18.27</v>
      </c>
      <c r="J777">
        <v>128</v>
      </c>
      <c r="K777" t="s">
        <v>15</v>
      </c>
    </row>
    <row r="778" spans="1:11" x14ac:dyDescent="0.25">
      <c r="A778" t="s">
        <v>803</v>
      </c>
      <c r="B778" t="s">
        <v>23</v>
      </c>
      <c r="C778" s="1">
        <v>45269</v>
      </c>
      <c r="D778" s="1">
        <v>45271</v>
      </c>
      <c r="E778" t="s">
        <v>13</v>
      </c>
      <c r="F778" t="s">
        <v>18</v>
      </c>
      <c r="G778">
        <v>1988</v>
      </c>
      <c r="H778">
        <v>105.2</v>
      </c>
      <c r="I778">
        <v>93.23</v>
      </c>
      <c r="J778">
        <v>187</v>
      </c>
      <c r="K77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Procurement KPI</vt:lpstr>
      <vt:lpstr>Power BI Worksheet</vt:lpstr>
      <vt:lpstr>Pivot Table</vt:lpstr>
      <vt:lpstr>Procurement KPI Analysis 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Mani</dc:creator>
  <cp:lastModifiedBy>balaji mani</cp:lastModifiedBy>
  <dcterms:created xsi:type="dcterms:W3CDTF">2026-09-06T06:08:34Z</dcterms:created>
  <dcterms:modified xsi:type="dcterms:W3CDTF">2026-09-09T13:06:59Z</dcterms:modified>
</cp:coreProperties>
</file>